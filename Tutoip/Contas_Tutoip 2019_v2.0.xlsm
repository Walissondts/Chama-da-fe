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00000000-0000-0000-0000-000000000000}"/>
  <workbookPr codeName="EstaPastaDeTrabalho"/>
  <bookViews>
    <workbookView xWindow="-120" yWindow="-120" windowWidth="20730" windowHeight="11160" tabRatio="859" activeTab="1"/>
  </bookViews>
  <sheets>
    <sheet name="Plan2" sheetId="38" r:id="rId1"/>
    <sheet name="resumo_mens" sheetId="1" r:id="rId2"/>
    <sheet name="mensalidades" sheetId="3" r:id="rId3"/>
    <sheet name="despesas" sheetId="2" r:id="rId4"/>
    <sheet name="Prato" sheetId="37" r:id="rId5"/>
    <sheet name="Eventos e Doações" sheetId="4" r:id="rId6"/>
    <sheet name="eventos" sheetId="5" r:id="rId7"/>
    <sheet name="Praia" sheetId="23" r:id="rId8"/>
    <sheet name="arrecadações" sheetId="11" r:id="rId9"/>
    <sheet name="banho" sheetId="9" r:id="rId10"/>
    <sheet name="descarrego" sheetId="8" r:id="rId11"/>
    <sheet name="despesas (evento)" sheetId="10" r:id="rId12"/>
    <sheet name="saídas" sheetId="35" r:id="rId13"/>
    <sheet name="despesas (limpeza)" sheetId="12" r:id="rId14"/>
    <sheet name="despesas (descartavel)" sheetId="13" r:id="rId15"/>
    <sheet name="despesas (art religi)" sheetId="14" r:id="rId16"/>
    <sheet name="despesas (extra)" sheetId="15" r:id="rId17"/>
    <sheet name="Ficha do Banho" sheetId="18" r:id="rId18"/>
    <sheet name="Ficha de Art Relig" sheetId="19" r:id="rId19"/>
    <sheet name="Ficha descarrego" sheetId="21" r:id="rId20"/>
    <sheet name="Velas_máscara" sheetId="24" r:id="rId21"/>
    <sheet name="Velas" sheetId="25" r:id="rId22"/>
    <sheet name="Resumovelas" sheetId="26" r:id="rId23"/>
    <sheet name="Relatório_velas" sheetId="28" r:id="rId24"/>
    <sheet name="Velas_pagamento" sheetId="29" r:id="rId25"/>
    <sheet name="Rvelas" sheetId="30" r:id="rId26"/>
    <sheet name="Pedido_velas" sheetId="31" r:id="rId27"/>
    <sheet name="Relação_filhos" sheetId="33" r:id="rId28"/>
    <sheet name="Data_base" sheetId="39" r:id="rId29"/>
  </sheets>
  <definedNames>
    <definedName name="_xlnm._FilterDatabase" localSheetId="8" hidden="1">arrecadações!$B$2:$E$2</definedName>
    <definedName name="_xlnm._FilterDatabase" localSheetId="9" hidden="1">banho!$B$2:$E$686</definedName>
    <definedName name="_xlnm._FilterDatabase" localSheetId="10" hidden="1">descarrego!$B$2:$E$2</definedName>
    <definedName name="_xlnm._FilterDatabase" localSheetId="3" hidden="1">despesas!$B$2:$H$86</definedName>
    <definedName name="_xlnm._FilterDatabase" localSheetId="15" hidden="1">'despesas (art religi)'!$B$2:$H$32</definedName>
    <definedName name="_xlnm._FilterDatabase" localSheetId="14" hidden="1">'despesas (descartavel)'!$B$2:$H$32</definedName>
    <definedName name="_xlnm._FilterDatabase" localSheetId="11" hidden="1">'despesas (evento)'!$B$2:$H$58</definedName>
    <definedName name="_xlnm._FilterDatabase" localSheetId="16" hidden="1">'despesas (extra)'!$B$2:$H$30</definedName>
    <definedName name="_xlnm._FilterDatabase" localSheetId="13" hidden="1">'despesas (limpeza)'!$B$2:$H$30</definedName>
    <definedName name="_xlnm._FilterDatabase" localSheetId="6" hidden="1">eventos!$B$5:$O$58</definedName>
    <definedName name="_xlnm._FilterDatabase" localSheetId="2" hidden="1">mensalidades!$B$2:$I$2</definedName>
    <definedName name="_xlnm._FilterDatabase" localSheetId="27" hidden="1">Relação_filhos!$A$1:$AD$28</definedName>
    <definedName name="_xlnm._FilterDatabase" localSheetId="1" hidden="1">resumo_mens!$A$14:$O$65</definedName>
    <definedName name="_xlnm._FilterDatabase" localSheetId="12" hidden="1">saídas!$B$2:$I$95</definedName>
    <definedName name="_xlnm._FilterDatabase" localSheetId="21" hidden="1">Velas!$A$7:$Z$50</definedName>
    <definedName name="_xlnm._FilterDatabase" localSheetId="24" hidden="1">Velas_pagamento!$H$9:$K$73</definedName>
    <definedName name="_xlnm.Print_Area" localSheetId="1">resumo_mens!$B$2:$O$65</definedName>
    <definedName name="qtdsemana">Velas!$C$58</definedName>
    <definedName name="somacusto">Velas!$X$51</definedName>
  </definedNames>
  <calcPr calcId="145621"/>
  <fileRecoveryPr autoRecover="0"/>
</workbook>
</file>

<file path=xl/calcChain.xml><?xml version="1.0" encoding="utf-8"?>
<calcChain xmlns="http://schemas.openxmlformats.org/spreadsheetml/2006/main">
  <c r="M56" i="35" l="1"/>
  <c r="Y42" i="25" l="1"/>
  <c r="Y47" i="25"/>
  <c r="J18" i="4" l="1"/>
  <c r="B4" i="23"/>
  <c r="B5" i="23"/>
  <c r="B3" i="23"/>
  <c r="N17" i="4"/>
  <c r="M17" i="4"/>
  <c r="L17" i="4"/>
  <c r="K17" i="4"/>
  <c r="J17" i="4"/>
  <c r="I17" i="4"/>
  <c r="H17" i="4"/>
  <c r="G17" i="4"/>
  <c r="F17" i="4"/>
  <c r="E17" i="4"/>
  <c r="D17" i="4"/>
  <c r="C17" i="4"/>
  <c r="O17" i="4" s="1"/>
  <c r="A7" i="9"/>
  <c r="A6" i="9"/>
  <c r="A5" i="9"/>
  <c r="D16" i="4" s="1"/>
  <c r="A4" i="9"/>
  <c r="A3" i="9"/>
  <c r="K16" i="4" s="1"/>
  <c r="M18" i="4" l="1"/>
  <c r="C18" i="4"/>
  <c r="F18" i="4"/>
  <c r="N18" i="4"/>
  <c r="K18" i="4"/>
  <c r="G18" i="4"/>
  <c r="D18" i="4"/>
  <c r="H18" i="4"/>
  <c r="L18" i="4"/>
  <c r="E18" i="4"/>
  <c r="I18" i="4"/>
  <c r="L16" i="4"/>
  <c r="E16" i="4"/>
  <c r="I16" i="4"/>
  <c r="M16" i="4"/>
  <c r="H16" i="4"/>
  <c r="F16" i="4"/>
  <c r="J16" i="4"/>
  <c r="N16" i="4"/>
  <c r="C16" i="4"/>
  <c r="G16" i="4"/>
  <c r="M9" i="3"/>
  <c r="M6" i="3"/>
  <c r="P4" i="3" s="1"/>
  <c r="P7" i="3" s="1"/>
  <c r="A12" i="1"/>
  <c r="B12" i="1" s="1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42" i="3"/>
  <c r="B120" i="3"/>
  <c r="B132" i="3"/>
  <c r="B133" i="3"/>
  <c r="B125" i="3"/>
  <c r="B101" i="3"/>
  <c r="B165" i="3"/>
  <c r="B150" i="3"/>
  <c r="B99" i="3"/>
  <c r="B147" i="3"/>
  <c r="B119" i="3"/>
  <c r="B72" i="3"/>
  <c r="B168" i="3"/>
  <c r="B156" i="3"/>
  <c r="B136" i="3"/>
  <c r="B111" i="3"/>
  <c r="B158" i="3"/>
  <c r="B139" i="3"/>
  <c r="B114" i="3"/>
  <c r="B130" i="3"/>
  <c r="B107" i="3"/>
  <c r="B138" i="3"/>
  <c r="B113" i="3"/>
  <c r="B124" i="3"/>
  <c r="B103" i="3"/>
  <c r="B167" i="3"/>
  <c r="B154" i="3"/>
  <c r="B134" i="3"/>
  <c r="B109" i="3"/>
  <c r="B166" i="3"/>
  <c r="B151" i="3"/>
  <c r="B126" i="3"/>
  <c r="B104" i="3"/>
  <c r="B131" i="3"/>
  <c r="B108" i="3"/>
  <c r="B145" i="3"/>
  <c r="B117" i="3"/>
  <c r="B98" i="3"/>
  <c r="B127" i="3"/>
  <c r="B105" i="3"/>
  <c r="B164" i="3"/>
  <c r="B149" i="3"/>
  <c r="B122" i="3"/>
  <c r="B102" i="3"/>
  <c r="B163" i="3"/>
  <c r="B148" i="3"/>
  <c r="B121" i="3"/>
  <c r="B100" i="3"/>
  <c r="B153" i="3"/>
  <c r="B129" i="3"/>
  <c r="B106" i="3"/>
  <c r="B152" i="3"/>
  <c r="B128" i="3"/>
  <c r="B73" i="3"/>
  <c r="B143" i="3"/>
  <c r="B155" i="3"/>
  <c r="B135" i="3"/>
  <c r="B110" i="3"/>
  <c r="B38" i="37"/>
  <c r="B103" i="37"/>
  <c r="M6" i="23"/>
  <c r="O18" i="4" l="1"/>
  <c r="B25" i="37"/>
  <c r="B3" i="37"/>
  <c r="B18" i="37"/>
  <c r="B37" i="37"/>
  <c r="B57" i="37"/>
  <c r="B58" i="37"/>
  <c r="B72" i="37"/>
  <c r="B17" i="37"/>
  <c r="B34" i="37"/>
  <c r="B52" i="37"/>
  <c r="B53" i="37"/>
  <c r="B36" i="37"/>
  <c r="B56" i="37"/>
  <c r="B70" i="37"/>
  <c r="B71" i="37"/>
  <c r="B16" i="37"/>
  <c r="B51" i="37"/>
  <c r="B46" i="37"/>
  <c r="B67" i="37"/>
  <c r="B68" i="37"/>
  <c r="B30" i="37"/>
  <c r="B47" i="37"/>
  <c r="B69" i="37"/>
  <c r="B22" i="37"/>
  <c r="B42" i="37"/>
  <c r="B63" i="37"/>
  <c r="B73" i="37"/>
  <c r="B24" i="37"/>
  <c r="B43" i="37"/>
  <c r="B64" i="37"/>
  <c r="B74" i="37"/>
  <c r="B12" i="37"/>
  <c r="B29" i="37"/>
  <c r="B45" i="37"/>
  <c r="B66" i="37"/>
  <c r="B5" i="37"/>
  <c r="B20" i="37"/>
  <c r="B40" i="37"/>
  <c r="B60" i="37"/>
  <c r="B28" i="37"/>
  <c r="B11" i="37"/>
  <c r="B26" i="37"/>
  <c r="B44" i="37"/>
  <c r="B54" i="37"/>
  <c r="B14" i="37"/>
  <c r="B31" i="37"/>
  <c r="B48" i="37"/>
  <c r="B35" i="37"/>
  <c r="B55" i="37"/>
  <c r="B61" i="37"/>
  <c r="B8" i="37"/>
  <c r="B21" i="37"/>
  <c r="B41" i="37"/>
  <c r="B62" i="37"/>
  <c r="B65" i="37"/>
  <c r="B75" i="37"/>
  <c r="B9" i="37"/>
  <c r="B23" i="37"/>
  <c r="B27" i="37"/>
  <c r="B50" i="37"/>
  <c r="B15" i="37"/>
  <c r="B32" i="37"/>
  <c r="B49" i="37"/>
  <c r="B4" i="37"/>
  <c r="B19" i="37"/>
  <c r="B39" i="37"/>
  <c r="B59" i="37"/>
  <c r="B6" i="37"/>
  <c r="B7" i="37"/>
  <c r="B76" i="37"/>
  <c r="B77" i="37"/>
  <c r="B78" i="37"/>
  <c r="B79" i="37"/>
  <c r="B80" i="37"/>
  <c r="B81" i="37"/>
  <c r="B82" i="37"/>
  <c r="B83" i="37"/>
  <c r="B84" i="37"/>
  <c r="B85" i="37"/>
  <c r="B86" i="37"/>
  <c r="B87" i="37"/>
  <c r="B88" i="37"/>
  <c r="B89" i="37"/>
  <c r="B90" i="37"/>
  <c r="B91" i="37"/>
  <c r="B92" i="37"/>
  <c r="B93" i="37"/>
  <c r="B94" i="37"/>
  <c r="B95" i="37"/>
  <c r="B96" i="37"/>
  <c r="B97" i="37"/>
  <c r="B98" i="37"/>
  <c r="B99" i="37"/>
  <c r="B100" i="37"/>
  <c r="B101" i="37"/>
  <c r="B102" i="37"/>
  <c r="B10" i="37"/>
  <c r="B4" i="3"/>
  <c r="B5" i="3"/>
  <c r="B7" i="3"/>
  <c r="B6" i="3"/>
  <c r="B9" i="3"/>
  <c r="B8" i="3"/>
  <c r="B10" i="3"/>
  <c r="B11" i="3"/>
  <c r="B12" i="3"/>
  <c r="B13" i="3"/>
  <c r="B19" i="3"/>
  <c r="B18" i="3"/>
  <c r="B15" i="3"/>
  <c r="B16" i="3"/>
  <c r="B21" i="3"/>
  <c r="B22" i="3"/>
  <c r="B24" i="3"/>
  <c r="B26" i="3"/>
  <c r="B32" i="3"/>
  <c r="B33" i="3"/>
  <c r="B27" i="3"/>
  <c r="B29" i="3"/>
  <c r="B30" i="3"/>
  <c r="B31" i="3"/>
  <c r="B25" i="3"/>
  <c r="B28" i="3"/>
  <c r="B23" i="3"/>
  <c r="B39" i="3"/>
  <c r="B36" i="3"/>
  <c r="B37" i="3"/>
  <c r="B38" i="3"/>
  <c r="B45" i="3"/>
  <c r="B42" i="3"/>
  <c r="B43" i="3"/>
  <c r="B41" i="3"/>
  <c r="B40" i="3"/>
  <c r="B44" i="3"/>
  <c r="B52" i="3"/>
  <c r="B54" i="3"/>
  <c r="B48" i="3"/>
  <c r="B53" i="3"/>
  <c r="B55" i="3"/>
  <c r="B57" i="3"/>
  <c r="B56" i="3"/>
  <c r="B58" i="3"/>
  <c r="B59" i="3"/>
  <c r="B17" i="3"/>
  <c r="B20" i="3"/>
  <c r="B14" i="3"/>
  <c r="B35" i="3"/>
  <c r="B34" i="3"/>
  <c r="B87" i="3"/>
  <c r="B85" i="3"/>
  <c r="B83" i="3"/>
  <c r="B49" i="3"/>
  <c r="B51" i="3"/>
  <c r="B46" i="3"/>
  <c r="B47" i="3"/>
  <c r="B50" i="3"/>
  <c r="B64" i="3"/>
  <c r="B63" i="3"/>
  <c r="B62" i="3"/>
  <c r="B60" i="3"/>
  <c r="B61" i="3"/>
  <c r="B65" i="3"/>
  <c r="B67" i="3"/>
  <c r="B70" i="3"/>
  <c r="B69" i="3"/>
  <c r="B68" i="3"/>
  <c r="B66" i="3"/>
  <c r="B78" i="3"/>
  <c r="B81" i="3"/>
  <c r="B79" i="3"/>
  <c r="B82" i="3"/>
  <c r="B80" i="3"/>
  <c r="B92" i="3"/>
  <c r="B86" i="3"/>
  <c r="B84" i="3"/>
  <c r="B74" i="3"/>
  <c r="B77" i="3"/>
  <c r="B75" i="3"/>
  <c r="B88" i="3"/>
  <c r="B89" i="3"/>
  <c r="B90" i="3"/>
  <c r="B91" i="3"/>
  <c r="B93" i="3"/>
  <c r="B94" i="3"/>
  <c r="B76" i="3"/>
  <c r="B96" i="3"/>
  <c r="B95" i="3"/>
  <c r="B3" i="3"/>
  <c r="N16" i="1" s="1"/>
  <c r="N54" i="1" l="1"/>
  <c r="J42" i="1"/>
  <c r="L42" i="1"/>
  <c r="L53" i="1"/>
  <c r="H54" i="1"/>
  <c r="M16" i="1"/>
  <c r="I55" i="1"/>
  <c r="C16" i="1"/>
  <c r="J41" i="1"/>
  <c r="M42" i="1"/>
  <c r="H42" i="1"/>
  <c r="J53" i="1"/>
  <c r="H53" i="1"/>
  <c r="J54" i="1"/>
  <c r="E54" i="1"/>
  <c r="D54" i="1"/>
  <c r="F42" i="1"/>
  <c r="J55" i="1"/>
  <c r="I16" i="1"/>
  <c r="E55" i="1"/>
  <c r="D16" i="1"/>
  <c r="D42" i="1"/>
  <c r="K55" i="1"/>
  <c r="C53" i="1"/>
  <c r="C54" i="1"/>
  <c r="H16" i="1"/>
  <c r="F41" i="1"/>
  <c r="I42" i="1"/>
  <c r="K42" i="1"/>
  <c r="M53" i="1"/>
  <c r="K53" i="1"/>
  <c r="F54" i="1"/>
  <c r="E53" i="1"/>
  <c r="K54" i="1"/>
  <c r="J16" i="1"/>
  <c r="F55" i="1"/>
  <c r="E16" i="1"/>
  <c r="D53" i="1"/>
  <c r="L55" i="1"/>
  <c r="K16" i="1"/>
  <c r="G55" i="1"/>
  <c r="N53" i="1"/>
  <c r="C42" i="1"/>
  <c r="I54" i="1"/>
  <c r="N55" i="1"/>
  <c r="D55" i="1"/>
  <c r="E42" i="1"/>
  <c r="G42" i="1"/>
  <c r="I53" i="1"/>
  <c r="G53" i="1"/>
  <c r="M54" i="1"/>
  <c r="L54" i="1"/>
  <c r="G54" i="1"/>
  <c r="F16" i="1"/>
  <c r="F53" i="1"/>
  <c r="M55" i="1"/>
  <c r="L16" i="1"/>
  <c r="H55" i="1"/>
  <c r="G16" i="1"/>
  <c r="C55" i="1"/>
  <c r="N42" i="1"/>
  <c r="C41" i="1"/>
  <c r="M41" i="1"/>
  <c r="H41" i="1"/>
  <c r="D41" i="1"/>
  <c r="L41" i="1"/>
  <c r="I41" i="1"/>
  <c r="K41" i="1"/>
  <c r="N41" i="1"/>
  <c r="E41" i="1"/>
  <c r="G41" i="1"/>
  <c r="K19" i="1"/>
  <c r="L19" i="1"/>
  <c r="F19" i="1"/>
  <c r="M19" i="1"/>
  <c r="H19" i="1"/>
  <c r="C19" i="1"/>
  <c r="I19" i="1"/>
  <c r="D19" i="1"/>
  <c r="N19" i="1"/>
  <c r="E19" i="1"/>
  <c r="J19" i="1"/>
  <c r="G19" i="1"/>
  <c r="F27" i="1"/>
  <c r="J27" i="1"/>
  <c r="N27" i="1"/>
  <c r="F28" i="1"/>
  <c r="J28" i="1"/>
  <c r="N28" i="1"/>
  <c r="F29" i="1"/>
  <c r="J29" i="1"/>
  <c r="N29" i="1"/>
  <c r="F30" i="1"/>
  <c r="J30" i="1"/>
  <c r="N30" i="1"/>
  <c r="F31" i="1"/>
  <c r="J31" i="1"/>
  <c r="N31" i="1"/>
  <c r="F32" i="1"/>
  <c r="J32" i="1"/>
  <c r="N32" i="1"/>
  <c r="F33" i="1"/>
  <c r="J33" i="1"/>
  <c r="N33" i="1"/>
  <c r="F34" i="1"/>
  <c r="J34" i="1"/>
  <c r="N34" i="1"/>
  <c r="F35" i="1"/>
  <c r="J35" i="1"/>
  <c r="N35" i="1"/>
  <c r="F36" i="1"/>
  <c r="J36" i="1"/>
  <c r="N36" i="1"/>
  <c r="F37" i="1"/>
  <c r="J37" i="1"/>
  <c r="N37" i="1"/>
  <c r="F38" i="1"/>
  <c r="J38" i="1"/>
  <c r="N38" i="1"/>
  <c r="F39" i="1"/>
  <c r="J39" i="1"/>
  <c r="N39" i="1"/>
  <c r="F40" i="1"/>
  <c r="J40" i="1"/>
  <c r="N40" i="1"/>
  <c r="F43" i="1"/>
  <c r="J43" i="1"/>
  <c r="N43" i="1"/>
  <c r="F44" i="1"/>
  <c r="J44" i="1"/>
  <c r="N44" i="1"/>
  <c r="F45" i="1"/>
  <c r="J45" i="1"/>
  <c r="N45" i="1"/>
  <c r="F46" i="1"/>
  <c r="J46" i="1"/>
  <c r="N46" i="1"/>
  <c r="F47" i="1"/>
  <c r="J47" i="1"/>
  <c r="N47" i="1"/>
  <c r="F48" i="1"/>
  <c r="J48" i="1"/>
  <c r="N48" i="1"/>
  <c r="F49" i="1"/>
  <c r="J49" i="1"/>
  <c r="N49" i="1"/>
  <c r="F50" i="1"/>
  <c r="J50" i="1"/>
  <c r="N50" i="1"/>
  <c r="F51" i="1"/>
  <c r="J51" i="1"/>
  <c r="N51" i="1"/>
  <c r="F52" i="1"/>
  <c r="J52" i="1"/>
  <c r="N52" i="1"/>
  <c r="F56" i="1"/>
  <c r="J56" i="1"/>
  <c r="N56" i="1"/>
  <c r="F57" i="1"/>
  <c r="J57" i="1"/>
  <c r="N57" i="1"/>
  <c r="F58" i="1"/>
  <c r="J58" i="1"/>
  <c r="N58" i="1"/>
  <c r="F59" i="1"/>
  <c r="J59" i="1"/>
  <c r="N59" i="1"/>
  <c r="F60" i="1"/>
  <c r="C27" i="1"/>
  <c r="G27" i="1"/>
  <c r="K27" i="1"/>
  <c r="C28" i="1"/>
  <c r="G28" i="1"/>
  <c r="K28" i="1"/>
  <c r="C29" i="1"/>
  <c r="G29" i="1"/>
  <c r="K29" i="1"/>
  <c r="C30" i="1"/>
  <c r="G30" i="1"/>
  <c r="K30" i="1"/>
  <c r="C31" i="1"/>
  <c r="G31" i="1"/>
  <c r="K31" i="1"/>
  <c r="C32" i="1"/>
  <c r="G32" i="1"/>
  <c r="K32" i="1"/>
  <c r="C33" i="1"/>
  <c r="G33" i="1"/>
  <c r="K33" i="1"/>
  <c r="C34" i="1"/>
  <c r="G34" i="1"/>
  <c r="K34" i="1"/>
  <c r="C35" i="1"/>
  <c r="G35" i="1"/>
  <c r="K35" i="1"/>
  <c r="C36" i="1"/>
  <c r="G36" i="1"/>
  <c r="K36" i="1"/>
  <c r="C37" i="1"/>
  <c r="G37" i="1"/>
  <c r="K37" i="1"/>
  <c r="C38" i="1"/>
  <c r="G38" i="1"/>
  <c r="K38" i="1"/>
  <c r="C39" i="1"/>
  <c r="G39" i="1"/>
  <c r="K39" i="1"/>
  <c r="C40" i="1"/>
  <c r="G40" i="1"/>
  <c r="K40" i="1"/>
  <c r="C43" i="1"/>
  <c r="G43" i="1"/>
  <c r="K43" i="1"/>
  <c r="C44" i="1"/>
  <c r="G44" i="1"/>
  <c r="K44" i="1"/>
  <c r="C45" i="1"/>
  <c r="G45" i="1"/>
  <c r="K45" i="1"/>
  <c r="C46" i="1"/>
  <c r="G46" i="1"/>
  <c r="K46" i="1"/>
  <c r="C47" i="1"/>
  <c r="G47" i="1"/>
  <c r="K47" i="1"/>
  <c r="C48" i="1"/>
  <c r="G48" i="1"/>
  <c r="K48" i="1"/>
  <c r="C49" i="1"/>
  <c r="G49" i="1"/>
  <c r="K49" i="1"/>
  <c r="C50" i="1"/>
  <c r="G50" i="1"/>
  <c r="K50" i="1"/>
  <c r="C51" i="1"/>
  <c r="G51" i="1"/>
  <c r="D27" i="1"/>
  <c r="H27" i="1"/>
  <c r="L27" i="1"/>
  <c r="D28" i="1"/>
  <c r="H28" i="1"/>
  <c r="L28" i="1"/>
  <c r="D29" i="1"/>
  <c r="H29" i="1"/>
  <c r="L29" i="1"/>
  <c r="D30" i="1"/>
  <c r="H30" i="1"/>
  <c r="L30" i="1"/>
  <c r="D31" i="1"/>
  <c r="H31" i="1"/>
  <c r="L31" i="1"/>
  <c r="D32" i="1"/>
  <c r="H32" i="1"/>
  <c r="L32" i="1"/>
  <c r="D33" i="1"/>
  <c r="H33" i="1"/>
  <c r="L33" i="1"/>
  <c r="D34" i="1"/>
  <c r="H34" i="1"/>
  <c r="L34" i="1"/>
  <c r="D35" i="1"/>
  <c r="H35" i="1"/>
  <c r="L35" i="1"/>
  <c r="D36" i="1"/>
  <c r="H36" i="1"/>
  <c r="L36" i="1"/>
  <c r="D37" i="1"/>
  <c r="H37" i="1"/>
  <c r="L37" i="1"/>
  <c r="D38" i="1"/>
  <c r="H38" i="1"/>
  <c r="L38" i="1"/>
  <c r="D39" i="1"/>
  <c r="H39" i="1"/>
  <c r="L39" i="1"/>
  <c r="D40" i="1"/>
  <c r="H40" i="1"/>
  <c r="L40" i="1"/>
  <c r="D43" i="1"/>
  <c r="H43" i="1"/>
  <c r="L43" i="1"/>
  <c r="D44" i="1"/>
  <c r="H44" i="1"/>
  <c r="L44" i="1"/>
  <c r="D45" i="1"/>
  <c r="H45" i="1"/>
  <c r="L45" i="1"/>
  <c r="D46" i="1"/>
  <c r="H46" i="1"/>
  <c r="L46" i="1"/>
  <c r="D47" i="1"/>
  <c r="H47" i="1"/>
  <c r="L47" i="1"/>
  <c r="D48" i="1"/>
  <c r="H48" i="1"/>
  <c r="L48" i="1"/>
  <c r="D49" i="1"/>
  <c r="H49" i="1"/>
  <c r="L49" i="1"/>
  <c r="D50" i="1"/>
  <c r="H50" i="1"/>
  <c r="L50" i="1"/>
  <c r="D51" i="1"/>
  <c r="H51" i="1"/>
  <c r="L51" i="1"/>
  <c r="D52" i="1"/>
  <c r="H52" i="1"/>
  <c r="L52" i="1"/>
  <c r="D56" i="1"/>
  <c r="H56" i="1"/>
  <c r="L56" i="1"/>
  <c r="D57" i="1"/>
  <c r="H57" i="1"/>
  <c r="L57" i="1"/>
  <c r="D58" i="1"/>
  <c r="H58" i="1"/>
  <c r="L58" i="1"/>
  <c r="D59" i="1"/>
  <c r="H59" i="1"/>
  <c r="L59" i="1"/>
  <c r="D60" i="1"/>
  <c r="E28" i="1"/>
  <c r="I29" i="1"/>
  <c r="M30" i="1"/>
  <c r="E32" i="1"/>
  <c r="I33" i="1"/>
  <c r="M34" i="1"/>
  <c r="E36" i="1"/>
  <c r="I37" i="1"/>
  <c r="M38" i="1"/>
  <c r="E40" i="1"/>
  <c r="I43" i="1"/>
  <c r="M44" i="1"/>
  <c r="E46" i="1"/>
  <c r="I47" i="1"/>
  <c r="M48" i="1"/>
  <c r="E50" i="1"/>
  <c r="I51" i="1"/>
  <c r="E52" i="1"/>
  <c r="M52" i="1"/>
  <c r="I56" i="1"/>
  <c r="E57" i="1"/>
  <c r="M57" i="1"/>
  <c r="I58" i="1"/>
  <c r="E59" i="1"/>
  <c r="M59" i="1"/>
  <c r="H60" i="1"/>
  <c r="L60" i="1"/>
  <c r="D61" i="1"/>
  <c r="H61" i="1"/>
  <c r="L61" i="1"/>
  <c r="D62" i="1"/>
  <c r="H62" i="1"/>
  <c r="L62" i="1"/>
  <c r="D63" i="1"/>
  <c r="H63" i="1"/>
  <c r="L63" i="1"/>
  <c r="D64" i="1"/>
  <c r="H64" i="1"/>
  <c r="L64" i="1"/>
  <c r="D65" i="1"/>
  <c r="H65" i="1"/>
  <c r="L65" i="1"/>
  <c r="D17" i="1"/>
  <c r="H17" i="1"/>
  <c r="L17" i="1"/>
  <c r="D18" i="1"/>
  <c r="H18" i="1"/>
  <c r="L18" i="1"/>
  <c r="D20" i="1"/>
  <c r="H20" i="1"/>
  <c r="L20" i="1"/>
  <c r="D21" i="1"/>
  <c r="H21" i="1"/>
  <c r="L21" i="1"/>
  <c r="D22" i="1"/>
  <c r="H22" i="1"/>
  <c r="L22" i="1"/>
  <c r="D23" i="1"/>
  <c r="H23" i="1"/>
  <c r="L23" i="1"/>
  <c r="D24" i="1"/>
  <c r="H24" i="1"/>
  <c r="L24" i="1"/>
  <c r="D25" i="1"/>
  <c r="H25" i="1"/>
  <c r="L25" i="1"/>
  <c r="D26" i="1"/>
  <c r="H26" i="1"/>
  <c r="L26" i="1"/>
  <c r="M15" i="1"/>
  <c r="I15" i="1"/>
  <c r="E15" i="1"/>
  <c r="G63" i="1"/>
  <c r="G64" i="1"/>
  <c r="G65" i="1"/>
  <c r="G17" i="1"/>
  <c r="G18" i="1"/>
  <c r="C20" i="1"/>
  <c r="C21" i="1"/>
  <c r="E27" i="1"/>
  <c r="I28" i="1"/>
  <c r="M29" i="1"/>
  <c r="E31" i="1"/>
  <c r="I32" i="1"/>
  <c r="M33" i="1"/>
  <c r="E35" i="1"/>
  <c r="I36" i="1"/>
  <c r="M37" i="1"/>
  <c r="E39" i="1"/>
  <c r="I40" i="1"/>
  <c r="M43" i="1"/>
  <c r="E45" i="1"/>
  <c r="I46" i="1"/>
  <c r="M47" i="1"/>
  <c r="E49" i="1"/>
  <c r="I50" i="1"/>
  <c r="K51" i="1"/>
  <c r="G52" i="1"/>
  <c r="C56" i="1"/>
  <c r="K56" i="1"/>
  <c r="G57" i="1"/>
  <c r="C58" i="1"/>
  <c r="K58" i="1"/>
  <c r="G59" i="1"/>
  <c r="C60" i="1"/>
  <c r="I60" i="1"/>
  <c r="M60" i="1"/>
  <c r="E61" i="1"/>
  <c r="I61" i="1"/>
  <c r="M61" i="1"/>
  <c r="E62" i="1"/>
  <c r="I62" i="1"/>
  <c r="M62" i="1"/>
  <c r="E63" i="1"/>
  <c r="I63" i="1"/>
  <c r="M63" i="1"/>
  <c r="E64" i="1"/>
  <c r="I64" i="1"/>
  <c r="M64" i="1"/>
  <c r="E65" i="1"/>
  <c r="I65" i="1"/>
  <c r="M65" i="1"/>
  <c r="E17" i="1"/>
  <c r="I17" i="1"/>
  <c r="M17" i="1"/>
  <c r="E18" i="1"/>
  <c r="I18" i="1"/>
  <c r="M18" i="1"/>
  <c r="E20" i="1"/>
  <c r="I20" i="1"/>
  <c r="M20" i="1"/>
  <c r="E21" i="1"/>
  <c r="I21" i="1"/>
  <c r="M21" i="1"/>
  <c r="E22" i="1"/>
  <c r="I22" i="1"/>
  <c r="M22" i="1"/>
  <c r="E23" i="1"/>
  <c r="I23" i="1"/>
  <c r="M23" i="1"/>
  <c r="E24" i="1"/>
  <c r="I24" i="1"/>
  <c r="M24" i="1"/>
  <c r="E25" i="1"/>
  <c r="I25" i="1"/>
  <c r="M25" i="1"/>
  <c r="E26" i="1"/>
  <c r="I26" i="1"/>
  <c r="M26" i="1"/>
  <c r="L15" i="1"/>
  <c r="H15" i="1"/>
  <c r="D15" i="1"/>
  <c r="G56" i="1"/>
  <c r="G58" i="1"/>
  <c r="K59" i="1"/>
  <c r="K60" i="1"/>
  <c r="G61" i="1"/>
  <c r="C62" i="1"/>
  <c r="K62" i="1"/>
  <c r="K63" i="1"/>
  <c r="C65" i="1"/>
  <c r="C17" i="1"/>
  <c r="C18" i="1"/>
  <c r="G20" i="1"/>
  <c r="I27" i="1"/>
  <c r="M28" i="1"/>
  <c r="E30" i="1"/>
  <c r="I31" i="1"/>
  <c r="M32" i="1"/>
  <c r="E34" i="1"/>
  <c r="I35" i="1"/>
  <c r="M36" i="1"/>
  <c r="E38" i="1"/>
  <c r="I39" i="1"/>
  <c r="M40" i="1"/>
  <c r="E44" i="1"/>
  <c r="I45" i="1"/>
  <c r="M46" i="1"/>
  <c r="E48" i="1"/>
  <c r="I49" i="1"/>
  <c r="M50" i="1"/>
  <c r="M51" i="1"/>
  <c r="I52" i="1"/>
  <c r="E56" i="1"/>
  <c r="M56" i="1"/>
  <c r="I57" i="1"/>
  <c r="E58" i="1"/>
  <c r="M58" i="1"/>
  <c r="I59" i="1"/>
  <c r="E60" i="1"/>
  <c r="J60" i="1"/>
  <c r="N60" i="1"/>
  <c r="F61" i="1"/>
  <c r="J61" i="1"/>
  <c r="N61" i="1"/>
  <c r="F62" i="1"/>
  <c r="J62" i="1"/>
  <c r="N62" i="1"/>
  <c r="F63" i="1"/>
  <c r="J63" i="1"/>
  <c r="N63" i="1"/>
  <c r="F64" i="1"/>
  <c r="J64" i="1"/>
  <c r="N64" i="1"/>
  <c r="F65" i="1"/>
  <c r="J65" i="1"/>
  <c r="N65" i="1"/>
  <c r="F17" i="1"/>
  <c r="J17" i="1"/>
  <c r="N17" i="1"/>
  <c r="F18" i="1"/>
  <c r="J18" i="1"/>
  <c r="N18" i="1"/>
  <c r="F20" i="1"/>
  <c r="J20" i="1"/>
  <c r="N20" i="1"/>
  <c r="F21" i="1"/>
  <c r="J21" i="1"/>
  <c r="N21" i="1"/>
  <c r="F22" i="1"/>
  <c r="J22" i="1"/>
  <c r="N22" i="1"/>
  <c r="F23" i="1"/>
  <c r="J23" i="1"/>
  <c r="N23" i="1"/>
  <c r="F24" i="1"/>
  <c r="J24" i="1"/>
  <c r="N24" i="1"/>
  <c r="F25" i="1"/>
  <c r="J25" i="1"/>
  <c r="N25" i="1"/>
  <c r="F26" i="1"/>
  <c r="J26" i="1"/>
  <c r="N26" i="1"/>
  <c r="K15" i="1"/>
  <c r="G15" i="1"/>
  <c r="C15" i="1"/>
  <c r="M27" i="1"/>
  <c r="E29" i="1"/>
  <c r="I30" i="1"/>
  <c r="M31" i="1"/>
  <c r="E33" i="1"/>
  <c r="I34" i="1"/>
  <c r="M35" i="1"/>
  <c r="E37" i="1"/>
  <c r="I38" i="1"/>
  <c r="M39" i="1"/>
  <c r="E43" i="1"/>
  <c r="I44" i="1"/>
  <c r="M45" i="1"/>
  <c r="E47" i="1"/>
  <c r="I48" i="1"/>
  <c r="M49" i="1"/>
  <c r="E51" i="1"/>
  <c r="C52" i="1"/>
  <c r="K52" i="1"/>
  <c r="C57" i="1"/>
  <c r="K57" i="1"/>
  <c r="C59" i="1"/>
  <c r="G60" i="1"/>
  <c r="C61" i="1"/>
  <c r="K61" i="1"/>
  <c r="G62" i="1"/>
  <c r="C63" i="1"/>
  <c r="C64" i="1"/>
  <c r="K64" i="1"/>
  <c r="K65" i="1"/>
  <c r="K17" i="1"/>
  <c r="K18" i="1"/>
  <c r="K20" i="1"/>
  <c r="G22" i="1"/>
  <c r="K23" i="1"/>
  <c r="C25" i="1"/>
  <c r="G26" i="1"/>
  <c r="F15" i="1"/>
  <c r="K26" i="1"/>
  <c r="G21" i="1"/>
  <c r="K22" i="1"/>
  <c r="C24" i="1"/>
  <c r="G25" i="1"/>
  <c r="K21" i="1"/>
  <c r="C23" i="1"/>
  <c r="G24" i="1"/>
  <c r="K25" i="1"/>
  <c r="N15" i="1"/>
  <c r="C22" i="1"/>
  <c r="G23" i="1"/>
  <c r="K24" i="1"/>
  <c r="C26" i="1"/>
  <c r="J15" i="1"/>
  <c r="K56" i="35"/>
  <c r="X49" i="24"/>
  <c r="W49" i="24"/>
  <c r="M3" i="23"/>
  <c r="M3" i="35"/>
  <c r="K3" i="35"/>
  <c r="B31" i="31"/>
  <c r="B30" i="31"/>
  <c r="B29" i="31"/>
  <c r="B28" i="31"/>
  <c r="B27" i="31"/>
  <c r="B26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E38" i="31"/>
  <c r="E39" i="31" s="1"/>
  <c r="L51" i="29"/>
  <c r="L50" i="29"/>
  <c r="L49" i="29"/>
  <c r="L48" i="29"/>
  <c r="M47" i="29"/>
  <c r="L47" i="29"/>
  <c r="L46" i="29"/>
  <c r="L45" i="29"/>
  <c r="L44" i="29"/>
  <c r="L43" i="29"/>
  <c r="L42" i="29"/>
  <c r="L41" i="29"/>
  <c r="L40" i="29"/>
  <c r="L39" i="29"/>
  <c r="L38" i="29"/>
  <c r="M37" i="29"/>
  <c r="L37" i="29"/>
  <c r="L36" i="29"/>
  <c r="L35" i="29"/>
  <c r="L34" i="29"/>
  <c r="L33" i="29"/>
  <c r="L32" i="29"/>
  <c r="L31" i="29"/>
  <c r="D14" i="28" a="1"/>
  <c r="D14" i="28" s="1"/>
  <c r="D17" i="28" a="1"/>
  <c r="D17" i="28" s="1"/>
  <c r="D13" i="28" a="1"/>
  <c r="D13" i="28" s="1"/>
  <c r="D9" i="28" a="1"/>
  <c r="D9" i="28"/>
  <c r="D16" i="28" a="1"/>
  <c r="D16" i="28" s="1"/>
  <c r="D20" i="28" a="1"/>
  <c r="D20" i="28" s="1"/>
  <c r="D8" i="28" a="1"/>
  <c r="D8" i="28"/>
  <c r="D10" i="28" a="1"/>
  <c r="D10" i="28" s="1"/>
  <c r="D19" i="28" a="1"/>
  <c r="D19" i="28" s="1"/>
  <c r="D11" i="28" a="1"/>
  <c r="D11" i="28" s="1"/>
  <c r="D12" i="28" a="1"/>
  <c r="D12" i="28" s="1"/>
  <c r="D7" i="28" a="1"/>
  <c r="D7" i="28" s="1"/>
  <c r="D18" i="28" a="1"/>
  <c r="D18" i="28" s="1"/>
  <c r="D15" i="28" a="1"/>
  <c r="D15" i="28" s="1"/>
  <c r="D58" i="25"/>
  <c r="C58" i="25" s="1"/>
  <c r="X50" i="24"/>
  <c r="W50" i="24"/>
  <c r="X48" i="24"/>
  <c r="W48" i="24"/>
  <c r="X47" i="24"/>
  <c r="W47" i="24"/>
  <c r="X46" i="24"/>
  <c r="W46" i="24"/>
  <c r="X45" i="24"/>
  <c r="W45" i="24"/>
  <c r="X44" i="24"/>
  <c r="W44" i="24"/>
  <c r="X43" i="24"/>
  <c r="W43" i="24"/>
  <c r="X42" i="24"/>
  <c r="W42" i="24"/>
  <c r="X41" i="24"/>
  <c r="W41" i="24"/>
  <c r="X40" i="24"/>
  <c r="W40" i="24"/>
  <c r="X39" i="24"/>
  <c r="W39" i="24"/>
  <c r="X38" i="24"/>
  <c r="W38" i="24"/>
  <c r="X37" i="24"/>
  <c r="W37" i="24"/>
  <c r="X36" i="24"/>
  <c r="W36" i="24"/>
  <c r="X35" i="24"/>
  <c r="W35" i="24"/>
  <c r="X34" i="24"/>
  <c r="W34" i="24"/>
  <c r="X33" i="24"/>
  <c r="W33" i="24"/>
  <c r="X32" i="24"/>
  <c r="W32" i="24"/>
  <c r="X31" i="24"/>
  <c r="W31" i="24"/>
  <c r="X30" i="24"/>
  <c r="W30" i="24"/>
  <c r="X29" i="24"/>
  <c r="W29" i="24"/>
  <c r="X28" i="24"/>
  <c r="W28" i="24"/>
  <c r="X27" i="24"/>
  <c r="W27" i="24"/>
  <c r="X26" i="24"/>
  <c r="W26" i="24"/>
  <c r="X25" i="24"/>
  <c r="W25" i="24"/>
  <c r="X24" i="24"/>
  <c r="W24" i="24"/>
  <c r="X23" i="24"/>
  <c r="W23" i="24"/>
  <c r="X22" i="24"/>
  <c r="W22" i="24"/>
  <c r="X21" i="24"/>
  <c r="W21" i="24"/>
  <c r="X20" i="24"/>
  <c r="W20" i="24"/>
  <c r="X19" i="24"/>
  <c r="W19" i="24"/>
  <c r="X18" i="24"/>
  <c r="W18" i="24"/>
  <c r="X17" i="24"/>
  <c r="W17" i="24"/>
  <c r="X16" i="24"/>
  <c r="W16" i="24"/>
  <c r="X15" i="24"/>
  <c r="W15" i="24"/>
  <c r="X14" i="24"/>
  <c r="W14" i="24"/>
  <c r="X13" i="24"/>
  <c r="W13" i="24"/>
  <c r="X12" i="24"/>
  <c r="W12" i="24"/>
  <c r="X11" i="24"/>
  <c r="W11" i="24"/>
  <c r="X10" i="24"/>
  <c r="W10" i="24"/>
  <c r="X9" i="24"/>
  <c r="W9" i="24"/>
  <c r="X8" i="24"/>
  <c r="W8" i="24"/>
  <c r="V3" i="24"/>
  <c r="V4" i="24" s="1"/>
  <c r="U3" i="24"/>
  <c r="U4" i="24"/>
  <c r="T3" i="24"/>
  <c r="T4" i="24" s="1"/>
  <c r="S3" i="24"/>
  <c r="S4" i="24"/>
  <c r="R3" i="24"/>
  <c r="R4" i="24" s="1"/>
  <c r="Q3" i="24"/>
  <c r="Q4" i="24"/>
  <c r="P3" i="24"/>
  <c r="P4" i="24" s="1"/>
  <c r="O3" i="24"/>
  <c r="O4" i="24"/>
  <c r="N3" i="24"/>
  <c r="N4" i="24" s="1"/>
  <c r="M3" i="24"/>
  <c r="M4" i="24"/>
  <c r="L3" i="24"/>
  <c r="L4" i="24" s="1"/>
  <c r="K3" i="24"/>
  <c r="K4" i="24"/>
  <c r="J3" i="24"/>
  <c r="J4" i="24" s="1"/>
  <c r="I3" i="24"/>
  <c r="I4" i="24"/>
  <c r="H3" i="24"/>
  <c r="H4" i="24" s="1"/>
  <c r="G3" i="24"/>
  <c r="G4" i="24"/>
  <c r="F3" i="24"/>
  <c r="F4" i="24" s="1"/>
  <c r="E3" i="24"/>
  <c r="E4" i="24"/>
  <c r="D3" i="24"/>
  <c r="D4" i="24" s="1"/>
  <c r="C3" i="24"/>
  <c r="C4" i="24"/>
  <c r="C37" i="25"/>
  <c r="S37" i="25"/>
  <c r="V37" i="25"/>
  <c r="H37" i="25"/>
  <c r="P41" i="25"/>
  <c r="F37" i="25"/>
  <c r="L41" i="25"/>
  <c r="S41" i="25"/>
  <c r="I47" i="25"/>
  <c r="M41" i="25"/>
  <c r="R48" i="25"/>
  <c r="Q48" i="25"/>
  <c r="S48" i="25"/>
  <c r="T48" i="25"/>
  <c r="D48" i="25"/>
  <c r="L12" i="25"/>
  <c r="T10" i="25"/>
  <c r="P11" i="25"/>
  <c r="P12" i="25"/>
  <c r="J14" i="25"/>
  <c r="H11" i="25"/>
  <c r="L9" i="25"/>
  <c r="H30" i="25"/>
  <c r="P13" i="25"/>
  <c r="C40" i="25"/>
  <c r="P10" i="25"/>
  <c r="T13" i="25"/>
  <c r="D28" i="25"/>
  <c r="I8" i="25"/>
  <c r="E9" i="25"/>
  <c r="U9" i="25"/>
  <c r="Q10" i="25"/>
  <c r="M11" i="25"/>
  <c r="I12" i="25"/>
  <c r="E13" i="25"/>
  <c r="U13" i="25"/>
  <c r="M15" i="25"/>
  <c r="M19" i="25"/>
  <c r="R23" i="25"/>
  <c r="L28" i="25"/>
  <c r="F34" i="25"/>
  <c r="U50" i="25"/>
  <c r="E50" i="25"/>
  <c r="I49" i="25"/>
  <c r="M47" i="25"/>
  <c r="M46" i="25"/>
  <c r="Q45" i="25"/>
  <c r="U44" i="25"/>
  <c r="E44" i="25"/>
  <c r="I43" i="25"/>
  <c r="M42" i="25"/>
  <c r="E41" i="25"/>
  <c r="I40" i="25"/>
  <c r="M39" i="25"/>
  <c r="Q38" i="25"/>
  <c r="U36" i="25"/>
  <c r="E36" i="25"/>
  <c r="I35" i="25"/>
  <c r="M34" i="25"/>
  <c r="Q33" i="25"/>
  <c r="S50" i="25"/>
  <c r="C50" i="25"/>
  <c r="G49" i="25"/>
  <c r="K47" i="25"/>
  <c r="O46" i="25"/>
  <c r="S45" i="25"/>
  <c r="C45" i="25"/>
  <c r="G44" i="25"/>
  <c r="K43" i="25"/>
  <c r="O42" i="25"/>
  <c r="G41" i="25"/>
  <c r="K40" i="25"/>
  <c r="D50" i="25"/>
  <c r="L47" i="25"/>
  <c r="L45" i="25"/>
  <c r="T43" i="25"/>
  <c r="H42" i="25"/>
  <c r="V39" i="25"/>
  <c r="T38" i="25"/>
  <c r="R36" i="25"/>
  <c r="P35" i="25"/>
  <c r="F35" i="25"/>
  <c r="J34" i="25"/>
  <c r="N33" i="25"/>
  <c r="C33" i="25"/>
  <c r="K32" i="25"/>
  <c r="S31" i="25"/>
  <c r="K31" i="25"/>
  <c r="S30" i="25"/>
  <c r="K30" i="25"/>
  <c r="C30" i="25"/>
  <c r="O29" i="25"/>
  <c r="G29" i="25"/>
  <c r="S28" i="25"/>
  <c r="K28" i="25"/>
  <c r="C28" i="25"/>
  <c r="O27" i="25"/>
  <c r="G27" i="25"/>
  <c r="S26" i="25"/>
  <c r="K26" i="25"/>
  <c r="C26" i="25"/>
  <c r="O25" i="25"/>
  <c r="G25" i="25"/>
  <c r="S24" i="25"/>
  <c r="O24" i="25"/>
  <c r="K24" i="25"/>
  <c r="C24" i="25"/>
  <c r="S23" i="25"/>
  <c r="O23" i="25"/>
  <c r="G23" i="25"/>
  <c r="C23" i="25"/>
  <c r="S22" i="25"/>
  <c r="K22" i="25"/>
  <c r="G22" i="25"/>
  <c r="C22" i="25"/>
  <c r="O21" i="25"/>
  <c r="K21" i="25"/>
  <c r="G21" i="25"/>
  <c r="S20" i="25"/>
  <c r="O20" i="25"/>
  <c r="K20" i="25"/>
  <c r="C20" i="25"/>
  <c r="S19" i="25"/>
  <c r="O19" i="25"/>
  <c r="G19" i="25"/>
  <c r="C19" i="25"/>
  <c r="S18" i="25"/>
  <c r="K18" i="25"/>
  <c r="G18" i="25"/>
  <c r="C18" i="25"/>
  <c r="O17" i="25"/>
  <c r="K17" i="25"/>
  <c r="G17" i="25"/>
  <c r="S16" i="25"/>
  <c r="O16" i="25"/>
  <c r="K16" i="25"/>
  <c r="J50" i="25"/>
  <c r="V49" i="25"/>
  <c r="N49" i="25"/>
  <c r="V46" i="25"/>
  <c r="N46" i="25"/>
  <c r="F46" i="25"/>
  <c r="J45" i="25"/>
  <c r="V44" i="25"/>
  <c r="N44" i="25"/>
  <c r="R43" i="25"/>
  <c r="J43" i="25"/>
  <c r="V42" i="25"/>
  <c r="F42" i="25"/>
  <c r="V40" i="25"/>
  <c r="N40" i="25"/>
  <c r="T39" i="25"/>
  <c r="O39" i="25"/>
  <c r="J39" i="25"/>
  <c r="S38" i="25"/>
  <c r="N38" i="25"/>
  <c r="H38" i="25"/>
  <c r="V36" i="25"/>
  <c r="P36" i="25"/>
  <c r="K36" i="25"/>
  <c r="T35" i="25"/>
  <c r="O35" i="25"/>
  <c r="J35" i="25"/>
  <c r="S34" i="25"/>
  <c r="N34" i="25"/>
  <c r="H34" i="25"/>
  <c r="R33" i="25"/>
  <c r="L33" i="25"/>
  <c r="G33" i="25"/>
  <c r="R32" i="25"/>
  <c r="N32" i="25"/>
  <c r="J32" i="25"/>
  <c r="V31" i="25"/>
  <c r="R31" i="25"/>
  <c r="N31" i="25"/>
  <c r="F31" i="25"/>
  <c r="V30" i="25"/>
  <c r="R30" i="25"/>
  <c r="J30" i="25"/>
  <c r="F30" i="25"/>
  <c r="V29" i="25"/>
  <c r="N29" i="25"/>
  <c r="J29" i="25"/>
  <c r="F29" i="25"/>
  <c r="R28" i="25"/>
  <c r="N28" i="25"/>
  <c r="J28" i="25"/>
  <c r="V27" i="25"/>
  <c r="R27" i="25"/>
  <c r="N27" i="25"/>
  <c r="P50" i="25"/>
  <c r="H50" i="25"/>
  <c r="T49" i="25"/>
  <c r="D49" i="25"/>
  <c r="H47" i="25"/>
  <c r="T46" i="25"/>
  <c r="D46" i="25"/>
  <c r="P45" i="25"/>
  <c r="H45" i="25"/>
  <c r="L44" i="25"/>
  <c r="D44" i="25"/>
  <c r="P43" i="25"/>
  <c r="T42" i="25"/>
  <c r="N50" i="25"/>
  <c r="V47" i="25"/>
  <c r="R44" i="25"/>
  <c r="F43" i="25"/>
  <c r="D42" i="25"/>
  <c r="L40" i="25"/>
  <c r="S39" i="25"/>
  <c r="H39" i="25"/>
  <c r="G38" i="25"/>
  <c r="O36" i="25"/>
  <c r="D36" i="25"/>
  <c r="C35" i="25"/>
  <c r="L34" i="25"/>
  <c r="V33" i="25"/>
  <c r="U32" i="25"/>
  <c r="M32" i="25"/>
  <c r="E32" i="25"/>
  <c r="I31" i="25"/>
  <c r="U30" i="25"/>
  <c r="M30" i="25"/>
  <c r="Q29" i="25"/>
  <c r="I29" i="25"/>
  <c r="Q28" i="25"/>
  <c r="U27" i="25"/>
  <c r="M27" i="25"/>
  <c r="F27" i="25"/>
  <c r="P26" i="25"/>
  <c r="J26" i="25"/>
  <c r="E26" i="25"/>
  <c r="N25" i="25"/>
  <c r="I25" i="25"/>
  <c r="D25" i="25"/>
  <c r="M24" i="25"/>
  <c r="H24" i="25"/>
  <c r="V23" i="25"/>
  <c r="L23" i="25"/>
  <c r="F23" i="25"/>
  <c r="U22" i="25"/>
  <c r="J22" i="25"/>
  <c r="E22" i="25"/>
  <c r="T21" i="25"/>
  <c r="I21" i="25"/>
  <c r="D21" i="25"/>
  <c r="R20" i="25"/>
  <c r="H20" i="25"/>
  <c r="V19" i="25"/>
  <c r="Q19" i="25"/>
  <c r="F19" i="25"/>
  <c r="U18" i="25"/>
  <c r="P18" i="25"/>
  <c r="E18" i="25"/>
  <c r="T17" i="25"/>
  <c r="N17" i="25"/>
  <c r="D17" i="25"/>
  <c r="R16" i="25"/>
  <c r="M16" i="25"/>
  <c r="D16" i="25"/>
  <c r="T15" i="25"/>
  <c r="P15" i="25"/>
  <c r="H15" i="25"/>
  <c r="D15" i="25"/>
  <c r="T14" i="25"/>
  <c r="L14" i="25"/>
  <c r="H14" i="25"/>
  <c r="F50" i="25"/>
  <c r="V45" i="25"/>
  <c r="J44" i="25"/>
  <c r="R42" i="25"/>
  <c r="J40" i="25"/>
  <c r="R39" i="25"/>
  <c r="G39" i="25"/>
  <c r="F38" i="25"/>
  <c r="N36" i="25"/>
  <c r="C36" i="25"/>
  <c r="V34" i="25"/>
  <c r="K34" i="25"/>
  <c r="T33" i="25"/>
  <c r="T32" i="25"/>
  <c r="L32" i="25"/>
  <c r="D32" i="25"/>
  <c r="H31" i="25"/>
  <c r="T30" i="25"/>
  <c r="L30" i="25"/>
  <c r="P29" i="25"/>
  <c r="H29" i="25"/>
  <c r="P28" i="25"/>
  <c r="T27" i="25"/>
  <c r="L27" i="25"/>
  <c r="E27" i="25"/>
  <c r="N26" i="25"/>
  <c r="I26" i="25"/>
  <c r="D26" i="25"/>
  <c r="M25" i="25"/>
  <c r="H25" i="25"/>
  <c r="V24" i="25"/>
  <c r="L24" i="25"/>
  <c r="F24" i="25"/>
  <c r="U23" i="25"/>
  <c r="J23" i="25"/>
  <c r="E23" i="25"/>
  <c r="T22" i="25"/>
  <c r="I22" i="25"/>
  <c r="D22" i="25"/>
  <c r="R21" i="25"/>
  <c r="H21" i="25"/>
  <c r="V20" i="25"/>
  <c r="Q20" i="25"/>
  <c r="F20" i="25"/>
  <c r="U19" i="25"/>
  <c r="P19" i="25"/>
  <c r="E19" i="25"/>
  <c r="T18" i="25"/>
  <c r="N18" i="25"/>
  <c r="D18" i="25"/>
  <c r="R17" i="25"/>
  <c r="M17" i="25"/>
  <c r="V16" i="25"/>
  <c r="Q16" i="25"/>
  <c r="L16" i="25"/>
  <c r="C16" i="25"/>
  <c r="S15" i="25"/>
  <c r="O15" i="25"/>
  <c r="G15" i="25"/>
  <c r="C15" i="25"/>
  <c r="S14" i="25"/>
  <c r="K14" i="25"/>
  <c r="G14" i="25"/>
  <c r="R49" i="25"/>
  <c r="V43" i="25"/>
  <c r="L42" i="25"/>
  <c r="T40" i="25"/>
  <c r="N39" i="25"/>
  <c r="C39" i="25"/>
  <c r="L38" i="25"/>
  <c r="J36" i="25"/>
  <c r="S35" i="25"/>
  <c r="H35" i="25"/>
  <c r="G34" i="25"/>
  <c r="P33" i="25"/>
  <c r="F33" i="25"/>
  <c r="I32" i="25"/>
  <c r="U31" i="25"/>
  <c r="M31" i="25"/>
  <c r="Q30" i="25"/>
  <c r="I30" i="25"/>
  <c r="U29" i="25"/>
  <c r="E29" i="25"/>
  <c r="U28" i="25"/>
  <c r="M28" i="25"/>
  <c r="Q27" i="25"/>
  <c r="I27" i="25"/>
  <c r="D27" i="25"/>
  <c r="M26" i="25"/>
  <c r="H26" i="25"/>
  <c r="V25" i="25"/>
  <c r="L25" i="25"/>
  <c r="F25" i="25"/>
  <c r="U24" i="25"/>
  <c r="J24" i="25"/>
  <c r="E24" i="25"/>
  <c r="T23" i="25"/>
  <c r="I23" i="25"/>
  <c r="D23" i="25"/>
  <c r="R22" i="25"/>
  <c r="H22" i="25"/>
  <c r="V21" i="25"/>
  <c r="Q21" i="25"/>
  <c r="F21" i="25"/>
  <c r="U20" i="25"/>
  <c r="P20" i="25"/>
  <c r="E20" i="25"/>
  <c r="T19" i="25"/>
  <c r="N19" i="25"/>
  <c r="D19" i="25"/>
  <c r="R18" i="25"/>
  <c r="M18" i="25"/>
  <c r="V17" i="25"/>
  <c r="Q17" i="25"/>
  <c r="L17" i="25"/>
  <c r="U16" i="25"/>
  <c r="P16" i="25"/>
  <c r="J16" i="25"/>
  <c r="V15" i="25"/>
  <c r="R15" i="25"/>
  <c r="N15" i="25"/>
  <c r="F15" i="25"/>
  <c r="F8" i="25"/>
  <c r="J8" i="25"/>
  <c r="R8" i="25"/>
  <c r="V8" i="25"/>
  <c r="F9" i="25"/>
  <c r="N9" i="25"/>
  <c r="R9" i="25"/>
  <c r="V9" i="25"/>
  <c r="J10" i="25"/>
  <c r="N10" i="25"/>
  <c r="R10" i="25"/>
  <c r="F11" i="25"/>
  <c r="J11" i="25"/>
  <c r="N11" i="25"/>
  <c r="V11" i="25"/>
  <c r="F12" i="25"/>
  <c r="J12" i="25"/>
  <c r="R12" i="25"/>
  <c r="V12" i="25"/>
  <c r="F13" i="25"/>
  <c r="N13" i="25"/>
  <c r="R13" i="25"/>
  <c r="V13" i="25"/>
  <c r="N14" i="25"/>
  <c r="V14" i="25"/>
  <c r="Q15" i="25"/>
  <c r="P17" i="25"/>
  <c r="Q18" i="25"/>
  <c r="R19" i="25"/>
  <c r="U21" i="25"/>
  <c r="V22" i="25"/>
  <c r="D24" i="25"/>
  <c r="F26" i="25"/>
  <c r="H27" i="25"/>
  <c r="T28" i="25"/>
  <c r="D31" i="25"/>
  <c r="P32" i="25"/>
  <c r="P34" i="25"/>
  <c r="S36" i="25"/>
  <c r="V38" i="25"/>
  <c r="R46" i="25"/>
  <c r="C8" i="25"/>
  <c r="G8" i="25"/>
  <c r="K8" i="25"/>
  <c r="O8" i="25"/>
  <c r="S8" i="25"/>
  <c r="C9" i="25"/>
  <c r="G9" i="25"/>
  <c r="K9" i="25"/>
  <c r="O9" i="25"/>
  <c r="S9" i="25"/>
  <c r="C10" i="25"/>
  <c r="G10" i="25"/>
  <c r="K10" i="25"/>
  <c r="O10" i="25"/>
  <c r="S10" i="25"/>
  <c r="C11" i="25"/>
  <c r="G11" i="25"/>
  <c r="K11" i="25"/>
  <c r="O11" i="25"/>
  <c r="S11" i="25"/>
  <c r="C12" i="25"/>
  <c r="G12" i="25"/>
  <c r="K12" i="25"/>
  <c r="O12" i="25"/>
  <c r="S12" i="25"/>
  <c r="C13" i="25"/>
  <c r="G13" i="25"/>
  <c r="K13" i="25"/>
  <c r="O13" i="25"/>
  <c r="S13" i="25"/>
  <c r="C14" i="25"/>
  <c r="I14" i="25"/>
  <c r="Q14" i="25"/>
  <c r="E15" i="25"/>
  <c r="U15" i="25"/>
  <c r="T16" i="25"/>
  <c r="U17" i="25"/>
  <c r="V18" i="25"/>
  <c r="D20" i="25"/>
  <c r="E21" i="25"/>
  <c r="F22" i="25"/>
  <c r="H23" i="25"/>
  <c r="I24" i="25"/>
  <c r="J25" i="25"/>
  <c r="L26" i="25"/>
  <c r="P27" i="25"/>
  <c r="T29" i="25"/>
  <c r="L31" i="25"/>
  <c r="D33" i="25"/>
  <c r="G35" i="25"/>
  <c r="L39" i="25"/>
  <c r="J42" i="25"/>
  <c r="J49" i="25"/>
  <c r="D6" i="2"/>
  <c r="B16" i="2"/>
  <c r="B23" i="2" s="1"/>
  <c r="B30" i="2" s="1"/>
  <c r="B37" i="2" s="1"/>
  <c r="B44" i="2" s="1"/>
  <c r="B51" i="2" s="1"/>
  <c r="B58" i="2" s="1"/>
  <c r="B65" i="2" s="1"/>
  <c r="B72" i="2" s="1"/>
  <c r="B79" i="2" s="1"/>
  <c r="B86" i="2" s="1"/>
  <c r="B15" i="2"/>
  <c r="B22" i="2" s="1"/>
  <c r="B29" i="2" s="1"/>
  <c r="B36" i="2" s="1"/>
  <c r="B43" i="2" s="1"/>
  <c r="B50" i="2" s="1"/>
  <c r="B57" i="2" s="1"/>
  <c r="B64" i="2" s="1"/>
  <c r="B71" i="2" s="1"/>
  <c r="B78" i="2" s="1"/>
  <c r="B85" i="2" s="1"/>
  <c r="B14" i="2"/>
  <c r="B21" i="2" s="1"/>
  <c r="B28" i="2" s="1"/>
  <c r="B35" i="2" s="1"/>
  <c r="B42" i="2" s="1"/>
  <c r="B49" i="2" s="1"/>
  <c r="B56" i="2" s="1"/>
  <c r="B63" i="2" s="1"/>
  <c r="B70" i="2" s="1"/>
  <c r="B77" i="2" s="1"/>
  <c r="B84" i="2" s="1"/>
  <c r="B13" i="2"/>
  <c r="B20" i="2" s="1"/>
  <c r="B27" i="2" s="1"/>
  <c r="B34" i="2" s="1"/>
  <c r="B41" i="2" s="1"/>
  <c r="B48" i="2" s="1"/>
  <c r="B55" i="2" s="1"/>
  <c r="B62" i="2" s="1"/>
  <c r="B69" i="2" s="1"/>
  <c r="B76" i="2" s="1"/>
  <c r="B83" i="2" s="1"/>
  <c r="B12" i="2"/>
  <c r="B11" i="2"/>
  <c r="B18" i="2" s="1"/>
  <c r="B25" i="2" s="1"/>
  <c r="B32" i="2" s="1"/>
  <c r="B39" i="2" s="1"/>
  <c r="B46" i="2" s="1"/>
  <c r="B53" i="2" s="1"/>
  <c r="B60" i="2" s="1"/>
  <c r="B67" i="2" s="1"/>
  <c r="B74" i="2" s="1"/>
  <c r="B81" i="2" s="1"/>
  <c r="B10" i="2"/>
  <c r="L4" i="4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F3" i="4"/>
  <c r="J3" i="4"/>
  <c r="N3" i="4"/>
  <c r="G3" i="4"/>
  <c r="K3" i="4"/>
  <c r="E3" i="4"/>
  <c r="M3" i="4"/>
  <c r="C3" i="4"/>
  <c r="D3" i="4"/>
  <c r="H3" i="4"/>
  <c r="L3" i="4"/>
  <c r="I3" i="4"/>
  <c r="D7" i="4"/>
  <c r="H7" i="4"/>
  <c r="L7" i="4"/>
  <c r="E7" i="4"/>
  <c r="I7" i="4"/>
  <c r="M7" i="4"/>
  <c r="F7" i="4"/>
  <c r="J7" i="4"/>
  <c r="N7" i="4"/>
  <c r="G7" i="4"/>
  <c r="K7" i="4"/>
  <c r="C7" i="4"/>
  <c r="G6" i="4"/>
  <c r="K6" i="4"/>
  <c r="D6" i="4"/>
  <c r="H6" i="4"/>
  <c r="L6" i="4"/>
  <c r="C6" i="4"/>
  <c r="E6" i="4"/>
  <c r="I6" i="4"/>
  <c r="M6" i="4"/>
  <c r="F6" i="4"/>
  <c r="J6" i="4"/>
  <c r="N6" i="4"/>
  <c r="D15" i="4"/>
  <c r="H15" i="4"/>
  <c r="L15" i="4"/>
  <c r="G15" i="4"/>
  <c r="E15" i="4"/>
  <c r="I15" i="4"/>
  <c r="M15" i="4"/>
  <c r="C15" i="4"/>
  <c r="F15" i="4"/>
  <c r="J15" i="4"/>
  <c r="N15" i="4"/>
  <c r="K15" i="4"/>
  <c r="N4" i="5"/>
  <c r="N14" i="4" s="1"/>
  <c r="M4" i="5"/>
  <c r="M14" i="4" s="1"/>
  <c r="L4" i="5"/>
  <c r="L14" i="4" s="1"/>
  <c r="K4" i="5"/>
  <c r="K14" i="4" s="1"/>
  <c r="J4" i="5"/>
  <c r="J14" i="4" s="1"/>
  <c r="I4" i="5"/>
  <c r="I14" i="4" s="1"/>
  <c r="H4" i="5"/>
  <c r="H14" i="4" s="1"/>
  <c r="G4" i="5"/>
  <c r="G14" i="4" s="1"/>
  <c r="F4" i="5"/>
  <c r="F14" i="4" s="1"/>
  <c r="E4" i="5"/>
  <c r="E14" i="4" s="1"/>
  <c r="D4" i="5"/>
  <c r="D14" i="4" s="1"/>
  <c r="C4" i="5"/>
  <c r="C14" i="4" s="1"/>
  <c r="E5" i="4"/>
  <c r="G4" i="4"/>
  <c r="H4" i="4"/>
  <c r="D5" i="4"/>
  <c r="C5" i="4"/>
  <c r="J5" i="4"/>
  <c r="F4" i="4"/>
  <c r="F5" i="4"/>
  <c r="N4" i="4"/>
  <c r="C4" i="4"/>
  <c r="M4" i="4"/>
  <c r="L5" i="4"/>
  <c r="M19" i="4"/>
  <c r="I4" i="4"/>
  <c r="I5" i="4"/>
  <c r="D4" i="4"/>
  <c r="J4" i="4"/>
  <c r="G5" i="4"/>
  <c r="M5" i="4"/>
  <c r="H5" i="4"/>
  <c r="F19" i="4"/>
  <c r="K5" i="4"/>
  <c r="E4" i="4"/>
  <c r="K4" i="4"/>
  <c r="N5" i="4"/>
  <c r="L5" i="35" l="1"/>
  <c r="Z8" i="24"/>
  <c r="AA11" i="24" s="1"/>
  <c r="K12" i="1"/>
  <c r="O7" i="4"/>
  <c r="K19" i="4"/>
  <c r="K12" i="4" s="1"/>
  <c r="K8" i="4"/>
  <c r="K7" i="1" s="1"/>
  <c r="L8" i="4"/>
  <c r="L7" i="1" s="1"/>
  <c r="D8" i="4"/>
  <c r="D7" i="1" s="1"/>
  <c r="H8" i="4"/>
  <c r="H7" i="1" s="1"/>
  <c r="O4" i="4"/>
  <c r="O15" i="4"/>
  <c r="F8" i="4"/>
  <c r="F7" i="1" s="1"/>
  <c r="C8" i="4"/>
  <c r="C7" i="1" s="1"/>
  <c r="M8" i="4"/>
  <c r="M7" i="1" s="1"/>
  <c r="G13" i="1"/>
  <c r="G12" i="1"/>
  <c r="F12" i="1"/>
  <c r="F13" i="1"/>
  <c r="K13" i="1"/>
  <c r="H12" i="1"/>
  <c r="H13" i="1"/>
  <c r="I13" i="1"/>
  <c r="I12" i="1"/>
  <c r="L12" i="1"/>
  <c r="L13" i="1"/>
  <c r="M12" i="1"/>
  <c r="M13" i="1"/>
  <c r="J12" i="1"/>
  <c r="J13" i="1"/>
  <c r="N12" i="1"/>
  <c r="N13" i="1"/>
  <c r="C12" i="1"/>
  <c r="D12" i="1"/>
  <c r="D13" i="1"/>
  <c r="E13" i="1"/>
  <c r="E12" i="1"/>
  <c r="O55" i="1"/>
  <c r="O53" i="1"/>
  <c r="O54" i="1"/>
  <c r="O16" i="1"/>
  <c r="O42" i="1"/>
  <c r="O41" i="1"/>
  <c r="O19" i="1"/>
  <c r="O16" i="4"/>
  <c r="O57" i="1"/>
  <c r="O52" i="1"/>
  <c r="O21" i="1"/>
  <c r="O29" i="1"/>
  <c r="O36" i="1"/>
  <c r="O45" i="1"/>
  <c r="O48" i="1"/>
  <c r="O61" i="1"/>
  <c r="O27" i="1"/>
  <c r="I19" i="4"/>
  <c r="D19" i="4"/>
  <c r="I8" i="4"/>
  <c r="I7" i="1" s="1"/>
  <c r="J19" i="4"/>
  <c r="J12" i="4" s="1"/>
  <c r="I12" i="4"/>
  <c r="M12" i="4"/>
  <c r="O6" i="4"/>
  <c r="E8" i="4"/>
  <c r="E7" i="1" s="1"/>
  <c r="B19" i="2"/>
  <c r="B26" i="2" s="1"/>
  <c r="B33" i="2" s="1"/>
  <c r="B40" i="2" s="1"/>
  <c r="B47" i="2" s="1"/>
  <c r="B54" i="2" s="1"/>
  <c r="B61" i="2" s="1"/>
  <c r="B68" i="2" s="1"/>
  <c r="B75" i="2" s="1"/>
  <c r="B82" i="2" s="1"/>
  <c r="J8" i="4"/>
  <c r="J7" i="1" s="1"/>
  <c r="O3" i="4"/>
  <c r="G19" i="4"/>
  <c r="G12" i="4" s="1"/>
  <c r="E19" i="4"/>
  <c r="E12" i="4" s="1"/>
  <c r="L19" i="4"/>
  <c r="L12" i="4" s="1"/>
  <c r="N19" i="4"/>
  <c r="N12" i="4" s="1"/>
  <c r="C19" i="4"/>
  <c r="H19" i="4"/>
  <c r="H12" i="4" s="1"/>
  <c r="F12" i="4"/>
  <c r="B17" i="2"/>
  <c r="O62" i="1"/>
  <c r="O44" i="1"/>
  <c r="O65" i="1"/>
  <c r="N8" i="4"/>
  <c r="N7" i="1" s="1"/>
  <c r="G8" i="4"/>
  <c r="G7" i="1" s="1"/>
  <c r="D12" i="4"/>
  <c r="G37" i="25"/>
  <c r="V41" i="25"/>
  <c r="J37" i="25"/>
  <c r="L37" i="25"/>
  <c r="E37" i="25"/>
  <c r="N37" i="25"/>
  <c r="Q41" i="25"/>
  <c r="F47" i="25"/>
  <c r="O41" i="25"/>
  <c r="N41" i="25"/>
  <c r="N48" i="25"/>
  <c r="M48" i="25"/>
  <c r="K48" i="25"/>
  <c r="P48" i="25"/>
  <c r="O48" i="25"/>
  <c r="H13" i="25"/>
  <c r="D14" i="25"/>
  <c r="E16" i="25"/>
  <c r="J21" i="25"/>
  <c r="P25" i="25"/>
  <c r="D12" i="25"/>
  <c r="D11" i="25"/>
  <c r="T8" i="25"/>
  <c r="F18" i="25"/>
  <c r="H8" i="25"/>
  <c r="L11" i="25"/>
  <c r="I15" i="25"/>
  <c r="O33" i="25"/>
  <c r="M8" i="25"/>
  <c r="I9" i="25"/>
  <c r="E10" i="25"/>
  <c r="U10" i="25"/>
  <c r="Q11" i="25"/>
  <c r="M12" i="25"/>
  <c r="I13" i="25"/>
  <c r="E14" i="25"/>
  <c r="I16" i="25"/>
  <c r="N20" i="25"/>
  <c r="T24" i="25"/>
  <c r="D29" i="25"/>
  <c r="H36" i="25"/>
  <c r="Q50" i="25"/>
  <c r="U49" i="25"/>
  <c r="E49" i="25"/>
  <c r="E47" i="25"/>
  <c r="I46" i="25"/>
  <c r="M45" i="25"/>
  <c r="Q44" i="25"/>
  <c r="U43" i="25"/>
  <c r="E43" i="25"/>
  <c r="I42" i="25"/>
  <c r="U40" i="25"/>
  <c r="E40" i="25"/>
  <c r="I39" i="25"/>
  <c r="M38" i="25"/>
  <c r="Q36" i="25"/>
  <c r="U35" i="25"/>
  <c r="E35" i="25"/>
  <c r="I34" i="25"/>
  <c r="M33" i="25"/>
  <c r="O50" i="25"/>
  <c r="S49" i="25"/>
  <c r="C49" i="25"/>
  <c r="G47" i="25"/>
  <c r="K46" i="25"/>
  <c r="O45" i="25"/>
  <c r="S44" i="25"/>
  <c r="C44" i="25"/>
  <c r="G43" i="25"/>
  <c r="K42" i="25"/>
  <c r="C41" i="25"/>
  <c r="G40" i="25"/>
  <c r="P49" i="25"/>
  <c r="P46" i="25"/>
  <c r="D45" i="25"/>
  <c r="L43" i="25"/>
  <c r="D41" i="25"/>
  <c r="P39" i="25"/>
  <c r="O38" i="25"/>
  <c r="L36" i="25"/>
  <c r="V50" i="25"/>
  <c r="O37" i="25"/>
  <c r="Q37" i="25"/>
  <c r="D37" i="25"/>
  <c r="T37" i="25"/>
  <c r="R41" i="25"/>
  <c r="K41" i="25"/>
  <c r="P47" i="25"/>
  <c r="T41" i="25"/>
  <c r="J47" i="25"/>
  <c r="V48" i="25"/>
  <c r="F48" i="25"/>
  <c r="E48" i="25"/>
  <c r="U48" i="25"/>
  <c r="H48" i="25"/>
  <c r="D10" i="25"/>
  <c r="I20" i="25"/>
  <c r="L8" i="25"/>
  <c r="P8" i="25"/>
  <c r="T11" i="25"/>
  <c r="P9" i="25"/>
  <c r="L22" i="25"/>
  <c r="E17" i="25"/>
  <c r="T12" i="25"/>
  <c r="T31" i="25"/>
  <c r="T9" i="25"/>
  <c r="D13" i="25"/>
  <c r="M23" i="25"/>
  <c r="E8" i="25"/>
  <c r="U8" i="25"/>
  <c r="Q9" i="25"/>
  <c r="M10" i="25"/>
  <c r="I11" i="25"/>
  <c r="E12" i="25"/>
  <c r="U12" i="25"/>
  <c r="Q13" i="25"/>
  <c r="U14" i="25"/>
  <c r="L18" i="25"/>
  <c r="Q22" i="25"/>
  <c r="V26" i="25"/>
  <c r="H32" i="25"/>
  <c r="R40" i="25"/>
  <c r="I50" i="25"/>
  <c r="M49" i="25"/>
  <c r="Q47" i="25"/>
  <c r="Q46" i="25"/>
  <c r="U45" i="25"/>
  <c r="E45" i="25"/>
  <c r="I44" i="25"/>
  <c r="M43" i="25"/>
  <c r="Q42" i="25"/>
  <c r="I41" i="25"/>
  <c r="M40" i="25"/>
  <c r="Q39" i="25"/>
  <c r="U38" i="25"/>
  <c r="E38" i="25"/>
  <c r="I36" i="25"/>
  <c r="M35" i="25"/>
  <c r="Q34" i="25"/>
  <c r="U33" i="25"/>
  <c r="E33" i="25"/>
  <c r="G50" i="25"/>
  <c r="K49" i="25"/>
  <c r="O47" i="25"/>
  <c r="S46" i="25"/>
  <c r="C46" i="25"/>
  <c r="G45" i="25"/>
  <c r="K44" i="25"/>
  <c r="O43" i="25"/>
  <c r="S42" i="25"/>
  <c r="C42" i="25"/>
  <c r="O40" i="25"/>
  <c r="L50" i="25"/>
  <c r="T47" i="25"/>
  <c r="T45" i="25"/>
  <c r="H44" i="25"/>
  <c r="P42" i="25"/>
  <c r="H40" i="25"/>
  <c r="F39" i="25"/>
  <c r="D38" i="25"/>
  <c r="V35" i="25"/>
  <c r="T34" i="25"/>
  <c r="S33" i="25"/>
  <c r="S32" i="25"/>
  <c r="C32" i="25"/>
  <c r="G31" i="25"/>
  <c r="L29" i="25"/>
  <c r="E25" i="25"/>
  <c r="T20" i="25"/>
  <c r="N16" i="25"/>
  <c r="F14" i="25"/>
  <c r="J13" i="25"/>
  <c r="N12" i="25"/>
  <c r="R11" i="25"/>
  <c r="V10" i="25"/>
  <c r="F10" i="25"/>
  <c r="J9" i="25"/>
  <c r="N8" i="25"/>
  <c r="J15" i="25"/>
  <c r="J3" i="25" s="1"/>
  <c r="F16" i="25"/>
  <c r="F17" i="25"/>
  <c r="H18" i="25"/>
  <c r="I19" i="25"/>
  <c r="J20" i="25"/>
  <c r="L21" i="25"/>
  <c r="M22" i="25"/>
  <c r="N23" i="25"/>
  <c r="P24" i="25"/>
  <c r="Q25" i="25"/>
  <c r="R26" i="25"/>
  <c r="E28" i="25"/>
  <c r="M29" i="25"/>
  <c r="E31" i="25"/>
  <c r="Q32" i="25"/>
  <c r="R34" i="25"/>
  <c r="T36" i="25"/>
  <c r="D40" i="25"/>
  <c r="N45" i="25"/>
  <c r="O14" i="25"/>
  <c r="K15" i="25"/>
  <c r="G16" i="25"/>
  <c r="H17" i="25"/>
  <c r="I18" i="25"/>
  <c r="Y18" i="25" s="1"/>
  <c r="I46" i="29" s="1"/>
  <c r="J19" i="25"/>
  <c r="L20" i="25"/>
  <c r="M21" i="25"/>
  <c r="N22" i="25"/>
  <c r="P23" i="25"/>
  <c r="Q24" i="25"/>
  <c r="R25" i="25"/>
  <c r="T26" i="25"/>
  <c r="H28" i="25"/>
  <c r="D30" i="25"/>
  <c r="P31" i="25"/>
  <c r="J33" i="25"/>
  <c r="L35" i="25"/>
  <c r="P38" i="25"/>
  <c r="F41" i="25"/>
  <c r="N47" i="25"/>
  <c r="P14" i="25"/>
  <c r="L15" i="25"/>
  <c r="H16" i="25"/>
  <c r="I17" i="25"/>
  <c r="J18" i="25"/>
  <c r="L19" i="25"/>
  <c r="M20" i="25"/>
  <c r="N21" i="25"/>
  <c r="P22" i="25"/>
  <c r="Q23" i="25"/>
  <c r="R24" i="25"/>
  <c r="T25" i="25"/>
  <c r="U26" i="25"/>
  <c r="I28" i="25"/>
  <c r="E30" i="25"/>
  <c r="Q31" i="25"/>
  <c r="K33" i="25"/>
  <c r="N35" i="25"/>
  <c r="R38" i="25"/>
  <c r="H41" i="25"/>
  <c r="J46" i="25"/>
  <c r="H43" i="25"/>
  <c r="T44" i="25"/>
  <c r="L46" i="25"/>
  <c r="L49" i="25"/>
  <c r="J27" i="25"/>
  <c r="F28" i="25"/>
  <c r="V28" i="25"/>
  <c r="R29" i="25"/>
  <c r="N30" i="25"/>
  <c r="J31" i="25"/>
  <c r="F32" i="25"/>
  <c r="V32" i="25"/>
  <c r="C34" i="25"/>
  <c r="D35" i="25"/>
  <c r="F36" i="25"/>
  <c r="C38" i="25"/>
  <c r="D39" i="25"/>
  <c r="F40" i="25"/>
  <c r="N42" i="25"/>
  <c r="F44" i="25"/>
  <c r="R45" i="25"/>
  <c r="F49" i="25"/>
  <c r="R50" i="25"/>
  <c r="C17" i="25"/>
  <c r="S17" i="25"/>
  <c r="O18" i="25"/>
  <c r="K19" i="25"/>
  <c r="G20" i="25"/>
  <c r="C21" i="25"/>
  <c r="S21" i="25"/>
  <c r="O22" i="25"/>
  <c r="K23" i="25"/>
  <c r="G24" i="25"/>
  <c r="C25" i="25"/>
  <c r="S25" i="25"/>
  <c r="O26" i="25"/>
  <c r="K27" i="25"/>
  <c r="G28" i="25"/>
  <c r="C29" i="25"/>
  <c r="S29" i="25"/>
  <c r="O30" i="25"/>
  <c r="O31" i="25"/>
  <c r="O32" i="25"/>
  <c r="D34" i="25"/>
  <c r="K35" i="25"/>
  <c r="J38" i="25"/>
  <c r="P40" i="25"/>
  <c r="P44" i="25"/>
  <c r="H49" i="25"/>
  <c r="S40" i="25"/>
  <c r="C43" i="25"/>
  <c r="O44" i="25"/>
  <c r="G46" i="25"/>
  <c r="S47" i="25"/>
  <c r="K50" i="25"/>
  <c r="E34" i="25"/>
  <c r="Q35" i="25"/>
  <c r="I38" i="25"/>
  <c r="U39" i="25"/>
  <c r="E42" i="25"/>
  <c r="Q43" i="25"/>
  <c r="I45" i="25"/>
  <c r="U46" i="25"/>
  <c r="Q49" i="25"/>
  <c r="K38" i="25"/>
  <c r="U25" i="25"/>
  <c r="J17" i="25"/>
  <c r="M13" i="25"/>
  <c r="U11" i="25"/>
  <c r="I10" i="25"/>
  <c r="Q8" i="25"/>
  <c r="H19" i="25"/>
  <c r="D9" i="25"/>
  <c r="L10" i="25"/>
  <c r="L3" i="25" s="1"/>
  <c r="E22" i="31" s="1"/>
  <c r="R14" i="25"/>
  <c r="H10" i="25"/>
  <c r="N24" i="25"/>
  <c r="G48" i="25"/>
  <c r="C48" i="25"/>
  <c r="J48" i="25"/>
  <c r="U41" i="25"/>
  <c r="D47" i="25"/>
  <c r="M37" i="25"/>
  <c r="R37" i="25"/>
  <c r="K37" i="25"/>
  <c r="K25" i="25"/>
  <c r="G26" i="25"/>
  <c r="W26" i="25" s="1"/>
  <c r="C27" i="25"/>
  <c r="S27" i="25"/>
  <c r="O28" i="25"/>
  <c r="K29" i="25"/>
  <c r="G30" i="25"/>
  <c r="C31" i="25"/>
  <c r="G32" i="25"/>
  <c r="H33" i="25"/>
  <c r="O34" i="25"/>
  <c r="G36" i="25"/>
  <c r="K39" i="25"/>
  <c r="D43" i="25"/>
  <c r="H46" i="25"/>
  <c r="T50" i="25"/>
  <c r="G42" i="25"/>
  <c r="S43" i="25"/>
  <c r="K45" i="25"/>
  <c r="C47" i="25"/>
  <c r="O49" i="25"/>
  <c r="I33" i="25"/>
  <c r="U34" i="25"/>
  <c r="M36" i="25"/>
  <c r="E39" i="25"/>
  <c r="Q40" i="25"/>
  <c r="U42" i="25"/>
  <c r="M44" i="25"/>
  <c r="E46" i="25"/>
  <c r="U47" i="25"/>
  <c r="M50" i="25"/>
  <c r="P30" i="25"/>
  <c r="P21" i="25"/>
  <c r="M14" i="25"/>
  <c r="Q12" i="25"/>
  <c r="E11" i="25"/>
  <c r="M9" i="25"/>
  <c r="N43" i="25"/>
  <c r="H12" i="25"/>
  <c r="Q26" i="25"/>
  <c r="L13" i="25"/>
  <c r="D8" i="25"/>
  <c r="R35" i="25"/>
  <c r="H9" i="25"/>
  <c r="L48" i="25"/>
  <c r="I48" i="25"/>
  <c r="F45" i="25"/>
  <c r="R47" i="25"/>
  <c r="U37" i="25"/>
  <c r="P37" i="25"/>
  <c r="I37" i="25"/>
  <c r="O4" i="5"/>
  <c r="O14" i="4"/>
  <c r="C12" i="4"/>
  <c r="O49" i="1"/>
  <c r="O50" i="1"/>
  <c r="O56" i="1"/>
  <c r="O58" i="1"/>
  <c r="O59" i="1"/>
  <c r="O60" i="1"/>
  <c r="O32" i="1"/>
  <c r="O34" i="1"/>
  <c r="O37" i="1"/>
  <c r="O38" i="1"/>
  <c r="O39" i="1"/>
  <c r="O40" i="1"/>
  <c r="O43" i="1"/>
  <c r="O46" i="1"/>
  <c r="O47" i="1"/>
  <c r="O25" i="1"/>
  <c r="O17" i="1"/>
  <c r="O22" i="1"/>
  <c r="O26" i="1"/>
  <c r="O51" i="1"/>
  <c r="O33" i="1"/>
  <c r="O63" i="1"/>
  <c r="O23" i="1"/>
  <c r="O24" i="1"/>
  <c r="O28" i="1"/>
  <c r="O30" i="1"/>
  <c r="O18" i="1"/>
  <c r="O20" i="1"/>
  <c r="O35" i="1"/>
  <c r="O64" i="1"/>
  <c r="O31" i="1"/>
  <c r="O15" i="1"/>
  <c r="C13" i="1"/>
  <c r="O5" i="4"/>
  <c r="O8" i="4" s="1"/>
  <c r="L5" i="25" l="1"/>
  <c r="W19" i="25"/>
  <c r="K3" i="25"/>
  <c r="K5" i="25" s="1"/>
  <c r="W10" i="25"/>
  <c r="W18" i="25"/>
  <c r="S3" i="25"/>
  <c r="E29" i="31" s="1"/>
  <c r="Y22" i="25"/>
  <c r="X24" i="25"/>
  <c r="Y10" i="25"/>
  <c r="O3" i="25"/>
  <c r="O5" i="25" s="1"/>
  <c r="R3" i="25"/>
  <c r="E28" i="31" s="1"/>
  <c r="O7" i="1"/>
  <c r="O19" i="4"/>
  <c r="C10" i="4"/>
  <c r="D10" i="4" s="1"/>
  <c r="E10" i="4" s="1"/>
  <c r="F10" i="4" s="1"/>
  <c r="G10" i="4" s="1"/>
  <c r="H10" i="4" s="1"/>
  <c r="I10" i="4" s="1"/>
  <c r="J10" i="4" s="1"/>
  <c r="K10" i="4" s="1"/>
  <c r="L10" i="4" s="1"/>
  <c r="M10" i="4" s="1"/>
  <c r="N10" i="4" s="1"/>
  <c r="I37" i="29"/>
  <c r="X8" i="25"/>
  <c r="W8" i="25"/>
  <c r="Y8" i="25"/>
  <c r="Y48" i="25"/>
  <c r="W48" i="25"/>
  <c r="X48" i="25"/>
  <c r="X13" i="25"/>
  <c r="Y13" i="25"/>
  <c r="W13" i="25"/>
  <c r="X41" i="25"/>
  <c r="Y41" i="25"/>
  <c r="I31" i="29" s="1"/>
  <c r="W41" i="25"/>
  <c r="Y24" i="25"/>
  <c r="O12" i="4"/>
  <c r="O10" i="4" s="1"/>
  <c r="I3" i="25"/>
  <c r="Y25" i="25"/>
  <c r="I42" i="29" s="1"/>
  <c r="W25" i="25"/>
  <c r="X25" i="25"/>
  <c r="X35" i="25"/>
  <c r="Y35" i="25"/>
  <c r="I39" i="29" s="1"/>
  <c r="W35" i="25"/>
  <c r="X46" i="25"/>
  <c r="W46" i="25"/>
  <c r="Y46" i="25"/>
  <c r="I35" i="29" s="1"/>
  <c r="Y50" i="25"/>
  <c r="W50" i="25"/>
  <c r="X50" i="25"/>
  <c r="W22" i="25"/>
  <c r="Y11" i="25"/>
  <c r="W11" i="25"/>
  <c r="X11" i="25"/>
  <c r="X16" i="25"/>
  <c r="Y16" i="25"/>
  <c r="W16" i="25"/>
  <c r="B24" i="2"/>
  <c r="C3" i="25"/>
  <c r="X26" i="25"/>
  <c r="Y26" i="25"/>
  <c r="W29" i="25"/>
  <c r="F12" i="28" s="1"/>
  <c r="X29" i="25"/>
  <c r="Y29" i="25"/>
  <c r="H12" i="28" s="1"/>
  <c r="Y36" i="25"/>
  <c r="X36" i="25"/>
  <c r="W36" i="25"/>
  <c r="E20" i="31"/>
  <c r="J5" i="25"/>
  <c r="X45" i="25"/>
  <c r="Y45" i="25"/>
  <c r="W49" i="25"/>
  <c r="Y49" i="25"/>
  <c r="I51" i="29" s="1"/>
  <c r="X49" i="25"/>
  <c r="E3" i="25"/>
  <c r="I48" i="29"/>
  <c r="W47" i="25"/>
  <c r="X47" i="25"/>
  <c r="Y31" i="25"/>
  <c r="W31" i="25"/>
  <c r="X31" i="25"/>
  <c r="X9" i="25"/>
  <c r="Y9" i="25"/>
  <c r="W9" i="25"/>
  <c r="G3" i="25"/>
  <c r="Y21" i="25"/>
  <c r="W21" i="25"/>
  <c r="X21" i="25"/>
  <c r="X39" i="25"/>
  <c r="W39" i="25"/>
  <c r="Y39" i="25"/>
  <c r="I45" i="29" s="1"/>
  <c r="X34" i="25"/>
  <c r="Y34" i="25"/>
  <c r="W34" i="25"/>
  <c r="W30" i="25"/>
  <c r="X30" i="25"/>
  <c r="Y30" i="25"/>
  <c r="I36" i="29" s="1"/>
  <c r="X40" i="25"/>
  <c r="Y40" i="25"/>
  <c r="W40" i="25"/>
  <c r="N3" i="25"/>
  <c r="W32" i="25"/>
  <c r="Y32" i="25"/>
  <c r="I38" i="29" s="1"/>
  <c r="X32" i="25"/>
  <c r="Y33" i="25"/>
  <c r="I43" i="29" s="1"/>
  <c r="X33" i="25"/>
  <c r="W33" i="25"/>
  <c r="Y12" i="25"/>
  <c r="I47" i="29" s="1"/>
  <c r="W12" i="25"/>
  <c r="X12" i="25"/>
  <c r="W14" i="25"/>
  <c r="Y14" i="25"/>
  <c r="X43" i="25"/>
  <c r="W43" i="25"/>
  <c r="Y43" i="25"/>
  <c r="W28" i="25"/>
  <c r="Y28" i="25"/>
  <c r="I33" i="29" s="1"/>
  <c r="X28" i="25"/>
  <c r="V3" i="25"/>
  <c r="W42" i="25"/>
  <c r="I34" i="29"/>
  <c r="X42" i="25"/>
  <c r="W15" i="25"/>
  <c r="X15" i="25"/>
  <c r="Q3" i="25"/>
  <c r="X27" i="25"/>
  <c r="Y27" i="25"/>
  <c r="W27" i="25"/>
  <c r="H3" i="25"/>
  <c r="X19" i="25"/>
  <c r="Y19" i="25"/>
  <c r="I41" i="29" s="1"/>
  <c r="Y23" i="25"/>
  <c r="X23" i="25"/>
  <c r="W23" i="25"/>
  <c r="Y20" i="25"/>
  <c r="I44" i="29" s="1"/>
  <c r="X20" i="25"/>
  <c r="W20" i="25"/>
  <c r="X17" i="25"/>
  <c r="Y17" i="25"/>
  <c r="W17" i="25"/>
  <c r="W38" i="25"/>
  <c r="X38" i="25"/>
  <c r="Y38" i="25"/>
  <c r="P3" i="25"/>
  <c r="F3" i="25"/>
  <c r="M3" i="25"/>
  <c r="T3" i="25"/>
  <c r="D3" i="25"/>
  <c r="X10" i="25"/>
  <c r="X37" i="25"/>
  <c r="W37" i="25"/>
  <c r="Y37" i="25"/>
  <c r="I32" i="29" s="1"/>
  <c r="X44" i="25"/>
  <c r="Y44" i="25"/>
  <c r="U3" i="25"/>
  <c r="X18" i="25"/>
  <c r="Y15" i="25"/>
  <c r="I40" i="29" s="1"/>
  <c r="W24" i="25"/>
  <c r="X22" i="25"/>
  <c r="X14" i="25"/>
  <c r="O13" i="1"/>
  <c r="E21" i="31" l="1"/>
  <c r="S5" i="25"/>
  <c r="E25" i="31"/>
  <c r="R5" i="25"/>
  <c r="V5" i="25"/>
  <c r="E32" i="31"/>
  <c r="C5" i="25"/>
  <c r="E13" i="31"/>
  <c r="X51" i="25"/>
  <c r="H3" i="31" s="1"/>
  <c r="F5" i="25"/>
  <c r="E16" i="31"/>
  <c r="E18" i="31"/>
  <c r="H5" i="25"/>
  <c r="Q5" i="25"/>
  <c r="E27" i="31"/>
  <c r="E5" i="25"/>
  <c r="E15" i="31"/>
  <c r="E23" i="31"/>
  <c r="M5" i="25"/>
  <c r="D5" i="25"/>
  <c r="E14" i="31"/>
  <c r="P5" i="25"/>
  <c r="E26" i="31"/>
  <c r="I5" i="25"/>
  <c r="E19" i="31"/>
  <c r="Y51" i="25"/>
  <c r="U5" i="25"/>
  <c r="E31" i="31"/>
  <c r="T5" i="25"/>
  <c r="E30" i="31"/>
  <c r="N5" i="25"/>
  <c r="E24" i="31"/>
  <c r="G5" i="25"/>
  <c r="E17" i="31"/>
  <c r="B31" i="2"/>
  <c r="W45" i="25"/>
  <c r="Y53" i="25" l="1"/>
  <c r="AA9" i="25"/>
  <c r="AB12" i="25" s="1"/>
  <c r="E34" i="31"/>
  <c r="B38" i="2"/>
  <c r="B45" i="2" l="1"/>
  <c r="B52" i="2" l="1"/>
  <c r="B59" i="2" l="1"/>
  <c r="B66" i="2" l="1"/>
  <c r="B73" i="2" l="1"/>
  <c r="B80" i="2" l="1"/>
  <c r="M5" i="1"/>
  <c r="I3" i="1"/>
  <c r="L5" i="1"/>
  <c r="M3" i="1"/>
  <c r="L3" i="1"/>
  <c r="N3" i="1"/>
  <c r="J3" i="1"/>
  <c r="N5" i="1"/>
  <c r="K3" i="1"/>
  <c r="K5" i="1"/>
  <c r="J5" i="1" l="1"/>
  <c r="K6" i="1"/>
  <c r="J6" i="1"/>
  <c r="M8" i="1"/>
  <c r="N6" i="1"/>
  <c r="L6" i="1"/>
  <c r="E6" i="1"/>
  <c r="J8" i="1"/>
  <c r="M6" i="1"/>
  <c r="C6" i="1"/>
  <c r="H6" i="1"/>
  <c r="N8" i="1"/>
  <c r="I8" i="1"/>
  <c r="D6" i="1"/>
  <c r="F8" i="1"/>
  <c r="G8" i="1"/>
  <c r="G6" i="1"/>
  <c r="F6" i="1"/>
  <c r="C8" i="1"/>
  <c r="E8" i="1"/>
  <c r="H8" i="1"/>
  <c r="K8" i="1"/>
  <c r="D8" i="1"/>
  <c r="L8" i="1"/>
  <c r="I6" i="1"/>
  <c r="C3" i="1"/>
  <c r="G3" i="1"/>
  <c r="G5" i="1"/>
  <c r="C5" i="1"/>
  <c r="E3" i="1"/>
  <c r="H4" i="1"/>
  <c r="D4" i="1"/>
  <c r="H3" i="1"/>
  <c r="L4" i="1"/>
  <c r="D5" i="1"/>
  <c r="I4" i="1"/>
  <c r="C4" i="1"/>
  <c r="K4" i="1"/>
  <c r="E5" i="1"/>
  <c r="M4" i="1"/>
  <c r="F3" i="1"/>
  <c r="E4" i="1"/>
  <c r="N4" i="1"/>
  <c r="F4" i="1"/>
  <c r="F5" i="1"/>
  <c r="G4" i="1"/>
  <c r="I5" i="1"/>
  <c r="J4" i="1"/>
  <c r="J9" i="1" s="1"/>
  <c r="D3" i="1"/>
  <c r="H5" i="1"/>
  <c r="O6" i="1" l="1"/>
  <c r="O8" i="1"/>
  <c r="D9" i="1"/>
  <c r="N9" i="1"/>
  <c r="I9" i="1"/>
  <c r="L9" i="1"/>
  <c r="K9" i="1"/>
  <c r="M9" i="1"/>
  <c r="F9" i="1"/>
  <c r="H9" i="1"/>
  <c r="E9" i="1"/>
  <c r="G9" i="1"/>
  <c r="C9" i="1"/>
  <c r="C11" i="1" s="1"/>
  <c r="D11" i="1" s="1"/>
  <c r="O4" i="1"/>
  <c r="O5" i="1"/>
  <c r="O3" i="1"/>
  <c r="E11" i="1" l="1"/>
  <c r="F11" i="1" s="1"/>
  <c r="G11" i="1" s="1"/>
  <c r="H11" i="1" s="1"/>
  <c r="I11" i="1" s="1"/>
  <c r="J11" i="1" s="1"/>
  <c r="K11" i="1" s="1"/>
  <c r="L11" i="1" s="1"/>
  <c r="M11" i="1" s="1"/>
  <c r="N11" i="1" s="1"/>
  <c r="O9" i="1"/>
  <c r="O11" i="1" l="1"/>
</calcChain>
</file>

<file path=xl/sharedStrings.xml><?xml version="1.0" encoding="utf-8"?>
<sst xmlns="http://schemas.openxmlformats.org/spreadsheetml/2006/main" count="2698" uniqueCount="546">
  <si>
    <t>janeiro</t>
  </si>
  <si>
    <t>fevereiro</t>
  </si>
  <si>
    <t>março</t>
  </si>
  <si>
    <t>abril</t>
  </si>
  <si>
    <t>maio</t>
  </si>
  <si>
    <t>junho</t>
  </si>
  <si>
    <t>julho</t>
  </si>
  <si>
    <t>aluguel</t>
  </si>
  <si>
    <t>agua e luz</t>
  </si>
  <si>
    <t>IPTU</t>
  </si>
  <si>
    <t>agosto</t>
  </si>
  <si>
    <t>setembro</t>
  </si>
  <si>
    <t>outubro</t>
  </si>
  <si>
    <t>novembro</t>
  </si>
  <si>
    <t>dezembro</t>
  </si>
  <si>
    <t>Carmen</t>
  </si>
  <si>
    <t>Celso</t>
  </si>
  <si>
    <t>Daiane</t>
  </si>
  <si>
    <t>Dora</t>
  </si>
  <si>
    <t>Marina</t>
  </si>
  <si>
    <t>Patricia</t>
  </si>
  <si>
    <t>Paulo Vitor</t>
  </si>
  <si>
    <t>Roberto</t>
  </si>
  <si>
    <t>Sandro</t>
  </si>
  <si>
    <t>Thabata</t>
  </si>
  <si>
    <t>Uesley</t>
  </si>
  <si>
    <t>doações</t>
  </si>
  <si>
    <t>Moura</t>
  </si>
  <si>
    <t>Saldo do Mês</t>
  </si>
  <si>
    <t>x</t>
  </si>
  <si>
    <t>mês</t>
  </si>
  <si>
    <t>valor</t>
  </si>
  <si>
    <t>motivo</t>
  </si>
  <si>
    <t>data</t>
  </si>
  <si>
    <t>responsável</t>
  </si>
  <si>
    <t>obs</t>
  </si>
  <si>
    <t>colaborador</t>
  </si>
  <si>
    <t>mensalidade</t>
  </si>
  <si>
    <t>forma</t>
  </si>
  <si>
    <t>Dinheiro</t>
  </si>
  <si>
    <t>Bradesco</t>
  </si>
  <si>
    <t>SUB TOTAL</t>
  </si>
  <si>
    <t>limpeza</t>
  </si>
  <si>
    <t>artigos religiosos</t>
  </si>
  <si>
    <t>extra</t>
  </si>
  <si>
    <t>evento</t>
  </si>
  <si>
    <t>descartável</t>
  </si>
  <si>
    <t>banho</t>
  </si>
  <si>
    <t>descarrego</t>
  </si>
  <si>
    <t>Oxossi</t>
  </si>
  <si>
    <t>Sacudimento</t>
  </si>
  <si>
    <t>Ogun</t>
  </si>
  <si>
    <t>P. Velho</t>
  </si>
  <si>
    <t>Xangô</t>
  </si>
  <si>
    <t>Pombo Gira</t>
  </si>
  <si>
    <t>dia</t>
  </si>
  <si>
    <t>despesas</t>
  </si>
  <si>
    <t>arrecadação</t>
  </si>
  <si>
    <t>Exú</t>
  </si>
  <si>
    <t>Arnaldo</t>
  </si>
  <si>
    <t>BANHOS</t>
  </si>
  <si>
    <t>TOTAL</t>
  </si>
  <si>
    <t>despesas de eventos</t>
  </si>
  <si>
    <t>despesas de limpeza</t>
  </si>
  <si>
    <t>despesas de descartavel</t>
  </si>
  <si>
    <t>despesas de artigos religiosos</t>
  </si>
  <si>
    <t>despesas extras</t>
  </si>
  <si>
    <t>FILHOS</t>
  </si>
  <si>
    <t>n° ficha</t>
  </si>
  <si>
    <t>O QUE?</t>
  </si>
  <si>
    <t>QUEM?</t>
  </si>
  <si>
    <t>DATA</t>
  </si>
  <si>
    <t>VALOR</t>
  </si>
  <si>
    <t>VISTO</t>
  </si>
  <si>
    <t>MOTIVO/INDICAÇÃO</t>
  </si>
  <si>
    <t>NOME</t>
  </si>
  <si>
    <t>Cosme Damião</t>
  </si>
  <si>
    <t xml:space="preserve"> </t>
  </si>
  <si>
    <t>Rita</t>
  </si>
  <si>
    <t>Exu do Oro</t>
  </si>
  <si>
    <t>Daniele</t>
  </si>
  <si>
    <t>Fernando</t>
  </si>
  <si>
    <t>Renato</t>
  </si>
  <si>
    <t>Yansã/ Iemanjá</t>
  </si>
  <si>
    <t>aluguel casa</t>
  </si>
  <si>
    <t>Andreia (Arnaldo)</t>
  </si>
  <si>
    <t>Paulo Vitor (Thabata)</t>
  </si>
  <si>
    <t>Thays (Marina)</t>
  </si>
  <si>
    <t>Valquiria (Moura)</t>
  </si>
  <si>
    <t>Gás</t>
  </si>
  <si>
    <t>Loana</t>
  </si>
  <si>
    <t>Marcela</t>
  </si>
  <si>
    <t>Rodrigo (Thabata)</t>
  </si>
  <si>
    <t>Seguro incendio</t>
  </si>
  <si>
    <t>Kalley</t>
  </si>
  <si>
    <t>Doação</t>
  </si>
  <si>
    <t>Silvio</t>
  </si>
  <si>
    <t>Pai Willian</t>
  </si>
  <si>
    <t>outros</t>
  </si>
  <si>
    <t>Freire</t>
  </si>
  <si>
    <t>Marivalda</t>
  </si>
  <si>
    <t>Kaio</t>
  </si>
  <si>
    <t>Andy</t>
  </si>
  <si>
    <t>Gustavo (Thabata)</t>
  </si>
  <si>
    <t>Sobra da praia</t>
  </si>
  <si>
    <t>conta de LUZ</t>
  </si>
  <si>
    <t>conta de AGUA</t>
  </si>
  <si>
    <t>Velas - Loja</t>
  </si>
  <si>
    <t>Março</t>
  </si>
  <si>
    <t>IPTU (X/10)</t>
  </si>
  <si>
    <t>Dona Geni</t>
  </si>
  <si>
    <t>Otília</t>
  </si>
  <si>
    <t>Mara (Dora)</t>
  </si>
  <si>
    <t>Oxum</t>
  </si>
  <si>
    <t>Ogum</t>
  </si>
  <si>
    <t>Oxum Opará</t>
  </si>
  <si>
    <t>Iansã</t>
  </si>
  <si>
    <t>saldo 2018</t>
  </si>
  <si>
    <t>Bco do Brasil</t>
  </si>
  <si>
    <t>Leonardo (Loana)</t>
  </si>
  <si>
    <t>Roseni (Loana)</t>
  </si>
  <si>
    <t>Viviane</t>
  </si>
  <si>
    <t>Eduardo</t>
  </si>
  <si>
    <t>IPTU (1/10)</t>
  </si>
  <si>
    <t>+15,00</t>
  </si>
  <si>
    <t>Maira</t>
  </si>
  <si>
    <t>Wesley Freire</t>
  </si>
  <si>
    <t>-</t>
  </si>
  <si>
    <t>TED</t>
  </si>
  <si>
    <t>Valquíria</t>
  </si>
  <si>
    <t>Patrícia</t>
  </si>
  <si>
    <t/>
  </si>
  <si>
    <t>Nubank</t>
  </si>
  <si>
    <t>Walisson</t>
  </si>
  <si>
    <t>Colaborador</t>
  </si>
  <si>
    <t>Valor</t>
  </si>
  <si>
    <t>Andreia</t>
  </si>
  <si>
    <t>Bruno (kelly)</t>
  </si>
  <si>
    <t>Fran</t>
  </si>
  <si>
    <t>Congá</t>
  </si>
  <si>
    <t>Dani</t>
  </si>
  <si>
    <t>Gustavo</t>
  </si>
  <si>
    <t>Júnior (Fran)</t>
  </si>
  <si>
    <t>Kelly</t>
  </si>
  <si>
    <t>Mari</t>
  </si>
  <si>
    <t>Rodrigo</t>
  </si>
  <si>
    <t>Roseni</t>
  </si>
  <si>
    <t>Thays</t>
  </si>
  <si>
    <t>Quantidade semanal</t>
  </si>
  <si>
    <t>7 linhas</t>
  </si>
  <si>
    <t xml:space="preserve">Amarela </t>
  </si>
  <si>
    <t>Am. Vermelha</t>
  </si>
  <si>
    <t>Azul claro</t>
  </si>
  <si>
    <t>Azul e preta</t>
  </si>
  <si>
    <t>Azul e Rosa</t>
  </si>
  <si>
    <t>Azul escuro</t>
  </si>
  <si>
    <t>Branca</t>
  </si>
  <si>
    <t>Branca e preta</t>
  </si>
  <si>
    <t>Branca e vermelha</t>
  </si>
  <si>
    <t>Dourada</t>
  </si>
  <si>
    <t>Laranja</t>
  </si>
  <si>
    <t>Marrom</t>
  </si>
  <si>
    <t>Preta</t>
  </si>
  <si>
    <t>Preta e verde</t>
  </si>
  <si>
    <t>Preta e vermelha</t>
  </si>
  <si>
    <t>Roxo claro</t>
  </si>
  <si>
    <t>Roxo escuro</t>
  </si>
  <si>
    <t>Verde</t>
  </si>
  <si>
    <t>Vermelha</t>
  </si>
  <si>
    <t>QTD_un</t>
  </si>
  <si>
    <t>Total</t>
  </si>
  <si>
    <t>Valor_Total</t>
  </si>
  <si>
    <t>Pedido mínimo</t>
  </si>
  <si>
    <t>Diferença</t>
  </si>
  <si>
    <t>Léo</t>
  </si>
  <si>
    <t>Quantidade_mensal</t>
  </si>
  <si>
    <t>Preta e Verde</t>
  </si>
  <si>
    <t>Total_custo</t>
  </si>
  <si>
    <t>Total_compra</t>
  </si>
  <si>
    <t>OK</t>
  </si>
  <si>
    <t>Data</t>
  </si>
  <si>
    <t>Semanas</t>
  </si>
  <si>
    <t>Vela</t>
  </si>
  <si>
    <t>Quantidade</t>
  </si>
  <si>
    <t>Quantidade de Velas</t>
  </si>
  <si>
    <t>\</t>
  </si>
  <si>
    <t>LANÇAMENTOS</t>
  </si>
  <si>
    <t>Referência</t>
  </si>
  <si>
    <t>Data de pagamento</t>
  </si>
  <si>
    <t>Valor arrecadado</t>
  </si>
  <si>
    <t>VALOR TOTAL</t>
  </si>
  <si>
    <t>Descrição</t>
  </si>
  <si>
    <t>Velas conga</t>
  </si>
  <si>
    <t>TUTOIP</t>
  </si>
  <si>
    <t>Loja</t>
  </si>
  <si>
    <t>Tutoip</t>
  </si>
  <si>
    <t>Carimbo de data/hora</t>
  </si>
  <si>
    <t>Nome Completo</t>
  </si>
  <si>
    <t>Data de Nascimento</t>
  </si>
  <si>
    <t>Endereço</t>
  </si>
  <si>
    <t>Número de telefone</t>
  </si>
  <si>
    <t>Telefone emergencial</t>
  </si>
  <si>
    <t>Estado Civil</t>
  </si>
  <si>
    <t>Bairro</t>
  </si>
  <si>
    <t>Cidade</t>
  </si>
  <si>
    <t>UF</t>
  </si>
  <si>
    <t>Meio de transporte até o TUTOIP</t>
  </si>
  <si>
    <t>Possui alergias ? Se sim, quais ?</t>
  </si>
  <si>
    <t>Possui problemas de saúde ? Se sim, qual (is) ?</t>
  </si>
  <si>
    <t>Utiliza algum medicamento diariamente ? Se sim, qual (is) ?</t>
  </si>
  <si>
    <t>Mãe de cabeça</t>
  </si>
  <si>
    <t>Pai de Cabeça</t>
  </si>
  <si>
    <t>Adjuntó</t>
  </si>
  <si>
    <t>Mentor Espiritual</t>
  </si>
  <si>
    <t>Baiano (a)</t>
  </si>
  <si>
    <t>Boiadeiro (a)</t>
  </si>
  <si>
    <t>Caboclo (a)</t>
  </si>
  <si>
    <t>Preto-velho (a)</t>
  </si>
  <si>
    <t>Marinheiro (a)</t>
  </si>
  <si>
    <t>Erê</t>
  </si>
  <si>
    <t>Cigano (a)</t>
  </si>
  <si>
    <t>Exú mirim</t>
  </si>
  <si>
    <t>Pomba-gira mirim</t>
  </si>
  <si>
    <t>Pomba-gira</t>
  </si>
  <si>
    <t>Você é batizado na Umbanda ?</t>
  </si>
  <si>
    <t>MAIRA KELLY VERENGUE MOYA</t>
  </si>
  <si>
    <t>Rua Madri, 390
112. Utinga.</t>
  </si>
  <si>
    <t>12 36425194</t>
  </si>
  <si>
    <t>SOLTEIRO</t>
  </si>
  <si>
    <t>Utinga</t>
  </si>
  <si>
    <t>Santo André</t>
  </si>
  <si>
    <t>SP</t>
  </si>
  <si>
    <t>CARRO, ANDANDO</t>
  </si>
  <si>
    <t>Não</t>
  </si>
  <si>
    <t>Sim. Depressão crônica</t>
  </si>
  <si>
    <t>Sim. Venlafaxina</t>
  </si>
  <si>
    <t>Yemanjá</t>
  </si>
  <si>
    <t>Não sei</t>
  </si>
  <si>
    <t>Ainda não sei</t>
  </si>
  <si>
    <t>Não, mas tenho interesse</t>
  </si>
  <si>
    <t>Rua Dom Benito Feijó 494</t>
  </si>
  <si>
    <t>Solteiro</t>
  </si>
  <si>
    <t>Conjunto promorar rio claro</t>
  </si>
  <si>
    <t>São Paulo</t>
  </si>
  <si>
    <t>ÔNIBUS, ANDANDO</t>
  </si>
  <si>
    <t>Sim dipirona</t>
  </si>
  <si>
    <t>Omulu</t>
  </si>
  <si>
    <t>Zé do Coco</t>
  </si>
  <si>
    <t>Zé do laço Dourado</t>
  </si>
  <si>
    <t>7 Flechas</t>
  </si>
  <si>
    <t>Pai Joaquim de Angola</t>
  </si>
  <si>
    <t>Pipoquinha</t>
  </si>
  <si>
    <t>Tranquinha</t>
  </si>
  <si>
    <t>Tranca Ruas das Almas</t>
  </si>
  <si>
    <t>Maria Padilha das Almas</t>
  </si>
  <si>
    <t>Fernando Nathan da Silva Fontes</t>
  </si>
  <si>
    <t>Rua 19 de novembro 53 / Blc 3 Ap 31</t>
  </si>
  <si>
    <t>11 984609137</t>
  </si>
  <si>
    <t>Cidade Nova Heliópolis</t>
  </si>
  <si>
    <t>CARRO, METRÔ / TREM</t>
  </si>
  <si>
    <t>Oxaguian</t>
  </si>
  <si>
    <t>Oxóssi</t>
  </si>
  <si>
    <t>Caboclo Gira Mundo</t>
  </si>
  <si>
    <t>Exu Mirim Pimentinha</t>
  </si>
  <si>
    <t>Exu Capa Preta</t>
  </si>
  <si>
    <t>Maria Padilha Rainha das Sete Encruzilhadas</t>
  </si>
  <si>
    <t>Renato Benedetti</t>
  </si>
  <si>
    <t>Rua João Luso 168 apto 09</t>
  </si>
  <si>
    <t>11 988383518</t>
  </si>
  <si>
    <t>11 4451 8391</t>
  </si>
  <si>
    <t>Casado</t>
  </si>
  <si>
    <t>Vila Tibiriça</t>
  </si>
  <si>
    <t>CARRO</t>
  </si>
  <si>
    <t>Vitaminas e complexo B</t>
  </si>
  <si>
    <t>Sete Montanhas</t>
  </si>
  <si>
    <t>Corcunda</t>
  </si>
  <si>
    <t>Roseni Aparecida Trevizan</t>
  </si>
  <si>
    <t>Rua Rosário do Catete
409</t>
  </si>
  <si>
    <t>Vila Alpina</t>
  </si>
  <si>
    <t>Pressão alta</t>
  </si>
  <si>
    <t>Losartana 50</t>
  </si>
  <si>
    <t>Rodrigo Ribeiro Da Silva Alves</t>
  </si>
  <si>
    <t>Rua Giovanni nasco ,55</t>
  </si>
  <si>
    <t>(11)949626938</t>
  </si>
  <si>
    <t>(11)985497545</t>
  </si>
  <si>
    <t>Teotonio vilela</t>
  </si>
  <si>
    <t>Sp</t>
  </si>
  <si>
    <t>Capa Preta</t>
  </si>
  <si>
    <t>Thábata Dantas da Silva</t>
  </si>
  <si>
    <t>Rua Giovanni Nasci, 55 Apto 53-B</t>
  </si>
  <si>
    <t>Casada</t>
  </si>
  <si>
    <t>Teotonio Vilela</t>
  </si>
  <si>
    <t>Viviane Teixeira Andrade</t>
  </si>
  <si>
    <t>Rua Alvares Maciel, 93</t>
  </si>
  <si>
    <t>11 930167428</t>
  </si>
  <si>
    <t>Assuncao</t>
  </si>
  <si>
    <t>SAO BERNARDO DO CAMPO</t>
  </si>
  <si>
    <t>ÔNIBUS</t>
  </si>
  <si>
    <t>Nao</t>
  </si>
  <si>
    <t>Sim</t>
  </si>
  <si>
    <t>Paulo Vitor Dantas da Silva</t>
  </si>
  <si>
    <t>Rua Benedito Jacinto Mendes - Nº 234</t>
  </si>
  <si>
    <t>Jardim Grimaldi</t>
  </si>
  <si>
    <t>ÔNIBUS, CARRO</t>
  </si>
  <si>
    <t>Reniti</t>
  </si>
  <si>
    <t>Aráribóia</t>
  </si>
  <si>
    <t>Joãozinho</t>
  </si>
  <si>
    <t>Exu Tiriri da Calunga e Exu caveira</t>
  </si>
  <si>
    <t>Rosa caveira</t>
  </si>
  <si>
    <t>Marcella Ockner Diglio</t>
  </si>
  <si>
    <t>Rua Rosário do Cateté 409</t>
  </si>
  <si>
    <t>Solteira</t>
  </si>
  <si>
    <t>Picada de insetos</t>
  </si>
  <si>
    <t>Gastrite, esofagite e varizes nas pernas.</t>
  </si>
  <si>
    <t>Pantoprazol</t>
  </si>
  <si>
    <t>Maria Padilha</t>
  </si>
  <si>
    <t>Marivalda Cristina Toledo de Souza</t>
  </si>
  <si>
    <t>Rua manhufe 33 - vila Tolstoy</t>
  </si>
  <si>
    <t>11-965941697</t>
  </si>
  <si>
    <t>Viúva</t>
  </si>
  <si>
    <t>Sapopemba</t>
  </si>
  <si>
    <t>Sim, remédio lodipino, tempero sasom, e algumas pimentas</t>
  </si>
  <si>
    <t>Hipertensão arterial</t>
  </si>
  <si>
    <t>Renitec, ablok e hidroclorotiazida</t>
  </si>
  <si>
    <t>Oxóssi, Oxum</t>
  </si>
  <si>
    <t>Sr Zé Baiano da Bahia</t>
  </si>
  <si>
    <t>Pena Roxa</t>
  </si>
  <si>
    <t>Vovó Maria Conga e pai Joaquim de Angola</t>
  </si>
  <si>
    <t>Esmeralda</t>
  </si>
  <si>
    <t>Toquinho do Inferno</t>
  </si>
  <si>
    <t>Dama da Noite</t>
  </si>
  <si>
    <t>Eduardo Freire Poiato</t>
  </si>
  <si>
    <t>Rua Estela, 33</t>
  </si>
  <si>
    <t>(11) 99455-6608</t>
  </si>
  <si>
    <t>(11) 99683-2221</t>
  </si>
  <si>
    <t>Camarão e frutos do mar</t>
  </si>
  <si>
    <t>2 hérnias de disco e sem nenhuma cartilagem nos joelhos</t>
  </si>
  <si>
    <t>Diovan 80 + 12,5 hct (pressão)</t>
  </si>
  <si>
    <t>Ogum, Oxóssi, Iansã, Yemanjá</t>
  </si>
  <si>
    <t>Pai Justino e Vovó Maria</t>
  </si>
  <si>
    <t>Pinguinho</t>
  </si>
  <si>
    <t>Pomba Gira Cigana e 7 Saias</t>
  </si>
  <si>
    <t>Patricia Munglou Neri</t>
  </si>
  <si>
    <t>Rua Archinto Ferrari, 140 - apto 104</t>
  </si>
  <si>
    <t>955771888 (Roberto - Marido)</t>
  </si>
  <si>
    <t>Santo Antonio</t>
  </si>
  <si>
    <t>Sao Caetano do Sul</t>
  </si>
  <si>
    <t>Marisco, alguns medicamentos</t>
  </si>
  <si>
    <t>Hipertensao Arterial</t>
  </si>
  <si>
    <t>Micard HCT</t>
  </si>
  <si>
    <t>Maria Baiana do Pelourinho</t>
  </si>
  <si>
    <t>Ze do Laço</t>
  </si>
  <si>
    <t>Iracema</t>
  </si>
  <si>
    <t>Vovo Joaquina</t>
  </si>
  <si>
    <t>Ze das Aguas</t>
  </si>
  <si>
    <t>Joaninha</t>
  </si>
  <si>
    <t>Maria Encarnacion</t>
  </si>
  <si>
    <t>Exu Caveirinha</t>
  </si>
  <si>
    <t>Nao Sei</t>
  </si>
  <si>
    <t>Sete Encruzilhada das Almas</t>
  </si>
  <si>
    <t>Pomba Gira das Sete Encruzilhadas</t>
  </si>
  <si>
    <t>Kaio Toledo De Souza</t>
  </si>
  <si>
    <t>Rua manhufe 33</t>
  </si>
  <si>
    <t>Vila tolstoi</t>
  </si>
  <si>
    <t>Sao Paulo</t>
  </si>
  <si>
    <t>Sim. Pericardite e diabetes</t>
  </si>
  <si>
    <t>Andreia luciana da silva</t>
  </si>
  <si>
    <t>Rua francesco usper 103</t>
  </si>
  <si>
    <t>Jd sapopemba</t>
  </si>
  <si>
    <t>Renit sinusit</t>
  </si>
  <si>
    <t>Maria bonita (maria navalha)</t>
  </si>
  <si>
    <t>7 laços</t>
  </si>
  <si>
    <t>Vovô joaquim/ vovó nao sei</t>
  </si>
  <si>
    <t>Mariazinha</t>
  </si>
  <si>
    <t>Sr lodo</t>
  </si>
  <si>
    <t>Maria navalha</t>
  </si>
  <si>
    <t>Sandro Zena Alves</t>
  </si>
  <si>
    <t>Rua Taquari, 956 - apto 232</t>
  </si>
  <si>
    <t>Móoca</t>
  </si>
  <si>
    <t>Hérnia de disco - lombar</t>
  </si>
  <si>
    <t>Marina de Agostino</t>
  </si>
  <si>
    <t>Rua Traviata número 74</t>
  </si>
  <si>
    <t>953814246(Jefferson marido)</t>
  </si>
  <si>
    <t>Vila independência</t>
  </si>
  <si>
    <t>ÔNIBUS, CARRO, METRÔ / TREM</t>
  </si>
  <si>
    <t>Pinicilina</t>
  </si>
  <si>
    <t>Pressão alta, costas e joelhos</t>
  </si>
  <si>
    <t>Hidroclorotiazida, Losartana, alodipino</t>
  </si>
  <si>
    <t>Maria das Candeias</t>
  </si>
  <si>
    <t>Zé do laço</t>
  </si>
  <si>
    <t>Jacira</t>
  </si>
  <si>
    <t>Benedita de aruanda</t>
  </si>
  <si>
    <t>Catarina</t>
  </si>
  <si>
    <t>Dolores</t>
  </si>
  <si>
    <t>Lodinho</t>
  </si>
  <si>
    <t>Exu do lodo</t>
  </si>
  <si>
    <t>Maria mulambo</t>
  </si>
  <si>
    <t>Maria Carmem Marques Benatti</t>
  </si>
  <si>
    <t>Rua Torquato Tasso 155 casa 30</t>
  </si>
  <si>
    <t>Viuva</t>
  </si>
  <si>
    <t>Vila Prudente</t>
  </si>
  <si>
    <t>Sim, quimio oral</t>
  </si>
  <si>
    <t>Rita de Cassia Benedetti</t>
  </si>
  <si>
    <t>Rua Maestro João Evangelista, 286</t>
  </si>
  <si>
    <t>Vila Cunha Bueno</t>
  </si>
  <si>
    <t>Sim, amoxilina</t>
  </si>
  <si>
    <t>Sim, pressao alta</t>
  </si>
  <si>
    <t>Sim, enalapril 20, velacfarina 37.5, atenolol 50. Hidrocortiazida 25, zolpiden</t>
  </si>
  <si>
    <t>7 montanhas</t>
  </si>
  <si>
    <t>Dana da noite</t>
  </si>
  <si>
    <t>Loana Tayre Trevizan Soares Pinto</t>
  </si>
  <si>
    <t>Rua rosario do catete 409</t>
  </si>
  <si>
    <t>Vila alpina</t>
  </si>
  <si>
    <t>Gustavo Henrique Dantas Da Silva</t>
  </si>
  <si>
    <t>Rua Benedito Jacinto Mendes, 234</t>
  </si>
  <si>
    <t>Geni Mai Benedetti</t>
  </si>
  <si>
    <t>Rua Maestro João evangelista, 286</t>
  </si>
  <si>
    <t>Sim, daflon 1000, novanlo 2,5 , benicar hct 40 mg, omeoprazol, breziflex.</t>
  </si>
  <si>
    <t>Ubiratan Ribeiro Figueiredo Filho</t>
  </si>
  <si>
    <t>Rua Adriatico, 151, BL10 AP82, Jd do Estadio, Santo Andre, SP</t>
  </si>
  <si>
    <t>Jardim do Estadio</t>
  </si>
  <si>
    <t>Santo Andre</t>
  </si>
  <si>
    <t>CARRO, MOTO</t>
  </si>
  <si>
    <t>Hernia de diasco na coluna(L3 e L5)</t>
  </si>
  <si>
    <t>Treme Terra</t>
  </si>
  <si>
    <t>Bruno alexandre</t>
  </si>
  <si>
    <t>Rua Francesco Usper
103</t>
  </si>
  <si>
    <t>Mizael</t>
  </si>
  <si>
    <t>Marabo</t>
  </si>
  <si>
    <t>Roberto Gava</t>
  </si>
  <si>
    <t>Rua Archinto Ferrari 140</t>
  </si>
  <si>
    <t>Ato Antonio</t>
  </si>
  <si>
    <t>SCS</t>
  </si>
  <si>
    <t>Viviani Ursulina de Araujo</t>
  </si>
  <si>
    <t>Rua Viena, 95 -Utinga- Santo Andre</t>
  </si>
  <si>
    <t>Brasil</t>
  </si>
  <si>
    <t>ANDANDO</t>
  </si>
  <si>
    <t>Mercúrio , ampicilina e dipirona</t>
  </si>
  <si>
    <t>Rinite alérgica e pressão baixa</t>
  </si>
  <si>
    <t>Harmonet e sertralina</t>
  </si>
  <si>
    <t>Ubiratan</t>
  </si>
  <si>
    <t>Santander</t>
  </si>
  <si>
    <t>despesas de empréstimo - Walisson</t>
  </si>
  <si>
    <t>tipo</t>
  </si>
  <si>
    <t>saída</t>
  </si>
  <si>
    <t>Auxiliar no pagamento dos bichos</t>
  </si>
  <si>
    <t>Bichos da Kelly</t>
  </si>
  <si>
    <t>Ferramenta da Dama da noite</t>
  </si>
  <si>
    <t>Padaria Utinga - pães</t>
  </si>
  <si>
    <t>Recuperação de crédito - conta Santander</t>
  </si>
  <si>
    <t>Pizza</t>
  </si>
  <si>
    <t>Mercado Bem barato</t>
  </si>
  <si>
    <t>pago</t>
  </si>
  <si>
    <t>Pago</t>
  </si>
  <si>
    <t>devedor</t>
  </si>
  <si>
    <t>Valor arrecadar</t>
  </si>
  <si>
    <t>Qtd necessária</t>
  </si>
  <si>
    <t>Comida</t>
  </si>
  <si>
    <t>Efetuar o pedido, me entregaram o dinheiro</t>
  </si>
  <si>
    <t>Ração do gato</t>
  </si>
  <si>
    <t>Gasolina da moto</t>
  </si>
  <si>
    <t>Emprestado para mozão</t>
  </si>
  <si>
    <t>Compras Bem barato</t>
  </si>
  <si>
    <t>Troca de óleo moto</t>
  </si>
  <si>
    <t>DAP</t>
  </si>
  <si>
    <t>Pães</t>
  </si>
  <si>
    <t>Katia</t>
  </si>
  <si>
    <t>Telhadinho</t>
  </si>
  <si>
    <t>Bichos Ogum, Oxoguian, Oxum</t>
  </si>
  <si>
    <t>Troca do freio da moto</t>
  </si>
  <si>
    <t>Conta</t>
  </si>
  <si>
    <t>nubank</t>
  </si>
  <si>
    <t>santander</t>
  </si>
  <si>
    <t>Recarga celular Thays</t>
  </si>
  <si>
    <t>Mc Donalds</t>
  </si>
  <si>
    <t>Ração Gato</t>
  </si>
  <si>
    <t>Acordo Santander</t>
  </si>
  <si>
    <t>Pagamento faculdade Thays</t>
  </si>
  <si>
    <t>Uber da marina</t>
  </si>
  <si>
    <t>dinheiro</t>
  </si>
  <si>
    <t>Óleo de riscino</t>
  </si>
  <si>
    <t>Cinemark</t>
  </si>
  <si>
    <t>estacionamento analia</t>
  </si>
  <si>
    <t>Padaria flor da cunha</t>
  </si>
  <si>
    <t>Cicero rodrigues</t>
  </si>
  <si>
    <t>Assai - churrasco na loana</t>
  </si>
  <si>
    <t>doce na USJT</t>
  </si>
  <si>
    <t>mercado</t>
  </si>
  <si>
    <t>já foi pago 30, precisa ser rateado 70</t>
  </si>
  <si>
    <t>Lanches</t>
  </si>
  <si>
    <t>,</t>
  </si>
  <si>
    <t>Drogaria</t>
  </si>
  <si>
    <t>Padaria</t>
  </si>
  <si>
    <t>mercearia</t>
  </si>
  <si>
    <t>Não especificado</t>
  </si>
  <si>
    <t>farmácia</t>
  </si>
  <si>
    <t>Óleo da moto + buzina</t>
  </si>
  <si>
    <t>Fast food</t>
  </si>
  <si>
    <t>cebola - quitanda</t>
  </si>
  <si>
    <t>Descanso</t>
  </si>
  <si>
    <t>Crédito celular</t>
  </si>
  <si>
    <t>Extra - São caetano</t>
  </si>
  <si>
    <t>status</t>
  </si>
  <si>
    <t>ativo</t>
  </si>
  <si>
    <t>inativo</t>
  </si>
  <si>
    <t>Exú/ Omulu / Oxumarê</t>
  </si>
  <si>
    <t>Relatório</t>
  </si>
  <si>
    <t>&gt; Colaboradores pagantes e não pagantes da mensalidade</t>
  </si>
  <si>
    <t>&gt; Colaboradores pagantes e não pagantes do prato</t>
  </si>
  <si>
    <t>&gt; Colaboradores pagantes e não pagantes do banho</t>
  </si>
  <si>
    <t>&gt; Colaboradores pagantes e não pagantes das velas</t>
  </si>
  <si>
    <t>&gt; Gerar relatório por colaborador, para discrimar o que está devendo</t>
  </si>
  <si>
    <t>&gt; Script para deixar somente os cadastros ativos</t>
  </si>
  <si>
    <t>Carol</t>
  </si>
  <si>
    <t>Prato</t>
  </si>
  <si>
    <t>Monique</t>
  </si>
  <si>
    <t>Maio</t>
  </si>
  <si>
    <t>Viviani Araujo</t>
  </si>
  <si>
    <t>Bruno</t>
  </si>
  <si>
    <t>Geni</t>
  </si>
  <si>
    <t>Valquíria (Moura)</t>
  </si>
  <si>
    <t>Junho</t>
  </si>
  <si>
    <t>Agosto</t>
  </si>
  <si>
    <t>Nanci</t>
  </si>
  <si>
    <t>Ryan</t>
  </si>
  <si>
    <t>Ajuda</t>
  </si>
  <si>
    <t>Custos</t>
  </si>
  <si>
    <t>Qtd pagantes</t>
  </si>
  <si>
    <t>Qtd pagantes atual</t>
  </si>
  <si>
    <t>-----------------------------------</t>
  </si>
  <si>
    <t>Pagamento da Carol</t>
  </si>
  <si>
    <t>velas</t>
  </si>
  <si>
    <t>internet</t>
  </si>
  <si>
    <t>Tenda no Vale</t>
  </si>
  <si>
    <t>Loja 7 saias</t>
  </si>
  <si>
    <t>prato</t>
  </si>
  <si>
    <t>+50 foi pago pela Dora</t>
  </si>
  <si>
    <t>outras despesas</t>
  </si>
  <si>
    <t>Arrecadação</t>
  </si>
  <si>
    <t>praia</t>
  </si>
  <si>
    <t>340 será pago pela mãe, devido a um valor devedor</t>
  </si>
  <si>
    <t>Observações</t>
  </si>
  <si>
    <t>Código</t>
  </si>
  <si>
    <t>Nome</t>
  </si>
  <si>
    <t>Leonardo</t>
  </si>
  <si>
    <t>Dificuldade Fin.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</si>
</sst>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R$&quot;#,##0.00;\-&quot;R$&quot;#,##0.00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[$-416]d\-mmm;@"/>
    <numFmt numFmtId="165" formatCode="#,##0.00_ ;[Red]\-#,##0.00\ "/>
    <numFmt numFmtId="166" formatCode="_(&quot;R$&quot;* #,##0.00_);_(&quot;R$&quot;* \(#,##0.00\);_(&quot;R$&quot;* &quot;-&quot;??_);_(@_)"/>
    <numFmt numFmtId="167" formatCode="mmmm"/>
    <numFmt numFmtId="168" formatCode="0.0"/>
    <numFmt numFmtId="169" formatCode="_-* #,##0_-;\-* #,##0_-;_-* &quot;-&quot;??_-;_-@_-"/>
    <numFmt numFmtId="170" formatCode="_-&quot;R$&quot;* #,##0_-;\-&quot;R$&quot;* #,##0_-;_-&quot;R$&quot;* &quot;-&quot;??_-;_-@_-"/>
  </numFmts>
  <fonts count="27">
    <font>
      <sz val="11"/>
      <color theme="1"/>
      <name val="Futura Com Book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Futura Com Book"/>
    </font>
    <font>
      <b/>
      <sz val="11"/>
      <color theme="1"/>
      <name val="Futura Com Book"/>
      <family val="2"/>
      <scheme val="minor"/>
    </font>
    <font>
      <sz val="11"/>
      <color theme="0"/>
      <name val="Futura Com Book"/>
      <family val="2"/>
      <scheme val="minor"/>
    </font>
    <font>
      <sz val="11"/>
      <color theme="0"/>
      <name val="Futura Com Book"/>
    </font>
    <font>
      <sz val="11"/>
      <name val="Futura Com Book"/>
      <family val="2"/>
      <scheme val="minor"/>
    </font>
    <font>
      <b/>
      <sz val="11"/>
      <name val="Futura Com Book"/>
      <family val="2"/>
      <scheme val="minor"/>
    </font>
    <font>
      <sz val="11"/>
      <color theme="1"/>
      <name val="Futura Com Book"/>
      <scheme val="minor"/>
    </font>
    <font>
      <b/>
      <sz val="11"/>
      <color theme="0"/>
      <name val="Futura Com Book"/>
      <scheme val="minor"/>
    </font>
    <font>
      <b/>
      <sz val="11"/>
      <color theme="1"/>
      <name val="Futura Com Book"/>
    </font>
    <font>
      <b/>
      <sz val="11"/>
      <color theme="1"/>
      <name val="Futura Com Book"/>
      <scheme val="minor"/>
    </font>
    <font>
      <sz val="11"/>
      <color rgb="FFFF0000"/>
      <name val="Futura Com Book"/>
      <family val="2"/>
      <scheme val="minor"/>
    </font>
    <font>
      <sz val="11"/>
      <color rgb="FF00B050"/>
      <name val="Futura Com Book"/>
      <family val="2"/>
      <scheme val="minor"/>
    </font>
    <font>
      <sz val="11"/>
      <color rgb="FFFF0000"/>
      <name val="Futura Com Book"/>
    </font>
    <font>
      <sz val="11"/>
      <color theme="1"/>
      <name val="Futura Com Book"/>
      <family val="2"/>
      <scheme val="minor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Futura Com Book"/>
      <family val="2"/>
      <scheme val="minor"/>
    </font>
    <font>
      <b/>
      <sz val="11"/>
      <color rgb="FFFA7D00"/>
      <name val="Futura Com Book"/>
      <family val="2"/>
      <scheme val="minor"/>
    </font>
    <font>
      <b/>
      <sz val="12"/>
      <color theme="1"/>
      <name val="Futura Com Book"/>
      <family val="2"/>
      <scheme val="minor"/>
    </font>
    <font>
      <b/>
      <sz val="20"/>
      <color theme="0"/>
      <name val="Arial"/>
      <family val="2"/>
    </font>
    <font>
      <sz val="11"/>
      <color rgb="FF9C0006"/>
      <name val="Arial"/>
      <family val="2"/>
    </font>
    <font>
      <i/>
      <sz val="11"/>
      <color theme="1"/>
      <name val="Futura Com Book"/>
      <scheme val="minor"/>
    </font>
    <font>
      <sz val="11"/>
      <color theme="0"/>
      <name val="Futura Com Book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theme="4" tint="-0.249977111117893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</fills>
  <borders count="16">
    <border>
      <left/>
      <right/>
      <top/>
      <bottom/>
      <diagonal/>
    </border>
    <border>
      <left/>
      <right/>
      <top style="thin">
        <color theme="4" tint="-0.249977111117893"/>
      </top>
      <bottom style="thin">
        <color theme="4" tint="0.79998168889431442"/>
      </bottom>
      <diagonal/>
    </border>
    <border>
      <left/>
      <right/>
      <top style="thin">
        <color theme="4" tint="-0.249977111117893"/>
      </top>
      <bottom style="thin">
        <color theme="4" tint="0.59999389629810485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theme="4" tint="-0.249977111117893"/>
      </top>
      <bottom style="double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/>
      <right/>
      <top/>
      <bottom style="thin">
        <color theme="4" tint="0.5999938962981048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4" tint="0.79998168889431442"/>
      </top>
      <bottom/>
      <diagonal/>
    </border>
  </borders>
  <cellStyleXfs count="4">
    <xf numFmtId="0" fontId="0" fillId="0" borderId="0"/>
    <xf numFmtId="43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0" fontId="17" fillId="0" borderId="11" applyNumberFormat="0" applyFill="0" applyAlignment="0" applyProtection="0"/>
  </cellStyleXfs>
  <cellXfs count="160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4" fontId="5" fillId="2" borderId="2" xfId="0" applyNumberFormat="1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/>
    </xf>
    <xf numFmtId="4" fontId="0" fillId="0" borderId="3" xfId="0" applyNumberFormat="1" applyFont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5" fillId="2" borderId="7" xfId="0" applyFont="1" applyFill="1" applyBorder="1"/>
    <xf numFmtId="4" fontId="5" fillId="2" borderId="8" xfId="0" applyNumberFormat="1" applyFont="1" applyFill="1" applyBorder="1" applyAlignment="1">
      <alignment horizontal="center" vertical="center"/>
    </xf>
    <xf numFmtId="1" fontId="5" fillId="2" borderId="8" xfId="0" applyNumberFormat="1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/>
    </xf>
    <xf numFmtId="4" fontId="4" fillId="0" borderId="6" xfId="0" applyNumberFormat="1" applyFont="1" applyBorder="1" applyAlignment="1">
      <alignment horizontal="center" vertical="center"/>
    </xf>
    <xf numFmtId="4" fontId="3" fillId="0" borderId="0" xfId="0" applyNumberFormat="1" applyFont="1"/>
    <xf numFmtId="0" fontId="6" fillId="3" borderId="0" xfId="0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center" vertical="center"/>
    </xf>
    <xf numFmtId="164" fontId="6" fillId="3" borderId="0" xfId="0" applyNumberFormat="1" applyFont="1" applyFill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0" fontId="0" fillId="0" borderId="3" xfId="0" applyFont="1" applyBorder="1" applyAlignment="1">
      <alignment horizontal="right"/>
    </xf>
    <xf numFmtId="4" fontId="0" fillId="0" borderId="3" xfId="0" applyNumberFormat="1" applyFont="1" applyBorder="1" applyAlignment="1">
      <alignment horizontal="left" vertical="center"/>
    </xf>
    <xf numFmtId="4" fontId="0" fillId="0" borderId="3" xfId="0" applyNumberFormat="1" applyFont="1" applyBorder="1" applyAlignment="1">
      <alignment horizontal="right" vertical="center"/>
    </xf>
    <xf numFmtId="0" fontId="0" fillId="4" borderId="0" xfId="0" applyFont="1" applyFill="1" applyBorder="1" applyAlignment="1">
      <alignment horizontal="left"/>
    </xf>
    <xf numFmtId="4" fontId="3" fillId="4" borderId="0" xfId="0" applyNumberFormat="1" applyFont="1" applyFill="1"/>
    <xf numFmtId="165" fontId="7" fillId="0" borderId="3" xfId="0" applyNumberFormat="1" applyFont="1" applyBorder="1" applyAlignment="1">
      <alignment horizontal="center" vertical="center"/>
    </xf>
    <xf numFmtId="165" fontId="0" fillId="0" borderId="3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165" fontId="0" fillId="0" borderId="4" xfId="0" applyNumberFormat="1" applyFont="1" applyBorder="1" applyAlignment="1">
      <alignment horizontal="center" vertical="center"/>
    </xf>
    <xf numFmtId="165" fontId="8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4" fontId="0" fillId="0" borderId="3" xfId="0" applyNumberFormat="1" applyFont="1" applyFill="1" applyBorder="1" applyAlignment="1">
      <alignment horizontal="center" vertical="center"/>
    </xf>
    <xf numFmtId="4" fontId="9" fillId="4" borderId="3" xfId="0" applyNumberFormat="1" applyFont="1" applyFill="1" applyBorder="1" applyAlignment="1">
      <alignment horizontal="center" vertical="center"/>
    </xf>
    <xf numFmtId="0" fontId="9" fillId="4" borderId="3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10" fillId="2" borderId="7" xfId="0" applyFont="1" applyFill="1" applyBorder="1"/>
    <xf numFmtId="0" fontId="10" fillId="2" borderId="1" xfId="0" applyFont="1" applyFill="1" applyBorder="1"/>
    <xf numFmtId="4" fontId="0" fillId="0" borderId="0" xfId="0" applyNumberFormat="1" applyFont="1" applyFill="1" applyBorder="1" applyAlignment="1">
      <alignment horizontal="left" vertical="center"/>
    </xf>
    <xf numFmtId="16" fontId="0" fillId="0" borderId="3" xfId="0" applyNumberFormat="1" applyFont="1" applyBorder="1" applyAlignment="1">
      <alignment horizontal="center"/>
    </xf>
    <xf numFmtId="16" fontId="0" fillId="0" borderId="3" xfId="0" applyNumberFormat="1" applyFont="1" applyBorder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center"/>
    </xf>
    <xf numFmtId="4" fontId="0" fillId="0" borderId="0" xfId="0" applyNumberFormat="1" applyFont="1" applyFill="1" applyBorder="1" applyAlignment="1">
      <alignment horizontal="right" vertical="center"/>
    </xf>
    <xf numFmtId="4" fontId="3" fillId="4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4" fontId="11" fillId="4" borderId="0" xfId="0" applyNumberFormat="1" applyFont="1" applyFill="1" applyAlignment="1">
      <alignment horizontal="center"/>
    </xf>
    <xf numFmtId="4" fontId="0" fillId="0" borderId="0" xfId="0" applyNumberFormat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4" fillId="0" borderId="9" xfId="0" applyFont="1" applyBorder="1" applyAlignment="1">
      <alignment horizontal="center"/>
    </xf>
    <xf numFmtId="0" fontId="4" fillId="0" borderId="0" xfId="0" applyFont="1" applyAlignment="1">
      <alignment horizontal="center"/>
    </xf>
    <xf numFmtId="16" fontId="4" fillId="0" borderId="9" xfId="0" applyNumberFormat="1" applyFont="1" applyBorder="1" applyAlignment="1">
      <alignment horizontal="center"/>
    </xf>
    <xf numFmtId="0" fontId="0" fillId="0" borderId="9" xfId="0" applyBorder="1"/>
    <xf numFmtId="0" fontId="4" fillId="0" borderId="0" xfId="0" applyFont="1" applyBorder="1" applyAlignment="1">
      <alignment horizontal="center"/>
    </xf>
    <xf numFmtId="0" fontId="0" fillId="0" borderId="0" xfId="0" applyBorder="1"/>
    <xf numFmtId="2" fontId="0" fillId="0" borderId="0" xfId="0" applyNumberFormat="1"/>
    <xf numFmtId="4" fontId="0" fillId="0" borderId="0" xfId="0" applyNumberFormat="1" applyFont="1" applyFill="1" applyBorder="1" applyAlignment="1">
      <alignment horizontal="center" vertical="center"/>
    </xf>
    <xf numFmtId="17" fontId="0" fillId="0" borderId="3" xfId="0" applyNumberFormat="1" applyFont="1" applyBorder="1" applyAlignment="1">
      <alignment horizontal="center"/>
    </xf>
    <xf numFmtId="0" fontId="0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3" fillId="0" borderId="0" xfId="0" applyNumberFormat="1" applyFont="1" applyAlignment="1">
      <alignment horizontal="center"/>
    </xf>
    <xf numFmtId="0" fontId="0" fillId="0" borderId="0" xfId="0" applyAlignment="1">
      <alignment horizontal="left" vertical="center"/>
    </xf>
    <xf numFmtId="164" fontId="0" fillId="0" borderId="3" xfId="0" applyNumberFormat="1" applyFont="1" applyFill="1" applyBorder="1" applyAlignment="1">
      <alignment horizontal="center" vertical="center"/>
    </xf>
    <xf numFmtId="0" fontId="0" fillId="0" borderId="0" xfId="0" applyFill="1"/>
    <xf numFmtId="165" fontId="0" fillId="0" borderId="0" xfId="0" quotePrefix="1" applyNumberFormat="1"/>
    <xf numFmtId="0" fontId="0" fillId="5" borderId="0" xfId="0" applyFill="1"/>
    <xf numFmtId="165" fontId="14" fillId="0" borderId="0" xfId="0" quotePrefix="1" applyNumberFormat="1" applyFont="1"/>
    <xf numFmtId="4" fontId="0" fillId="0" borderId="0" xfId="0" applyNumberForma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" fontId="0" fillId="5" borderId="3" xfId="0" applyNumberFormat="1" applyFont="1" applyFill="1" applyBorder="1" applyAlignment="1">
      <alignment horizontal="center" vertical="center"/>
    </xf>
    <xf numFmtId="164" fontId="0" fillId="5" borderId="3" xfId="0" applyNumberFormat="1" applyFont="1" applyFill="1" applyBorder="1" applyAlignment="1">
      <alignment horizontal="center" vertical="center"/>
    </xf>
    <xf numFmtId="165" fontId="0" fillId="5" borderId="0" xfId="0" quotePrefix="1" applyNumberFormat="1" applyFill="1"/>
    <xf numFmtId="4" fontId="13" fillId="0" borderId="3" xfId="0" applyNumberFormat="1" applyFont="1" applyBorder="1" applyAlignment="1">
      <alignment horizontal="center" vertical="center"/>
    </xf>
    <xf numFmtId="4" fontId="7" fillId="0" borderId="3" xfId="0" applyNumberFormat="1" applyFont="1" applyBorder="1" applyAlignment="1">
      <alignment horizontal="center" vertical="center"/>
    </xf>
    <xf numFmtId="165" fontId="3" fillId="0" borderId="0" xfId="0" applyNumberFormat="1" applyFont="1"/>
    <xf numFmtId="0" fontId="3" fillId="0" borderId="0" xfId="0" applyFont="1" applyFill="1"/>
    <xf numFmtId="4" fontId="3" fillId="0" borderId="0" xfId="0" applyNumberFormat="1" applyFont="1" applyFill="1"/>
    <xf numFmtId="4" fontId="15" fillId="0" borderId="0" xfId="0" applyNumberFormat="1" applyFont="1" applyFill="1"/>
    <xf numFmtId="0" fontId="15" fillId="0" borderId="0" xfId="0" applyFont="1" applyFill="1"/>
    <xf numFmtId="0" fontId="0" fillId="0" borderId="12" xfId="0" applyBorder="1"/>
    <xf numFmtId="0" fontId="0" fillId="0" borderId="0" xfId="0" quotePrefix="1"/>
    <xf numFmtId="0" fontId="20" fillId="3" borderId="0" xfId="0" applyFont="1" applyFill="1" applyAlignment="1">
      <alignment horizontal="center" vertical="center"/>
    </xf>
    <xf numFmtId="0" fontId="0" fillId="7" borderId="0" xfId="0" applyFill="1"/>
    <xf numFmtId="0" fontId="5" fillId="0" borderId="0" xfId="0" applyFont="1"/>
    <xf numFmtId="0" fontId="20" fillId="3" borderId="0" xfId="0" applyFont="1" applyFill="1"/>
    <xf numFmtId="44" fontId="0" fillId="0" borderId="0" xfId="2" applyFont="1"/>
    <xf numFmtId="0" fontId="0" fillId="7" borderId="12" xfId="0" applyFill="1" applyBorder="1"/>
    <xf numFmtId="0" fontId="0" fillId="0" borderId="12" xfId="0" quotePrefix="1" applyBorder="1"/>
    <xf numFmtId="44" fontId="21" fillId="6" borderId="10" xfId="2" applyFont="1" applyFill="1" applyBorder="1"/>
    <xf numFmtId="44" fontId="20" fillId="3" borderId="0" xfId="2" applyFont="1" applyFill="1"/>
    <xf numFmtId="0" fontId="13" fillId="0" borderId="12" xfId="0" applyFont="1" applyBorder="1"/>
    <xf numFmtId="0" fontId="5" fillId="7" borderId="0" xfId="0" applyFont="1" applyFill="1"/>
    <xf numFmtId="0" fontId="5" fillId="0" borderId="0" xfId="0" quotePrefix="1" applyFont="1"/>
    <xf numFmtId="0" fontId="7" fillId="0" borderId="0" xfId="0" applyFont="1"/>
    <xf numFmtId="0" fontId="20" fillId="0" borderId="0" xfId="0" applyFont="1"/>
    <xf numFmtId="44" fontId="21" fillId="0" borderId="10" xfId="2" applyFont="1" applyBorder="1"/>
    <xf numFmtId="0" fontId="7" fillId="0" borderId="12" xfId="0" applyFont="1" applyBorder="1"/>
    <xf numFmtId="0" fontId="7" fillId="0" borderId="12" xfId="0" quotePrefix="1" applyFont="1" applyBorder="1"/>
    <xf numFmtId="44" fontId="7" fillId="0" borderId="0" xfId="2" applyFont="1"/>
    <xf numFmtId="168" fontId="0" fillId="0" borderId="0" xfId="0" applyNumberFormat="1"/>
    <xf numFmtId="14" fontId="0" fillId="0" borderId="0" xfId="0" applyNumberFormat="1"/>
    <xf numFmtId="169" fontId="0" fillId="0" borderId="0" xfId="0" applyNumberFormat="1"/>
    <xf numFmtId="169" fontId="5" fillId="0" borderId="0" xfId="1" applyNumberFormat="1" applyFont="1"/>
    <xf numFmtId="0" fontId="22" fillId="0" borderId="0" xfId="0" applyFont="1"/>
    <xf numFmtId="0" fontId="0" fillId="0" borderId="13" xfId="0" applyBorder="1"/>
    <xf numFmtId="44" fontId="0" fillId="0" borderId="13" xfId="2" applyFont="1" applyBorder="1"/>
    <xf numFmtId="16" fontId="0" fillId="0" borderId="13" xfId="0" applyNumberFormat="1" applyBorder="1"/>
    <xf numFmtId="44" fontId="0" fillId="0" borderId="0" xfId="2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/>
    <xf numFmtId="0" fontId="18" fillId="3" borderId="0" xfId="0" applyFont="1" applyFill="1" applyAlignment="1">
      <alignment horizontal="center" vertical="center"/>
    </xf>
    <xf numFmtId="7" fontId="2" fillId="0" borderId="0" xfId="0" applyNumberFormat="1" applyFont="1"/>
    <xf numFmtId="14" fontId="2" fillId="0" borderId="0" xfId="0" applyNumberFormat="1" applyFont="1"/>
    <xf numFmtId="0" fontId="2" fillId="0" borderId="14" xfId="0" applyFont="1" applyBorder="1"/>
    <xf numFmtId="7" fontId="2" fillId="0" borderId="14" xfId="0" applyNumberFormat="1" applyFont="1" applyBorder="1"/>
    <xf numFmtId="14" fontId="2" fillId="0" borderId="14" xfId="0" applyNumberFormat="1" applyFont="1" applyBorder="1"/>
    <xf numFmtId="0" fontId="19" fillId="0" borderId="0" xfId="0" applyFont="1"/>
    <xf numFmtId="4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3" fontId="0" fillId="0" borderId="0" xfId="0" applyNumberFormat="1"/>
    <xf numFmtId="22" fontId="0" fillId="0" borderId="0" xfId="0" applyNumberFormat="1" applyAlignment="1"/>
    <xf numFmtId="44" fontId="24" fillId="8" borderId="0" xfId="2" applyFont="1" applyFill="1" applyAlignment="1">
      <alignment horizontal="center" vertical="center"/>
    </xf>
    <xf numFmtId="0" fontId="10" fillId="3" borderId="0" xfId="0" applyFont="1" applyFill="1"/>
    <xf numFmtId="0" fontId="25" fillId="0" borderId="0" xfId="0" applyFont="1"/>
    <xf numFmtId="0" fontId="1" fillId="0" borderId="0" xfId="0" applyFont="1"/>
    <xf numFmtId="165" fontId="0" fillId="0" borderId="0" xfId="0" quotePrefix="1" applyNumberFormat="1" applyFill="1"/>
    <xf numFmtId="4" fontId="13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0" fontId="0" fillId="0" borderId="0" xfId="2" applyNumberFormat="1" applyFont="1"/>
    <xf numFmtId="1" fontId="0" fillId="0" borderId="0" xfId="0" applyNumberFormat="1" applyAlignment="1">
      <alignment horizontal="center" vertical="center"/>
    </xf>
    <xf numFmtId="1" fontId="13" fillId="0" borderId="0" xfId="1" applyNumberFormat="1" applyFont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0" borderId="0" xfId="0" quotePrefix="1" applyNumberFormat="1" applyAlignment="1">
      <alignment horizontal="center" vertical="center"/>
    </xf>
    <xf numFmtId="0" fontId="0" fillId="0" borderId="15" xfId="0" applyFont="1" applyBorder="1" applyAlignment="1">
      <alignment horizontal="left"/>
    </xf>
    <xf numFmtId="165" fontId="7" fillId="0" borderId="15" xfId="0" applyNumberFormat="1" applyFont="1" applyBorder="1" applyAlignment="1">
      <alignment horizontal="center" vertical="center"/>
    </xf>
    <xf numFmtId="167" fontId="0" fillId="0" borderId="0" xfId="0" applyNumberFormat="1"/>
    <xf numFmtId="167" fontId="6" fillId="3" borderId="0" xfId="0" applyNumberFormat="1" applyFont="1" applyFill="1" applyAlignment="1">
      <alignment horizontal="center" vertical="center"/>
    </xf>
    <xf numFmtId="167" fontId="0" fillId="0" borderId="3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3" borderId="0" xfId="0" applyFont="1" applyFill="1" applyAlignment="1">
      <alignment horizontal="center"/>
    </xf>
    <xf numFmtId="0" fontId="20" fillId="3" borderId="0" xfId="0" applyFont="1" applyFill="1" applyAlignment="1">
      <alignment horizontal="center" vertical="center"/>
    </xf>
    <xf numFmtId="167" fontId="23" fillId="3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7" fontId="2" fillId="0" borderId="0" xfId="0" applyNumberFormat="1" applyFont="1" applyAlignment="1">
      <alignment horizontal="center"/>
    </xf>
    <xf numFmtId="166" fontId="17" fillId="0" borderId="11" xfId="3" applyNumberFormat="1" applyAlignment="1">
      <alignment horizontal="center"/>
    </xf>
    <xf numFmtId="1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165" fontId="26" fillId="3" borderId="0" xfId="0" quotePrefix="1" applyNumberFormat="1" applyFont="1" applyFill="1"/>
    <xf numFmtId="0" fontId="0" fillId="0" borderId="0" xfId="0"/>
    <xf numFmtId="4" fontId="3" fillId="4" borderId="0" xfId="0" applyNumberFormat="1" applyFont="1" applyFill="1"/>
    <xf numFmtId="0" fontId="0" fillId="0" borderId="0" xfId="0" quotePrefix="1"/>
    <xf numFmtId="44" fontId="7" fillId="0" borderId="0" xfId="2" applyFont="1"/>
  </cellXfs>
  <cellStyles count="4">
    <cellStyle name="Célula Vinculada" xfId="3" builtinId="24"/>
    <cellStyle name="Moeda" xfId="2" builtinId="4"/>
    <cellStyle name="Normal" xfId="0" builtinId="0"/>
    <cellStyle name="Vírgula" xfId="1" builtinId="3"/>
  </cellStyles>
  <dxfs count="12"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5</xdr:col>
      <xdr:colOff>520976</xdr:colOff>
      <xdr:row>6</xdr:row>
      <xdr:rowOff>161925</xdr:rowOff>
    </xdr:to>
    <xdr:sp macro="[0]!resumovelas" textlink="">
      <xdr:nvSpPr>
        <xdr:cNvPr id="2" name="Retângulo 1">
          <a:extLst>
            <a:ext uri="{FF2B5EF4-FFF2-40B4-BE49-F238E27FC236}">
              <a16:creationId xmlns="" xmlns:a16="http://schemas.microsoft.com/office/drawing/2014/main" id="{9815F207-A815-46A5-ADC0-08FA8F387071}"/>
            </a:ext>
          </a:extLst>
        </xdr:cNvPr>
        <xdr:cNvSpPr/>
      </xdr:nvSpPr>
      <xdr:spPr>
        <a:xfrm>
          <a:off x="2743200" y="904875"/>
          <a:ext cx="1206776" cy="342900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INSERIR DADOS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333375</xdr:colOff>
      <xdr:row>4</xdr:row>
      <xdr:rowOff>28575</xdr:rowOff>
    </xdr:from>
    <xdr:ext cx="2724085" cy="1400175"/>
    <xdr:pic>
      <xdr:nvPicPr>
        <xdr:cNvPr id="4" name="Imagem 3">
          <a:extLst>
            <a:ext uri="{FF2B5EF4-FFF2-40B4-BE49-F238E27FC236}">
              <a16:creationId xmlns="" xmlns:a16="http://schemas.microsoft.com/office/drawing/2014/main" id="{9DEEEA2A-3304-4052-956F-2AF462790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5" y="752475"/>
          <a:ext cx="2724085" cy="14001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28575</xdr:rowOff>
    </xdr:from>
    <xdr:to>
      <xdr:col>6</xdr:col>
      <xdr:colOff>209177</xdr:colOff>
      <xdr:row>6</xdr:row>
      <xdr:rowOff>6506</xdr:rowOff>
    </xdr:to>
    <xdr:pic>
      <xdr:nvPicPr>
        <xdr:cNvPr id="2" name="Imagem 1">
          <a:extLst>
            <a:ext uri="{FF2B5EF4-FFF2-40B4-BE49-F238E27FC236}">
              <a16:creationId xmlns="" xmlns:a16="http://schemas.microsoft.com/office/drawing/2014/main" id="{F536E74B-7F1E-474A-B0A7-B41A075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"/>
          <a:ext cx="2124075" cy="1032031"/>
        </a:xfrm>
        <a:prstGeom prst="rect">
          <a:avLst/>
        </a:prstGeom>
      </xdr:spPr>
    </xdr:pic>
    <xdr:clientData/>
  </xdr:twoCellAnchor>
  <xdr:twoCellAnchor>
    <xdr:from>
      <xdr:col>0</xdr:col>
      <xdr:colOff>238123</xdr:colOff>
      <xdr:row>6</xdr:row>
      <xdr:rowOff>38101</xdr:rowOff>
    </xdr:from>
    <xdr:to>
      <xdr:col>3</xdr:col>
      <xdr:colOff>266698</xdr:colOff>
      <xdr:row>7</xdr:row>
      <xdr:rowOff>142876</xdr:rowOff>
    </xdr:to>
    <xdr:sp macro="[0]!relatoriovelas" textlink="">
      <xdr:nvSpPr>
        <xdr:cNvPr id="4" name="Retângulo 3">
          <a:extLst>
            <a:ext uri="{FF2B5EF4-FFF2-40B4-BE49-F238E27FC236}">
              <a16:creationId xmlns="" xmlns:a16="http://schemas.microsoft.com/office/drawing/2014/main" id="{74980AF4-5CCB-41A2-8BF1-17D4B3F6665A}"/>
            </a:ext>
          </a:extLst>
        </xdr:cNvPr>
        <xdr:cNvSpPr/>
      </xdr:nvSpPr>
      <xdr:spPr>
        <a:xfrm>
          <a:off x="238123" y="1276351"/>
          <a:ext cx="1257300" cy="285750"/>
        </a:xfrm>
        <a:prstGeom prst="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Gerar</a:t>
          </a:r>
          <a:r>
            <a:rPr lang="pt-BR" sz="1100" b="1" baseline="0"/>
            <a:t> relatório</a:t>
          </a:r>
          <a:endParaRPr lang="pt-B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9528</xdr:rowOff>
    </xdr:from>
    <xdr:to>
      <xdr:col>5</xdr:col>
      <xdr:colOff>371475</xdr:colOff>
      <xdr:row>10</xdr:row>
      <xdr:rowOff>168083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C8CF339-3011-4F83-99A7-A2E0694F7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8"/>
          <a:ext cx="3848099" cy="1996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d Bull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0F0069"/>
      </a:accent1>
      <a:accent2>
        <a:srgbClr val="CC0033"/>
      </a:accent2>
      <a:accent3>
        <a:srgbClr val="CCCCCC"/>
      </a:accent3>
      <a:accent4>
        <a:srgbClr val="999999"/>
      </a:accent4>
      <a:accent5>
        <a:srgbClr val="666666"/>
      </a:accent5>
      <a:accent6>
        <a:srgbClr val="FFBE00"/>
      </a:accent6>
      <a:hlink>
        <a:srgbClr val="3399FF"/>
      </a:hlink>
      <a:folHlink>
        <a:srgbClr val="B2B2B2"/>
      </a:folHlink>
    </a:clrScheme>
    <a:fontScheme name="Red Bull">
      <a:majorFont>
        <a:latin typeface="Futura Com Book"/>
        <a:ea typeface=""/>
        <a:cs typeface=""/>
      </a:majorFont>
      <a:minorFont>
        <a:latin typeface="Futura Com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8"/>
  <sheetViews>
    <sheetView showGridLines="0" workbookViewId="0">
      <selection activeCell="A8" sqref="A8"/>
    </sheetView>
  </sheetViews>
  <sheetFormatPr defaultRowHeight="14.25"/>
  <sheetData>
    <row r="1" spans="1:1">
      <c r="A1" t="s">
        <v>506</v>
      </c>
    </row>
    <row r="3" spans="1:1">
      <c r="A3" t="s">
        <v>507</v>
      </c>
    </row>
    <row r="4" spans="1:1">
      <c r="A4" t="s">
        <v>508</v>
      </c>
    </row>
    <row r="5" spans="1:1">
      <c r="A5" t="s">
        <v>509</v>
      </c>
    </row>
    <row r="6" spans="1:1">
      <c r="A6" t="s">
        <v>510</v>
      </c>
    </row>
    <row r="7" spans="1:1">
      <c r="A7" t="s">
        <v>511</v>
      </c>
    </row>
    <row r="8" spans="1:1">
      <c r="A8" t="s">
        <v>512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pageSetUpPr fitToPage="1"/>
  </sheetPr>
  <dimension ref="A1:U132"/>
  <sheetViews>
    <sheetView showGridLines="0" tabSelected="1" zoomScale="90" zoomScaleNormal="90" workbookViewId="0">
      <pane xSplit="2" ySplit="14" topLeftCell="C15" activePane="bottomRight" state="frozen"/>
      <selection activeCell="M30" sqref="M30"/>
      <selection pane="topRight" activeCell="M30" sqref="M30"/>
      <selection pane="bottomLeft" activeCell="M30" sqref="M30"/>
      <selection pane="bottomRight" activeCell="J11" sqref="J11"/>
    </sheetView>
  </sheetViews>
  <sheetFormatPr defaultColWidth="8.75" defaultRowHeight="14.25"/>
  <cols>
    <col min="1" max="1" width="3.5" style="134" bestFit="1" customWidth="1"/>
    <col min="2" max="2" width="17.375" style="1" customWidth="1"/>
    <col min="3" max="3" width="10" style="1" customWidth="1"/>
    <col min="4" max="14" width="9.75" style="1" customWidth="1"/>
    <col min="15" max="15" width="11.125" style="1" customWidth="1"/>
    <col min="16" max="16" width="10" style="1" bestFit="1" customWidth="1"/>
    <col min="17" max="17" width="8.75" style="1"/>
    <col min="18" max="18" width="9.125" style="1" bestFit="1" customWidth="1"/>
    <col min="19" max="16384" width="8.75" style="1"/>
  </cols>
  <sheetData>
    <row r="1" spans="1:21">
      <c r="C1" s="47">
        <v>1</v>
      </c>
      <c r="D1" s="47">
        <v>2</v>
      </c>
      <c r="E1" s="47">
        <v>3</v>
      </c>
      <c r="F1" s="47">
        <v>4</v>
      </c>
      <c r="G1" s="47">
        <v>5</v>
      </c>
      <c r="H1" s="47">
        <v>6</v>
      </c>
      <c r="I1" s="47">
        <v>7</v>
      </c>
      <c r="J1" s="47">
        <v>8</v>
      </c>
      <c r="K1" s="47">
        <v>9</v>
      </c>
      <c r="L1" s="47">
        <v>10</v>
      </c>
      <c r="M1" s="47">
        <v>11</v>
      </c>
      <c r="N1" s="47">
        <v>12</v>
      </c>
    </row>
    <row r="2" spans="1:21">
      <c r="B2" s="2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6">
        <v>2019</v>
      </c>
      <c r="R2" s="14"/>
      <c r="U2" s="14"/>
    </row>
    <row r="3" spans="1:21">
      <c r="B3" s="4" t="s">
        <v>7</v>
      </c>
      <c r="C3" s="24">
        <f>-(SUMIFS(despesas!$D:$D,despesas!$B:$B,resumo_mens!C$1,despesas!$E:$E,resumo_mens!$B3))</f>
        <v>-2000</v>
      </c>
      <c r="D3" s="24">
        <f>-(SUMIFS(despesas!$D:$D,despesas!$B:$B,resumo_mens!D$1,despesas!$E:$E,resumo_mens!$B3))</f>
        <v>-2000</v>
      </c>
      <c r="E3" s="24">
        <f>-(SUMIFS(despesas!$D:$D,despesas!$B:$B,resumo_mens!E$1,despesas!$E:$E,resumo_mens!$B3))</f>
        <v>-2000</v>
      </c>
      <c r="F3" s="24">
        <f>-(SUMIFS(despesas!$D:$D,despesas!$B:$B,resumo_mens!F$1,despesas!$E:$E,resumo_mens!$B3))</f>
        <v>-2000</v>
      </c>
      <c r="G3" s="24">
        <f>-(SUMIFS(despesas!$D:$D,despesas!$B:$B,resumo_mens!G$1,despesas!$E:$E,resumo_mens!$B3))</f>
        <v>-2000</v>
      </c>
      <c r="H3" s="24">
        <f>-(SUMIFS(despesas!$D:$D,despesas!$B:$B,resumo_mens!H$1,despesas!$E:$E,resumo_mens!$B3))</f>
        <v>-2000</v>
      </c>
      <c r="I3" s="24">
        <f>-(SUMIFS(despesas!$D:$D,despesas!$B:$B,resumo_mens!I$1,despesas!$E:$E,resumo_mens!$B3))</f>
        <v>-2000</v>
      </c>
      <c r="J3" s="24">
        <f>-(SUMIFS(despesas!$D:$D,despesas!$B:$B,resumo_mens!J$1,despesas!$E:$E,resumo_mens!$B3))</f>
        <v>-1660</v>
      </c>
      <c r="K3" s="24">
        <f>-(SUMIFS(despesas!$D:$D,despesas!$B:$B,resumo_mens!K$1,despesas!$E:$E,resumo_mens!$B3))</f>
        <v>0</v>
      </c>
      <c r="L3" s="24">
        <f>-(SUMIFS(despesas!$D:$D,despesas!$B:$B,resumo_mens!L$1,despesas!$E:$E,resumo_mens!$B3))</f>
        <v>0</v>
      </c>
      <c r="M3" s="24">
        <f>-(SUMIFS(despesas!$D:$D,despesas!$B:$B,resumo_mens!M$1,despesas!$E:$E,resumo_mens!$B3))</f>
        <v>0</v>
      </c>
      <c r="N3" s="24">
        <f>-(SUMIFS(despesas!$D:$D,despesas!$B:$B,resumo_mens!N$1,despesas!$E:$E,resumo_mens!$B3))</f>
        <v>0</v>
      </c>
      <c r="O3" s="25">
        <f>SUM(C3:N3)</f>
        <v>-15660</v>
      </c>
      <c r="R3" s="14"/>
      <c r="U3" s="14"/>
    </row>
    <row r="4" spans="1:21">
      <c r="B4" s="4" t="s">
        <v>8</v>
      </c>
      <c r="C4" s="24">
        <f>-(SUMIFS(despesas!$D:$D,despesas!$B:$B,resumo_mens!C$1,despesas!$E:$E,resumo_mens!$B4))</f>
        <v>-515.87</v>
      </c>
      <c r="D4" s="24">
        <f>-(SUMIFS(despesas!$D:$D,despesas!$B:$B,resumo_mens!D$1,despesas!$E:$E,resumo_mens!$B4))</f>
        <v>-306.17</v>
      </c>
      <c r="E4" s="24">
        <f>-(SUMIFS(despesas!$D:$D,despesas!$B:$B,resumo_mens!E$1,despesas!$E:$E,resumo_mens!$B4))</f>
        <v>-357.43</v>
      </c>
      <c r="F4" s="24">
        <f>-(SUMIFS(despesas!$D:$D,despesas!$B:$B,resumo_mens!F$1,despesas!$E:$E,resumo_mens!$B4))</f>
        <v>0</v>
      </c>
      <c r="G4" s="24">
        <f>-(SUMIFS(despesas!$D:$D,despesas!$B:$B,resumo_mens!G$1,despesas!$E:$E,resumo_mens!$B4))</f>
        <v>0</v>
      </c>
      <c r="H4" s="24">
        <f>-(SUMIFS(despesas!$D:$D,despesas!$B:$B,resumo_mens!H$1,despesas!$E:$E,resumo_mens!$B4))</f>
        <v>0</v>
      </c>
      <c r="I4" s="24">
        <f>-(SUMIFS(despesas!$D:$D,despesas!$B:$B,resumo_mens!I$1,despesas!$E:$E,resumo_mens!$B4))</f>
        <v>0</v>
      </c>
      <c r="J4" s="24">
        <f>-(SUMIFS(despesas!$D:$D,despesas!$B:$B,resumo_mens!J$1,despesas!$E:$E,resumo_mens!$B4))</f>
        <v>-217.42</v>
      </c>
      <c r="K4" s="24">
        <f>-(SUMIFS(despesas!$D:$D,despesas!$B:$B,resumo_mens!K$1,despesas!$E:$E,resumo_mens!$B4))</f>
        <v>0</v>
      </c>
      <c r="L4" s="24">
        <f>-(SUMIFS(despesas!$D:$D,despesas!$B:$B,resumo_mens!L$1,despesas!$E:$E,resumo_mens!$B4))</f>
        <v>0</v>
      </c>
      <c r="M4" s="24">
        <f>-(SUMIFS(despesas!$D:$D,despesas!$B:$B,resumo_mens!M$1,despesas!$E:$E,resumo_mens!$B4))</f>
        <v>0</v>
      </c>
      <c r="N4" s="24">
        <f>-(SUMIFS(despesas!$D:$D,despesas!$B:$B,resumo_mens!N$1,despesas!$E:$E,resumo_mens!$B4))</f>
        <v>0</v>
      </c>
      <c r="O4" s="25">
        <f t="shared" ref="O4:O9" si="0">SUM(C4:N4)</f>
        <v>-1396.89</v>
      </c>
      <c r="Q4" s="14"/>
    </row>
    <row r="5" spans="1:21">
      <c r="B5" s="4" t="s">
        <v>9</v>
      </c>
      <c r="C5" s="24">
        <f>-(SUMIFS(despesas!$D:$D,despesas!$B:$B,resumo_mens!C$1,despesas!$E:$E,resumo_mens!$B5))</f>
        <v>-102</v>
      </c>
      <c r="D5" s="24">
        <f>-(SUMIFS(despesas!$D:$D,despesas!$B:$B,resumo_mens!D$1,despesas!$E:$E,resumo_mens!$B5))</f>
        <v>-102</v>
      </c>
      <c r="E5" s="24">
        <f>-(SUMIFS(despesas!$D:$D,despesas!$B:$B,resumo_mens!E$1,despesas!$E:$E,resumo_mens!$B5))</f>
        <v>-102</v>
      </c>
      <c r="F5" s="24">
        <f>-(SUMIFS(despesas!$D:$D,despesas!$B:$B,resumo_mens!F$1,despesas!$E:$E,resumo_mens!$B5))</f>
        <v>-102</v>
      </c>
      <c r="G5" s="24">
        <f>-(SUMIFS(despesas!$D:$D,despesas!$B:$B,resumo_mens!G$1,despesas!$E:$E,resumo_mens!$B5))</f>
        <v>-102</v>
      </c>
      <c r="H5" s="24">
        <f>-(SUMIFS(despesas!$D:$D,despesas!$B:$B,resumo_mens!H$1,despesas!$E:$E,resumo_mens!$B5))</f>
        <v>-102</v>
      </c>
      <c r="I5" s="24">
        <f>-(SUMIFS(despesas!$D:$D,despesas!$B:$B,resumo_mens!I$1,despesas!$E:$E,resumo_mens!$B5))</f>
        <v>-102</v>
      </c>
      <c r="J5" s="24">
        <f>-(SUMIFS(despesas!$D:$D,despesas!$B:$B,resumo_mens!J$1,despesas!$E:$E,resumo_mens!$B5))</f>
        <v>-102</v>
      </c>
      <c r="K5" s="24">
        <f>-(SUMIFS(despesas!$D:$D,despesas!$B:$B,resumo_mens!K$1,despesas!$E:$E,resumo_mens!$B5))</f>
        <v>0</v>
      </c>
      <c r="L5" s="24">
        <f>-(SUMIFS(despesas!$D:$D,despesas!$B:$B,resumo_mens!L$1,despesas!$E:$E,resumo_mens!$B5))</f>
        <v>0</v>
      </c>
      <c r="M5" s="24">
        <f>-(SUMIFS(despesas!$D:$D,despesas!$B:$B,resumo_mens!M$1,despesas!$E:$E,resumo_mens!$B5))</f>
        <v>0</v>
      </c>
      <c r="N5" s="24">
        <f>-(SUMIFS(despesas!$D:$D,despesas!$B:$B,resumo_mens!N$1,despesas!$E:$E,resumo_mens!$B5))</f>
        <v>0</v>
      </c>
      <c r="O5" s="25">
        <f t="shared" si="0"/>
        <v>-816</v>
      </c>
      <c r="Q5" s="14"/>
    </row>
    <row r="6" spans="1:21">
      <c r="B6" s="140" t="s">
        <v>531</v>
      </c>
      <c r="C6" s="24">
        <f>-(SUMIFS(despesas!$D:$D,despesas!$B:$B,resumo_mens!C$1,despesas!$E:$E,resumo_mens!$B6))</f>
        <v>0</v>
      </c>
      <c r="D6" s="24">
        <f>-(SUMIFS(despesas!$D:$D,despesas!$B:$B,resumo_mens!D$1,despesas!$E:$E,resumo_mens!$B6))</f>
        <v>-202.4</v>
      </c>
      <c r="E6" s="24">
        <f>-(SUMIFS(despesas!$D:$D,despesas!$B:$B,resumo_mens!E$1,despesas!$E:$E,resumo_mens!$B6))</f>
        <v>-202.4</v>
      </c>
      <c r="F6" s="24">
        <f>-(SUMIFS(despesas!$D:$D,despesas!$B:$B,resumo_mens!F$1,despesas!$E:$E,resumo_mens!$B6))</f>
        <v>-202.4</v>
      </c>
      <c r="G6" s="24">
        <f>-(SUMIFS(despesas!$D:$D,despesas!$B:$B,resumo_mens!G$1,despesas!$E:$E,resumo_mens!$B6))</f>
        <v>-202.4</v>
      </c>
      <c r="H6" s="24">
        <f>-(SUMIFS(despesas!$D:$D,despesas!$B:$B,resumo_mens!H$1,despesas!$E:$E,resumo_mens!$B6))</f>
        <v>-202.4</v>
      </c>
      <c r="I6" s="24">
        <f>-(SUMIFS(despesas!$D:$D,despesas!$B:$B,resumo_mens!I$1,despesas!$E:$E,resumo_mens!$B6))</f>
        <v>-202.4</v>
      </c>
      <c r="J6" s="24">
        <f>-(SUMIFS(despesas!$D:$D,despesas!$B:$B,resumo_mens!J$1,despesas!$E:$E,resumo_mens!$B6))</f>
        <v>0</v>
      </c>
      <c r="K6" s="24">
        <f>-(SUMIFS(despesas!$D:$D,despesas!$B:$B,resumo_mens!K$1,despesas!$E:$E,resumo_mens!$B6))</f>
        <v>0</v>
      </c>
      <c r="L6" s="24">
        <f>-(SUMIFS(despesas!$D:$D,despesas!$B:$B,resumo_mens!L$1,despesas!$E:$E,resumo_mens!$B6))</f>
        <v>0</v>
      </c>
      <c r="M6" s="24">
        <f>-(SUMIFS(despesas!$D:$D,despesas!$B:$B,resumo_mens!M$1,despesas!$E:$E,resumo_mens!$B6))</f>
        <v>0</v>
      </c>
      <c r="N6" s="24">
        <f>-(SUMIFS(despesas!$D:$D,despesas!$B:$B,resumo_mens!N$1,despesas!$E:$E,resumo_mens!$B6))</f>
        <v>0</v>
      </c>
      <c r="O6" s="25">
        <f t="shared" si="0"/>
        <v>-1214.4000000000001</v>
      </c>
      <c r="Q6" s="14"/>
    </row>
    <row r="7" spans="1:21">
      <c r="B7" s="140" t="s">
        <v>537</v>
      </c>
      <c r="C7" s="141">
        <f>SUMIF($C$1:$N$1,'Eventos e Doações'!$C$1:$N$1,'Eventos e Doações'!$C$8:$N$8)</f>
        <v>0</v>
      </c>
      <c r="D7" s="141">
        <f>SUMIF($C$1:$N$1,'Eventos e Doações'!$C$1:$N$1,'Eventos e Doações'!$C$8:$N$8)</f>
        <v>0</v>
      </c>
      <c r="E7" s="141">
        <f>SUMIF($C$1:$N$1,'Eventos e Doações'!$C$1:$N$1,'Eventos e Doações'!$C$8:$N$8)</f>
        <v>0</v>
      </c>
      <c r="F7" s="141">
        <f>SUMIF($C$1:$N$1,'Eventos e Doações'!$C$1:$N$1,'Eventos e Doações'!$C$8:$N$8)</f>
        <v>0</v>
      </c>
      <c r="G7" s="141">
        <f>SUMIF($C$1:$N$1,'Eventos e Doações'!$C$1:$N$1,'Eventos e Doações'!$C$8:$N$8)</f>
        <v>0</v>
      </c>
      <c r="H7" s="141">
        <f>SUMIF($C$1:$N$1,'Eventos e Doações'!$C$1:$N$1,'Eventos e Doações'!$C$8:$N$8)</f>
        <v>0</v>
      </c>
      <c r="I7" s="141">
        <f>SUMIF($C$1:$N$1,'Eventos e Doações'!$C$1:$N$1,'Eventos e Doações'!$C$8:$N$8)</f>
        <v>0</v>
      </c>
      <c r="J7" s="141">
        <f>SUMIF($C$1:$N$1,'Eventos e Doações'!$C$1:$N$1,'Eventos e Doações'!$C$8:$N$8)</f>
        <v>-158</v>
      </c>
      <c r="K7" s="141">
        <f>SUMIF($C$1:$N$1,'Eventos e Doações'!$C$1:$N$1,'Eventos e Doações'!$C$8:$N$8)</f>
        <v>0</v>
      </c>
      <c r="L7" s="141">
        <f>SUMIF($C$1:$N$1,'Eventos e Doações'!$C$1:$N$1,'Eventos e Doações'!$C$8:$N$8)</f>
        <v>0</v>
      </c>
      <c r="M7" s="141">
        <f>SUMIF($C$1:$N$1,'Eventos e Doações'!$C$1:$N$1,'Eventos e Doações'!$C$8:$N$8)</f>
        <v>0</v>
      </c>
      <c r="N7" s="141">
        <f>SUMIF($C$1:$N$1,'Eventos e Doações'!$C$1:$N$1,'Eventos e Doações'!$C$8:$N$8)</f>
        <v>0</v>
      </c>
      <c r="O7" s="25">
        <f t="shared" si="0"/>
        <v>-158</v>
      </c>
      <c r="Q7" s="14"/>
    </row>
    <row r="8" spans="1:21" ht="15" thickBot="1">
      <c r="B8" s="8" t="s">
        <v>98</v>
      </c>
      <c r="C8" s="26">
        <f>-(SUMIFS(despesas!$D:$D,despesas!$B:$B,resumo_mens!C$1,despesas!$E:$E,resumo_mens!$B8))</f>
        <v>0</v>
      </c>
      <c r="D8" s="26">
        <f>-(SUMIFS(despesas!$D:$D,despesas!$B:$B,resumo_mens!D$1,despesas!$E:$E,resumo_mens!$B8))</f>
        <v>0</v>
      </c>
      <c r="E8" s="26">
        <f>-(SUMIFS(despesas!$D:$D,despesas!$B:$B,resumo_mens!E$1,despesas!$E:$E,resumo_mens!$B8))</f>
        <v>0</v>
      </c>
      <c r="F8" s="26">
        <f>-(SUMIFS(despesas!$D:$D,despesas!$B:$B,resumo_mens!F$1,despesas!$E:$E,resumo_mens!$B8))</f>
        <v>0</v>
      </c>
      <c r="G8" s="26">
        <f>-(SUMIFS(despesas!$D:$D,despesas!$B:$B,resumo_mens!G$1,despesas!$E:$E,resumo_mens!$B8))</f>
        <v>0</v>
      </c>
      <c r="H8" s="26">
        <f>-(SUMIFS(despesas!$D:$D,despesas!$B:$B,resumo_mens!H$1,despesas!$E:$E,resumo_mens!$B8))</f>
        <v>-50</v>
      </c>
      <c r="I8" s="26">
        <f>-(SUMIFS(despesas!$D:$D,despesas!$B:$B,resumo_mens!I$1,despesas!$E:$E,resumo_mens!$B8))</f>
        <v>0</v>
      </c>
      <c r="J8" s="26">
        <f>-(SUMIFS(despesas!$D:$D,despesas!$B:$B,resumo_mens!J$1,despesas!$E:$E,resumo_mens!$B8))</f>
        <v>-50</v>
      </c>
      <c r="K8" s="26">
        <f>-(SUMIFS(despesas!$D:$D,despesas!$B:$B,resumo_mens!K$1,despesas!$E:$E,resumo_mens!$B8))</f>
        <v>0</v>
      </c>
      <c r="L8" s="26">
        <f>-(SUMIFS(despesas!$D:$D,despesas!$B:$B,resumo_mens!L$1,despesas!$E:$E,resumo_mens!$B8))</f>
        <v>0</v>
      </c>
      <c r="M8" s="26">
        <f>-(SUMIFS(despesas!$D:$D,despesas!$B:$B,resumo_mens!M$1,despesas!$E:$E,resumo_mens!$B8))</f>
        <v>0</v>
      </c>
      <c r="N8" s="26">
        <f>-(SUMIFS(despesas!$D:$D,despesas!$B:$B,resumo_mens!N$1,despesas!$E:$E,resumo_mens!$B8))</f>
        <v>0</v>
      </c>
      <c r="O8" s="27">
        <f t="shared" si="0"/>
        <v>-100</v>
      </c>
      <c r="S8" s="14"/>
    </row>
    <row r="9" spans="1:21" ht="16.5" thickTop="1" thickBot="1">
      <c r="B9" s="7" t="s">
        <v>41</v>
      </c>
      <c r="C9" s="28">
        <f>SUM(C3:C8)</f>
        <v>-2617.87</v>
      </c>
      <c r="D9" s="28">
        <f>SUM(D3:D8)+SUMIF(Prato!$B:$B,resumo_mens!D1,Prato!$E:$E)+SUMIF(banho!$A:$A,resumo_mens!D1,banho!$E:$E)+SUMIF(arrecadações!$A:$A,resumo_mens!D1,arrecadações!$E:$E)</f>
        <v>-2610.5700000000002</v>
      </c>
      <c r="E9" s="28">
        <f>SUM(E3:E8)+SUMIF(Prato!$B:$B,resumo_mens!E1,Prato!$E:$E)+SUMIF(banho!$A:$A,resumo_mens!E1,banho!$E:$E)+SUMIF(arrecadações!$A:$A,resumo_mens!E1,arrecadações!$E:$E)</f>
        <v>-2661.83</v>
      </c>
      <c r="F9" s="28">
        <f>SUM(F3:F8)+SUMIF(Prato!$B:$B,resumo_mens!F1,Prato!$E:$E)+SUMIF(banho!$A:$A,resumo_mens!F1,banho!$E:$E)+SUMIF(arrecadações!$A:$A,resumo_mens!F1,arrecadações!$E:$E)</f>
        <v>-2079.4</v>
      </c>
      <c r="G9" s="28">
        <f>SUM(G3:G8)+SUMIF(Prato!$B:$B,resumo_mens!G1,Prato!$E:$E)+SUMIF(banho!$A:$A,resumo_mens!G1,banho!$E:$E)+SUMIF(arrecadações!$A:$A,resumo_mens!G1,arrecadações!$E:$E)</f>
        <v>-2013.4</v>
      </c>
      <c r="H9" s="28">
        <f>SUM(H3:H8)+SUMIF(Prato!$B:$B,resumo_mens!H1,Prato!$E:$E)+SUMIF(banho!$A:$A,resumo_mens!H1,banho!$E:$E)+SUMIF(arrecadações!$A:$A,resumo_mens!H1,arrecadações!$E:$E)</f>
        <v>-2048.4</v>
      </c>
      <c r="I9" s="28">
        <f>SUM(I3:I8)+SUMIF(Prato!$B:$B,resumo_mens!I1,Prato!$E:$E)+SUMIF(banho!$A:$A,resumo_mens!I1,banho!$E:$E)+SUMIF(arrecadações!$A:$A,resumo_mens!I1,arrecadações!$E:$E)</f>
        <v>-2063.4</v>
      </c>
      <c r="J9" s="28">
        <f>SUM(J3:J8)+SUMIF(Prato!$B:$B,resumo_mens!J1,Prato!$E:$E)+SUMIF(banho!$A:$A,resumo_mens!J1,banho!$E:$E)+SUMIF(arrecadações!$A:$A,resumo_mens!J1,arrecadações!$E:$E)</f>
        <v>-2121.42</v>
      </c>
      <c r="K9" s="28">
        <f>SUM(K3:K8)+SUMIF(Prato!$B:$B,resumo_mens!K1,Prato!$E:$E)+SUMIF(banho!$A:$A,resumo_mens!K1,banho!$E:$E)+SUMIF(arrecadações!$A:$A,resumo_mens!K1,arrecadações!$E:$E)</f>
        <v>0</v>
      </c>
      <c r="L9" s="28">
        <f>SUM(L3:L8)+SUMIF(Prato!$B:$B,resumo_mens!L1,Prato!$E:$E)+SUMIF(banho!$A:$A,resumo_mens!L1,banho!$E:$E)+SUMIF(arrecadações!$A:$A,resumo_mens!L1,arrecadações!$E:$E)</f>
        <v>0</v>
      </c>
      <c r="M9" s="28">
        <f>SUM(M3:M8)+SUMIF(Prato!$B:$B,resumo_mens!M1,Prato!$E:$E)+SUMIF(banho!$A:$A,resumo_mens!M1,banho!$E:$E)+SUMIF(arrecadações!$A:$A,resumo_mens!M1,arrecadações!$E:$E)</f>
        <v>0</v>
      </c>
      <c r="N9" s="28">
        <f>SUM(N3:N8)+SUMIF(Prato!$B:$B,resumo_mens!N1,Prato!$E:$E)+SUMIF(banho!$A:$A,resumo_mens!N1,banho!$E:$E)+SUMIF(arrecadações!$A:$A,resumo_mens!N1,arrecadações!$E:$E)</f>
        <v>0</v>
      </c>
      <c r="O9" s="29">
        <f t="shared" si="0"/>
        <v>-18216.29</v>
      </c>
      <c r="P9" s="79"/>
    </row>
    <row r="10" spans="1:21" ht="15" thickTop="1">
      <c r="C10" s="14"/>
      <c r="D10" s="14"/>
      <c r="E10" s="14"/>
      <c r="F10" s="14"/>
      <c r="G10" s="14"/>
      <c r="H10" s="14"/>
      <c r="I10" s="14"/>
      <c r="J10" s="14"/>
      <c r="R10" s="81"/>
      <c r="S10" s="80"/>
    </row>
    <row r="11" spans="1:21">
      <c r="B11" s="22" t="s">
        <v>28</v>
      </c>
      <c r="C11" s="23">
        <f>(C13+C9)+SUMIF('Eventos e Doações'!$C$1:$N$1,resumo_mens!$C$1:$N$1,'Eventos e Doações'!$C$12:$N$12)</f>
        <v>-1667.87</v>
      </c>
      <c r="D11" s="23">
        <f>C11+(D13+D9)+SUMIF('Eventos e Doações'!$C$1:$N$1,resumo_mens!$C$1:$N$1,'Eventos e Doações'!$C$12:$N$12)</f>
        <v>-1648.44</v>
      </c>
      <c r="E11" s="23">
        <f>D11+(E13+E9)+SUMIF('Eventos e Doações'!$C$1:$N$1,resumo_mens!$C$1:$N$1,'Eventos e Doações'!$C$12:$N$12)</f>
        <v>-1790.27</v>
      </c>
      <c r="F11" s="23">
        <f>E11+(F13+F9)+SUMIF('Eventos e Doações'!$C$1:$N$1,resumo_mens!$C$1:$N$1,'Eventos e Doações'!$C$12:$N$12)</f>
        <v>-944.67000000000007</v>
      </c>
      <c r="G11" s="23">
        <f>F11+(G13+G9)+SUMIF('Eventos e Doações'!$C$1:$N$1,resumo_mens!$C$1:$N$1,'Eventos e Doações'!$C$12:$N$12)</f>
        <v>-367.07000000000016</v>
      </c>
      <c r="H11" s="23">
        <f>G11+(H13+H9)+SUMIF('Eventos e Doações'!$C$1:$N$1,resumo_mens!$C$1:$N$1,'Eventos e Doações'!$C$12:$N$12)</f>
        <v>382.52999999999975</v>
      </c>
      <c r="I11" s="23">
        <f>H11+(I13+I9)+SUMIF('Eventos e Doações'!$C$1:$N$1,resumo_mens!$C$1:$N$1,'Eventos e Doações'!$C$12:$N$12)</f>
        <v>1135.1299999999997</v>
      </c>
      <c r="J11" s="157">
        <f>I11+(J13+J9)+SUMIF('Eventos e Doações'!$C$1:$N$1,resumo_mens!$C$1:$N$1,'Eventos e Doações'!$C$12:$N$12)</f>
        <v>579.70999999999958</v>
      </c>
      <c r="K11" s="23">
        <f>J11+(K13+K9)+SUMIF('Eventos e Doações'!$C$1:$N$1,resumo_mens!$C$1:$N$1,'Eventos e Doações'!$C$12:$N$12)</f>
        <v>579.70999999999958</v>
      </c>
      <c r="L11" s="23">
        <f>K11+(L13+L9)+SUMIF('Eventos e Doações'!$C$1:$N$1,resumo_mens!$C$1:$N$1,'Eventos e Doações'!$C$12:$N$12)</f>
        <v>579.70999999999958</v>
      </c>
      <c r="M11" s="23">
        <f>L11+(M13+M9)+SUMIF('Eventos e Doações'!$C$1:$N$1,resumo_mens!$C$1:$N$1,'Eventos e Doações'!$C$12:$N$12)</f>
        <v>579.70999999999958</v>
      </c>
      <c r="N11" s="23">
        <f>M11+(N13+N9)+SUMIF('Eventos e Doações'!$C$1:$N$1,resumo_mens!$C$1:$N$1,'Eventos e Doações'!$C$12:$N$12)</f>
        <v>579.70999999999958</v>
      </c>
      <c r="O11" s="23">
        <f>SUM(C11:N11)</f>
        <v>-2002.1100000000024</v>
      </c>
      <c r="Q11" s="81"/>
      <c r="R11" s="81"/>
      <c r="S11" s="81"/>
      <c r="T11" s="14"/>
      <c r="U11" s="14"/>
    </row>
    <row r="12" spans="1:21" ht="15" thickBot="1">
      <c r="A12" s="134">
        <f>-COUNTA(A15:A65)</f>
        <v>-21</v>
      </c>
      <c r="B12" s="33">
        <f>COUNTA(B15:B65)+A12</f>
        <v>30</v>
      </c>
      <c r="C12" s="64">
        <f>COUNTIF(C15:C65,"&gt;1")</f>
        <v>10</v>
      </c>
      <c r="D12" s="64">
        <f t="shared" ref="D12:N12" si="1">COUNTIF(D15:D65,"&gt;1")</f>
        <v>24</v>
      </c>
      <c r="E12" s="64">
        <f t="shared" si="1"/>
        <v>24</v>
      </c>
      <c r="F12" s="64">
        <f t="shared" si="1"/>
        <v>25</v>
      </c>
      <c r="G12" s="64">
        <f t="shared" si="1"/>
        <v>23</v>
      </c>
      <c r="H12" s="64">
        <f t="shared" si="1"/>
        <v>25</v>
      </c>
      <c r="I12" s="64">
        <f t="shared" si="1"/>
        <v>19</v>
      </c>
      <c r="J12" s="64">
        <f t="shared" si="1"/>
        <v>10</v>
      </c>
      <c r="K12" s="64">
        <f t="shared" si="1"/>
        <v>0</v>
      </c>
      <c r="L12" s="64">
        <f t="shared" si="1"/>
        <v>0</v>
      </c>
      <c r="M12" s="64">
        <f t="shared" si="1"/>
        <v>0</v>
      </c>
      <c r="N12" s="64">
        <f t="shared" si="1"/>
        <v>0</v>
      </c>
      <c r="O12" s="33"/>
      <c r="Q12" s="81"/>
      <c r="R12" s="81"/>
      <c r="S12" s="81"/>
      <c r="T12" s="14"/>
    </row>
    <row r="13" spans="1:21" ht="16.5" thickTop="1" thickBot="1">
      <c r="B13" s="12" t="s">
        <v>41</v>
      </c>
      <c r="C13" s="13">
        <f t="shared" ref="C13:N13" si="2">SUM(C15:C65)</f>
        <v>950</v>
      </c>
      <c r="D13" s="13">
        <f t="shared" si="2"/>
        <v>2630</v>
      </c>
      <c r="E13" s="13">
        <f t="shared" si="2"/>
        <v>2520</v>
      </c>
      <c r="F13" s="13">
        <f t="shared" si="2"/>
        <v>2700</v>
      </c>
      <c r="G13" s="13">
        <f t="shared" si="2"/>
        <v>2300</v>
      </c>
      <c r="H13" s="13">
        <f t="shared" si="2"/>
        <v>2492</v>
      </c>
      <c r="I13" s="13">
        <f t="shared" si="2"/>
        <v>2350</v>
      </c>
      <c r="J13" s="13">
        <f t="shared" si="2"/>
        <v>1500</v>
      </c>
      <c r="K13" s="13">
        <f t="shared" si="2"/>
        <v>0</v>
      </c>
      <c r="L13" s="13">
        <f t="shared" si="2"/>
        <v>0</v>
      </c>
      <c r="M13" s="13">
        <f t="shared" si="2"/>
        <v>0</v>
      </c>
      <c r="N13" s="13">
        <f t="shared" si="2"/>
        <v>0</v>
      </c>
      <c r="O13" s="13">
        <f t="shared" ref="O13" si="3">SUM(C13:N13)</f>
        <v>17442</v>
      </c>
      <c r="P13" s="79"/>
      <c r="Q13" s="81"/>
      <c r="R13" s="81"/>
      <c r="S13" s="81"/>
      <c r="T13" s="14"/>
    </row>
    <row r="14" spans="1:21" ht="15" thickTop="1">
      <c r="B14" s="9"/>
      <c r="C14" s="10" t="s">
        <v>0</v>
      </c>
      <c r="D14" s="10" t="s">
        <v>1</v>
      </c>
      <c r="E14" s="10" t="s">
        <v>2</v>
      </c>
      <c r="F14" s="10" t="s">
        <v>3</v>
      </c>
      <c r="G14" s="10" t="s">
        <v>4</v>
      </c>
      <c r="H14" s="10" t="s">
        <v>5</v>
      </c>
      <c r="I14" s="10" t="s">
        <v>6</v>
      </c>
      <c r="J14" s="10" t="s">
        <v>10</v>
      </c>
      <c r="K14" s="10" t="s">
        <v>11</v>
      </c>
      <c r="L14" s="10" t="s">
        <v>12</v>
      </c>
      <c r="M14" s="10" t="s">
        <v>13</v>
      </c>
      <c r="N14" s="10" t="s">
        <v>14</v>
      </c>
      <c r="O14" s="11">
        <v>2019</v>
      </c>
      <c r="Q14" s="82"/>
      <c r="R14" s="83"/>
      <c r="S14" s="81"/>
    </row>
    <row r="15" spans="1:21" hidden="1">
      <c r="A15" s="134" t="s">
        <v>127</v>
      </c>
      <c r="B15" s="4" t="s">
        <v>85</v>
      </c>
      <c r="C15" s="30">
        <f>(SUMIFS(mensalidades!$E:$E,mensalidades!$B:$B,resumo_mens!C$1,mensalidades!$D:$D,resumo_mens!$B15))</f>
        <v>0</v>
      </c>
      <c r="D15" s="30">
        <f>(SUMIFS(mensalidades!$E:$E,mensalidades!$B:$B,resumo_mens!D$1,mensalidades!$D:$D,resumo_mens!$B15))</f>
        <v>0</v>
      </c>
      <c r="E15" s="30">
        <f>(SUMIFS(mensalidades!$E:$E,mensalidades!$B:$B,resumo_mens!E$1,mensalidades!$D:$D,resumo_mens!$B15))</f>
        <v>0</v>
      </c>
      <c r="F15" s="30">
        <f>(SUMIFS(mensalidades!$E:$E,mensalidades!$B:$B,resumo_mens!F$1,mensalidades!$D:$D,resumo_mens!$B15))</f>
        <v>0</v>
      </c>
      <c r="G15" s="30">
        <f>(SUMIFS(mensalidades!$E:$E,mensalidades!$B:$B,resumo_mens!G$1,mensalidades!$D:$D,resumo_mens!$B15))</f>
        <v>0</v>
      </c>
      <c r="H15" s="30">
        <f>(SUMIFS(mensalidades!$E:$E,mensalidades!$B:$B,resumo_mens!H$1,mensalidades!$D:$D,resumo_mens!$B15))</f>
        <v>0</v>
      </c>
      <c r="I15" s="30">
        <f>(SUMIFS(mensalidades!$E:$E,mensalidades!$B:$B,resumo_mens!I$1,mensalidades!$D:$D,resumo_mens!$B15))</f>
        <v>0</v>
      </c>
      <c r="J15" s="30">
        <f>(SUMIFS(mensalidades!$E:$E,mensalidades!$B:$B,resumo_mens!J$1,mensalidades!$D:$D,resumo_mens!$B15))</f>
        <v>0</v>
      </c>
      <c r="K15" s="30">
        <f>(SUMIFS(mensalidades!$E:$E,mensalidades!$B:$B,resumo_mens!K$1,mensalidades!$D:$D,resumo_mens!$B15))</f>
        <v>0</v>
      </c>
      <c r="L15" s="30">
        <f>(SUMIFS(mensalidades!$E:$E,mensalidades!$B:$B,resumo_mens!L$1,mensalidades!$D:$D,resumo_mens!$B15))</f>
        <v>0</v>
      </c>
      <c r="M15" s="30">
        <f>(SUMIFS(mensalidades!$E:$E,mensalidades!$B:$B,resumo_mens!M$1,mensalidades!$D:$D,resumo_mens!$B15))</f>
        <v>0</v>
      </c>
      <c r="N15" s="30">
        <f>(SUMIFS(mensalidades!$E:$E,mensalidades!$B:$B,resumo_mens!N$1,mensalidades!$D:$D,resumo_mens!$B15))</f>
        <v>0</v>
      </c>
      <c r="O15" s="25">
        <f>SUM(C15:N15)</f>
        <v>0</v>
      </c>
    </row>
    <row r="16" spans="1:21" hidden="1">
      <c r="A16" s="134" t="s">
        <v>29</v>
      </c>
      <c r="B16" s="4" t="s">
        <v>525</v>
      </c>
      <c r="C16" s="30">
        <f>(SUMIFS(mensalidades!$E:$E,mensalidades!$B:$B,resumo_mens!C$1,mensalidades!$D:$D,resumo_mens!$B16))</f>
        <v>0</v>
      </c>
      <c r="D16" s="30">
        <f>(SUMIFS(mensalidades!$E:$E,mensalidades!$B:$B,resumo_mens!D$1,mensalidades!$D:$D,resumo_mens!$B16))</f>
        <v>0</v>
      </c>
      <c r="E16" s="30">
        <f>(SUMIFS(mensalidades!$E:$E,mensalidades!$B:$B,resumo_mens!E$1,mensalidades!$D:$D,resumo_mens!$B16))</f>
        <v>0</v>
      </c>
      <c r="F16" s="30">
        <f>(SUMIFS(mensalidades!$E:$E,mensalidades!$B:$B,resumo_mens!F$1,mensalidades!$D:$D,resumo_mens!$B16))</f>
        <v>0</v>
      </c>
      <c r="G16" s="30">
        <f>(SUMIFS(mensalidades!$E:$E,mensalidades!$B:$B,resumo_mens!G$1,mensalidades!$D:$D,resumo_mens!$B16))</f>
        <v>0</v>
      </c>
      <c r="H16" s="30">
        <f>(SUMIFS(mensalidades!$E:$E,mensalidades!$B:$B,resumo_mens!H$1,mensalidades!$D:$D,resumo_mens!$B16))</f>
        <v>0</v>
      </c>
      <c r="I16" s="30">
        <f>(SUMIFS(mensalidades!$E:$E,mensalidades!$B:$B,resumo_mens!I$1,mensalidades!$D:$D,resumo_mens!$B16))</f>
        <v>700</v>
      </c>
      <c r="J16" s="30">
        <f>(SUMIFS(mensalidades!$E:$E,mensalidades!$B:$B,resumo_mens!J$1,mensalidades!$D:$D,resumo_mens!$B16))</f>
        <v>0</v>
      </c>
      <c r="K16" s="30">
        <f>(SUMIFS(mensalidades!$E:$E,mensalidades!$B:$B,resumo_mens!K$1,mensalidades!$D:$D,resumo_mens!$B16))</f>
        <v>0</v>
      </c>
      <c r="L16" s="30">
        <f>(SUMIFS(mensalidades!$E:$E,mensalidades!$B:$B,resumo_mens!L$1,mensalidades!$D:$D,resumo_mens!$B16))</f>
        <v>0</v>
      </c>
      <c r="M16" s="30">
        <f>(SUMIFS(mensalidades!$E:$E,mensalidades!$B:$B,resumo_mens!M$1,mensalidades!$D:$D,resumo_mens!$B16))</f>
        <v>0</v>
      </c>
      <c r="N16" s="30">
        <f>(SUMIFS(mensalidades!$E:$E,mensalidades!$B:$B,resumo_mens!N$1,mensalidades!$D:$D,resumo_mens!$B16))</f>
        <v>0</v>
      </c>
      <c r="O16" s="25">
        <f>SUM(C16:N16)</f>
        <v>700</v>
      </c>
    </row>
    <row r="17" spans="1:20" hidden="1">
      <c r="A17" s="134" t="s">
        <v>29</v>
      </c>
      <c r="B17" s="4" t="s">
        <v>102</v>
      </c>
      <c r="C17" s="30">
        <f>(SUMIFS(mensalidades!$E:$E,mensalidades!$B:$B,resumo_mens!C$1,mensalidades!$D:$D,resumo_mens!$B17))</f>
        <v>0</v>
      </c>
      <c r="D17" s="30">
        <f>(SUMIFS(mensalidades!$E:$E,mensalidades!$B:$B,resumo_mens!D$1,mensalidades!$D:$D,resumo_mens!$B17))</f>
        <v>0</v>
      </c>
      <c r="E17" s="30">
        <f>(SUMIFS(mensalidades!$E:$E,mensalidades!$B:$B,resumo_mens!E$1,mensalidades!$D:$D,resumo_mens!$B17))</f>
        <v>0</v>
      </c>
      <c r="F17" s="30">
        <f>(SUMIFS(mensalidades!$E:$E,mensalidades!$B:$B,resumo_mens!F$1,mensalidades!$D:$D,resumo_mens!$B17))</f>
        <v>0</v>
      </c>
      <c r="G17" s="30">
        <f>(SUMIFS(mensalidades!$E:$E,mensalidades!$B:$B,resumo_mens!G$1,mensalidades!$D:$D,resumo_mens!$B17))</f>
        <v>0</v>
      </c>
      <c r="H17" s="30">
        <f>(SUMIFS(mensalidades!$E:$E,mensalidades!$B:$B,resumo_mens!H$1,mensalidades!$D:$D,resumo_mens!$B17))</f>
        <v>0</v>
      </c>
      <c r="I17" s="30">
        <f>(SUMIFS(mensalidades!$E:$E,mensalidades!$B:$B,resumo_mens!I$1,mensalidades!$D:$D,resumo_mens!$B17))</f>
        <v>0</v>
      </c>
      <c r="J17" s="30">
        <f>(SUMIFS(mensalidades!$E:$E,mensalidades!$B:$B,resumo_mens!J$1,mensalidades!$D:$D,resumo_mens!$B17))</f>
        <v>0</v>
      </c>
      <c r="K17" s="30">
        <f>(SUMIFS(mensalidades!$E:$E,mensalidades!$B:$B,resumo_mens!K$1,mensalidades!$D:$D,resumo_mens!$B17))</f>
        <v>0</v>
      </c>
      <c r="L17" s="30">
        <f>(SUMIFS(mensalidades!$E:$E,mensalidades!$B:$B,resumo_mens!L$1,mensalidades!$D:$D,resumo_mens!$B17))</f>
        <v>0</v>
      </c>
      <c r="M17" s="30">
        <f>(SUMIFS(mensalidades!$E:$E,mensalidades!$B:$B,resumo_mens!M$1,mensalidades!$D:$D,resumo_mens!$B17))</f>
        <v>0</v>
      </c>
      <c r="N17" s="30">
        <f>(SUMIFS(mensalidades!$E:$E,mensalidades!$B:$B,resumo_mens!N$1,mensalidades!$D:$D,resumo_mens!$B17))</f>
        <v>0</v>
      </c>
      <c r="O17" s="25">
        <f>SUM(C17:N17)</f>
        <v>0</v>
      </c>
      <c r="Q17" s="81"/>
      <c r="R17" s="80"/>
      <c r="S17" s="81"/>
    </row>
    <row r="18" spans="1:20" hidden="1">
      <c r="A18" s="134" t="s">
        <v>127</v>
      </c>
      <c r="B18" s="4" t="s">
        <v>59</v>
      </c>
      <c r="C18" s="30">
        <f>(SUMIFS(mensalidades!$E:$E,mensalidades!$B:$B,resumo_mens!C$1,mensalidades!$D:$D,resumo_mens!$B18))</f>
        <v>0</v>
      </c>
      <c r="D18" s="30">
        <f>(SUMIFS(mensalidades!$E:$E,mensalidades!$B:$B,resumo_mens!D$1,mensalidades!$D:$D,resumo_mens!$B18))</f>
        <v>0</v>
      </c>
      <c r="E18" s="30">
        <f>(SUMIFS(mensalidades!$E:$E,mensalidades!$B:$B,resumo_mens!E$1,mensalidades!$D:$D,resumo_mens!$B18))</f>
        <v>0</v>
      </c>
      <c r="F18" s="30">
        <f>(SUMIFS(mensalidades!$E:$E,mensalidades!$B:$B,resumo_mens!F$1,mensalidades!$D:$D,resumo_mens!$B18))</f>
        <v>0</v>
      </c>
      <c r="G18" s="30">
        <f>(SUMIFS(mensalidades!$E:$E,mensalidades!$B:$B,resumo_mens!G$1,mensalidades!$D:$D,resumo_mens!$B18))</f>
        <v>0</v>
      </c>
      <c r="H18" s="30">
        <f>(SUMIFS(mensalidades!$E:$E,mensalidades!$B:$B,resumo_mens!H$1,mensalidades!$D:$D,resumo_mens!$B18))</f>
        <v>0</v>
      </c>
      <c r="I18" s="30">
        <f>(SUMIFS(mensalidades!$E:$E,mensalidades!$B:$B,resumo_mens!I$1,mensalidades!$D:$D,resumo_mens!$B18))</f>
        <v>0</v>
      </c>
      <c r="J18" s="30">
        <f>(SUMIFS(mensalidades!$E:$E,mensalidades!$B:$B,resumo_mens!J$1,mensalidades!$D:$D,resumo_mens!$B18))</f>
        <v>0</v>
      </c>
      <c r="K18" s="30">
        <f>(SUMIFS(mensalidades!$E:$E,mensalidades!$B:$B,resumo_mens!K$1,mensalidades!$D:$D,resumo_mens!$B18))</f>
        <v>0</v>
      </c>
      <c r="L18" s="30">
        <f>(SUMIFS(mensalidades!$E:$E,mensalidades!$B:$B,resumo_mens!L$1,mensalidades!$D:$D,resumo_mens!$B18))</f>
        <v>0</v>
      </c>
      <c r="M18" s="30">
        <f>(SUMIFS(mensalidades!$E:$E,mensalidades!$B:$B,resumo_mens!M$1,mensalidades!$D:$D,resumo_mens!$B18))</f>
        <v>0</v>
      </c>
      <c r="N18" s="30">
        <f>(SUMIFS(mensalidades!$E:$E,mensalidades!$B:$B,resumo_mens!N$1,mensalidades!$D:$D,resumo_mens!$B18))</f>
        <v>0</v>
      </c>
      <c r="O18" s="25">
        <f>SUM(C18:N18)</f>
        <v>0</v>
      </c>
      <c r="Q18" s="80"/>
      <c r="R18" s="80"/>
      <c r="S18" s="81"/>
    </row>
    <row r="19" spans="1:20">
      <c r="A19" s="33"/>
      <c r="B19" s="4" t="s">
        <v>518</v>
      </c>
      <c r="C19" s="30">
        <f>(SUMIFS(mensalidades!$E:$E,mensalidades!$B:$B,resumo_mens!C$1,mensalidades!$D:$D,resumo_mens!$B19))</f>
        <v>0</v>
      </c>
      <c r="D19" s="30">
        <f>(SUMIFS(mensalidades!$E:$E,mensalidades!$B:$B,resumo_mens!D$1,mensalidades!$D:$D,resumo_mens!$B19))</f>
        <v>0</v>
      </c>
      <c r="E19" s="30">
        <f>(SUMIFS(mensalidades!$E:$E,mensalidades!$B:$B,resumo_mens!E$1,mensalidades!$D:$D,resumo_mens!$B19))</f>
        <v>0</v>
      </c>
      <c r="F19" s="30">
        <f>(SUMIFS(mensalidades!$E:$E,mensalidades!$B:$B,resumo_mens!F$1,mensalidades!$D:$D,resumo_mens!$B19))</f>
        <v>0</v>
      </c>
      <c r="G19" s="30">
        <f>(SUMIFS(mensalidades!$E:$E,mensalidades!$B:$B,resumo_mens!G$1,mensalidades!$D:$D,resumo_mens!$B19))</f>
        <v>0</v>
      </c>
      <c r="H19" s="30">
        <f>(SUMIFS(mensalidades!$E:$E,mensalidades!$B:$B,resumo_mens!H$1,mensalidades!$D:$D,resumo_mens!$B19))</f>
        <v>0</v>
      </c>
      <c r="I19" s="30">
        <f>(SUMIFS(mensalidades!$E:$E,mensalidades!$B:$B,resumo_mens!I$1,mensalidades!$D:$D,resumo_mens!$B19))</f>
        <v>50</v>
      </c>
      <c r="J19" s="30">
        <f>(SUMIFS(mensalidades!$E:$E,mensalidades!$B:$B,resumo_mens!J$1,mensalidades!$D:$D,resumo_mens!$B19))</f>
        <v>0</v>
      </c>
      <c r="K19" s="30">
        <f>(SUMIFS(mensalidades!$E:$E,mensalidades!$B:$B,resumo_mens!K$1,mensalidades!$D:$D,resumo_mens!$B19))</f>
        <v>0</v>
      </c>
      <c r="L19" s="30">
        <f>(SUMIFS(mensalidades!$E:$E,mensalidades!$B:$B,resumo_mens!L$1,mensalidades!$D:$D,resumo_mens!$B19))</f>
        <v>0</v>
      </c>
      <c r="M19" s="30">
        <f>(SUMIFS(mensalidades!$E:$E,mensalidades!$B:$B,resumo_mens!M$1,mensalidades!$D:$D,resumo_mens!$B19))</f>
        <v>0</v>
      </c>
      <c r="N19" s="30">
        <f>(SUMIFS(mensalidades!$E:$E,mensalidades!$B:$B,resumo_mens!N$1,mensalidades!$D:$D,resumo_mens!$B19))</f>
        <v>0</v>
      </c>
      <c r="O19" s="25">
        <f t="shared" ref="O19" si="4">SUM(C19:N19)</f>
        <v>50</v>
      </c>
      <c r="Q19" s="80"/>
      <c r="R19" s="80"/>
      <c r="S19" s="81"/>
    </row>
    <row r="20" spans="1:20">
      <c r="A20" s="33"/>
      <c r="B20" s="4" t="s">
        <v>15</v>
      </c>
      <c r="C20" s="30">
        <f>(SUMIFS(mensalidades!$E:$E,mensalidades!$B:$B,resumo_mens!C$1,mensalidades!$D:$D,resumo_mens!$B20))</f>
        <v>0</v>
      </c>
      <c r="D20" s="30">
        <f>(SUMIFS(mensalidades!$E:$E,mensalidades!$B:$B,resumo_mens!D$1,mensalidades!$D:$D,resumo_mens!$B20))</f>
        <v>100</v>
      </c>
      <c r="E20" s="30">
        <f>(SUMIFS(mensalidades!$E:$E,mensalidades!$B:$B,resumo_mens!E$1,mensalidades!$D:$D,resumo_mens!$B20))</f>
        <v>100</v>
      </c>
      <c r="F20" s="30">
        <f>(SUMIFS(mensalidades!$E:$E,mensalidades!$B:$B,resumo_mens!F$1,mensalidades!$D:$D,resumo_mens!$B20))</f>
        <v>100</v>
      </c>
      <c r="G20" s="30">
        <f>(SUMIFS(mensalidades!$E:$E,mensalidades!$B:$B,resumo_mens!G$1,mensalidades!$D:$D,resumo_mens!$B20))</f>
        <v>100</v>
      </c>
      <c r="H20" s="30">
        <f>(SUMIFS(mensalidades!$E:$E,mensalidades!$B:$B,resumo_mens!H$1,mensalidades!$D:$D,resumo_mens!$B20))</f>
        <v>100</v>
      </c>
      <c r="I20" s="30">
        <f>(SUMIFS(mensalidades!$E:$E,mensalidades!$B:$B,resumo_mens!I$1,mensalidades!$D:$D,resumo_mens!$B20))</f>
        <v>100</v>
      </c>
      <c r="J20" s="30">
        <f>(SUMIFS(mensalidades!$E:$E,mensalidades!$B:$B,resumo_mens!J$1,mensalidades!$D:$D,resumo_mens!$B20))</f>
        <v>0</v>
      </c>
      <c r="K20" s="30">
        <f>(SUMIFS(mensalidades!$E:$E,mensalidades!$B:$B,resumo_mens!K$1,mensalidades!$D:$D,resumo_mens!$B20))</f>
        <v>0</v>
      </c>
      <c r="L20" s="30">
        <f>(SUMIFS(mensalidades!$E:$E,mensalidades!$B:$B,resumo_mens!L$1,mensalidades!$D:$D,resumo_mens!$B20))</f>
        <v>0</v>
      </c>
      <c r="M20" s="30">
        <f>(SUMIFS(mensalidades!$E:$E,mensalidades!$B:$B,resumo_mens!M$1,mensalidades!$D:$D,resumo_mens!$B20))</f>
        <v>0</v>
      </c>
      <c r="N20" s="30">
        <f>(SUMIFS(mensalidades!$E:$E,mensalidades!$B:$B,resumo_mens!N$1,mensalidades!$D:$D,resumo_mens!$B20))</f>
        <v>0</v>
      </c>
      <c r="O20" s="25">
        <f t="shared" ref="O20:O65" si="5">SUM(C20:N20)</f>
        <v>600</v>
      </c>
      <c r="Q20" s="80"/>
      <c r="R20" s="80"/>
      <c r="S20" s="81"/>
    </row>
    <row r="21" spans="1:20">
      <c r="A21" s="33"/>
      <c r="B21" s="4" t="s">
        <v>513</v>
      </c>
      <c r="C21" s="30">
        <f>(SUMIFS(mensalidades!$E:$E,mensalidades!$B:$B,resumo_mens!C$1,mensalidades!$D:$D,resumo_mens!$B21))</f>
        <v>0</v>
      </c>
      <c r="D21" s="30">
        <f>(SUMIFS(mensalidades!$E:$E,mensalidades!$B:$B,resumo_mens!D$1,mensalidades!$D:$D,resumo_mens!$B21))</f>
        <v>0</v>
      </c>
      <c r="E21" s="30">
        <f>(SUMIFS(mensalidades!$E:$E,mensalidades!$B:$B,resumo_mens!E$1,mensalidades!$D:$D,resumo_mens!$B21))</f>
        <v>0</v>
      </c>
      <c r="F21" s="30">
        <f>(SUMIFS(mensalidades!$E:$E,mensalidades!$B:$B,resumo_mens!F$1,mensalidades!$D:$D,resumo_mens!$B21))</f>
        <v>0</v>
      </c>
      <c r="G21" s="30">
        <f>(SUMIFS(mensalidades!$E:$E,mensalidades!$B:$B,resumo_mens!G$1,mensalidades!$D:$D,resumo_mens!$B21))</f>
        <v>0</v>
      </c>
      <c r="H21" s="30">
        <f>(SUMIFS(mensalidades!$E:$E,mensalidades!$B:$B,resumo_mens!H$1,mensalidades!$D:$D,resumo_mens!$B21))</f>
        <v>0</v>
      </c>
      <c r="I21" s="30">
        <f>(SUMIFS(mensalidades!$E:$E,mensalidades!$B:$B,resumo_mens!I$1,mensalidades!$D:$D,resumo_mens!$B21))</f>
        <v>0</v>
      </c>
      <c r="J21" s="30">
        <f>(SUMIFS(mensalidades!$E:$E,mensalidades!$B:$B,resumo_mens!J$1,mensalidades!$D:$D,resumo_mens!$B21))</f>
        <v>0</v>
      </c>
      <c r="K21" s="30">
        <f>(SUMIFS(mensalidades!$E:$E,mensalidades!$B:$B,resumo_mens!K$1,mensalidades!$D:$D,resumo_mens!$B21))</f>
        <v>0</v>
      </c>
      <c r="L21" s="30">
        <f>(SUMIFS(mensalidades!$E:$E,mensalidades!$B:$B,resumo_mens!L$1,mensalidades!$D:$D,resumo_mens!$B21))</f>
        <v>0</v>
      </c>
      <c r="M21" s="30">
        <f>(SUMIFS(mensalidades!$E:$E,mensalidades!$B:$B,resumo_mens!M$1,mensalidades!$D:$D,resumo_mens!$B21))</f>
        <v>0</v>
      </c>
      <c r="N21" s="30">
        <f>(SUMIFS(mensalidades!$E:$E,mensalidades!$B:$B,resumo_mens!N$1,mensalidades!$D:$D,resumo_mens!$B21))</f>
        <v>0</v>
      </c>
      <c r="O21" s="25">
        <f t="shared" si="5"/>
        <v>0</v>
      </c>
      <c r="Q21" s="80"/>
      <c r="R21" s="80"/>
      <c r="S21" s="80"/>
    </row>
    <row r="22" spans="1:20" hidden="1">
      <c r="A22" s="134" t="s">
        <v>127</v>
      </c>
      <c r="B22" s="4" t="s">
        <v>16</v>
      </c>
      <c r="C22" s="30">
        <f>(SUMIFS(mensalidades!$E:$E,mensalidades!$B:$B,resumo_mens!C$1,mensalidades!$D:$D,resumo_mens!$B22))</f>
        <v>0</v>
      </c>
      <c r="D22" s="30">
        <f>(SUMIFS(mensalidades!$E:$E,mensalidades!$B:$B,resumo_mens!D$1,mensalidades!$D:$D,resumo_mens!$B22))</f>
        <v>50</v>
      </c>
      <c r="E22" s="30">
        <f>(SUMIFS(mensalidades!$E:$E,mensalidades!$B:$B,resumo_mens!E$1,mensalidades!$D:$D,resumo_mens!$B22))</f>
        <v>0</v>
      </c>
      <c r="F22" s="30">
        <f>(SUMIFS(mensalidades!$E:$E,mensalidades!$B:$B,resumo_mens!F$1,mensalidades!$D:$D,resumo_mens!$B22))</f>
        <v>0</v>
      </c>
      <c r="G22" s="30">
        <f>(SUMIFS(mensalidades!$E:$E,mensalidades!$B:$B,resumo_mens!G$1,mensalidades!$D:$D,resumo_mens!$B22))</f>
        <v>0</v>
      </c>
      <c r="H22" s="30">
        <f>(SUMIFS(mensalidades!$E:$E,mensalidades!$B:$B,resumo_mens!H$1,mensalidades!$D:$D,resumo_mens!$B22))</f>
        <v>0</v>
      </c>
      <c r="I22" s="30">
        <f>(SUMIFS(mensalidades!$E:$E,mensalidades!$B:$B,resumo_mens!I$1,mensalidades!$D:$D,resumo_mens!$B22))</f>
        <v>0</v>
      </c>
      <c r="J22" s="30">
        <f>(SUMIFS(mensalidades!$E:$E,mensalidades!$B:$B,resumo_mens!J$1,mensalidades!$D:$D,resumo_mens!$B22))</f>
        <v>0</v>
      </c>
      <c r="K22" s="30">
        <f>(SUMIFS(mensalidades!$E:$E,mensalidades!$B:$B,resumo_mens!K$1,mensalidades!$D:$D,resumo_mens!$B22))</f>
        <v>0</v>
      </c>
      <c r="L22" s="30">
        <f>(SUMIFS(mensalidades!$E:$E,mensalidades!$B:$B,resumo_mens!L$1,mensalidades!$D:$D,resumo_mens!$B22))</f>
        <v>0</v>
      </c>
      <c r="M22" s="30">
        <f>(SUMIFS(mensalidades!$E:$E,mensalidades!$B:$B,resumo_mens!M$1,mensalidades!$D:$D,resumo_mens!$B22))</f>
        <v>0</v>
      </c>
      <c r="N22" s="30">
        <f>(SUMIFS(mensalidades!$E:$E,mensalidades!$B:$B,resumo_mens!N$1,mensalidades!$D:$D,resumo_mens!$B22))</f>
        <v>0</v>
      </c>
      <c r="O22" s="25">
        <f t="shared" si="5"/>
        <v>50</v>
      </c>
      <c r="Q22" s="80"/>
      <c r="R22" s="80"/>
      <c r="S22" s="81"/>
    </row>
    <row r="23" spans="1:20" hidden="1">
      <c r="A23" s="134" t="s">
        <v>127</v>
      </c>
      <c r="B23" s="4" t="s">
        <v>17</v>
      </c>
      <c r="C23" s="30">
        <f>(SUMIFS(mensalidades!$E:$E,mensalidades!$B:$B,resumo_mens!C$1,mensalidades!$D:$D,resumo_mens!$B23))</f>
        <v>0</v>
      </c>
      <c r="D23" s="30">
        <f>(SUMIFS(mensalidades!$E:$E,mensalidades!$B:$B,resumo_mens!D$1,mensalidades!$D:$D,resumo_mens!$B23))</f>
        <v>0</v>
      </c>
      <c r="E23" s="30">
        <f>(SUMIFS(mensalidades!$E:$E,mensalidades!$B:$B,resumo_mens!E$1,mensalidades!$D:$D,resumo_mens!$B23))</f>
        <v>0</v>
      </c>
      <c r="F23" s="30">
        <f>(SUMIFS(mensalidades!$E:$E,mensalidades!$B:$B,resumo_mens!F$1,mensalidades!$D:$D,resumo_mens!$B23))</f>
        <v>0</v>
      </c>
      <c r="G23" s="30">
        <f>(SUMIFS(mensalidades!$E:$E,mensalidades!$B:$B,resumo_mens!G$1,mensalidades!$D:$D,resumo_mens!$B23))</f>
        <v>0</v>
      </c>
      <c r="H23" s="30">
        <f>(SUMIFS(mensalidades!$E:$E,mensalidades!$B:$B,resumo_mens!H$1,mensalidades!$D:$D,resumo_mens!$B23))</f>
        <v>0</v>
      </c>
      <c r="I23" s="30">
        <f>(SUMIFS(mensalidades!$E:$E,mensalidades!$B:$B,resumo_mens!I$1,mensalidades!$D:$D,resumo_mens!$B23))</f>
        <v>0</v>
      </c>
      <c r="J23" s="30">
        <f>(SUMIFS(mensalidades!$E:$E,mensalidades!$B:$B,resumo_mens!J$1,mensalidades!$D:$D,resumo_mens!$B23))</f>
        <v>0</v>
      </c>
      <c r="K23" s="30">
        <f>(SUMIFS(mensalidades!$E:$E,mensalidades!$B:$B,resumo_mens!K$1,mensalidades!$D:$D,resumo_mens!$B23))</f>
        <v>0</v>
      </c>
      <c r="L23" s="30">
        <f>(SUMIFS(mensalidades!$E:$E,mensalidades!$B:$B,resumo_mens!L$1,mensalidades!$D:$D,resumo_mens!$B23))</f>
        <v>0</v>
      </c>
      <c r="M23" s="30">
        <f>(SUMIFS(mensalidades!$E:$E,mensalidades!$B:$B,resumo_mens!M$1,mensalidades!$D:$D,resumo_mens!$B23))</f>
        <v>0</v>
      </c>
      <c r="N23" s="30">
        <f>(SUMIFS(mensalidades!$E:$E,mensalidades!$B:$B,resumo_mens!N$1,mensalidades!$D:$D,resumo_mens!$B23))</f>
        <v>0</v>
      </c>
      <c r="O23" s="25">
        <f t="shared" si="5"/>
        <v>0</v>
      </c>
      <c r="S23" s="14"/>
      <c r="T23" s="14"/>
    </row>
    <row r="24" spans="1:20" hidden="1">
      <c r="A24" s="134" t="s">
        <v>29</v>
      </c>
      <c r="B24" s="4" t="s">
        <v>80</v>
      </c>
      <c r="C24" s="30">
        <f>(SUMIFS(mensalidades!$E:$E,mensalidades!$B:$B,resumo_mens!C$1,mensalidades!$D:$D,resumo_mens!$B24))</f>
        <v>100</v>
      </c>
      <c r="D24" s="30">
        <f>(SUMIFS(mensalidades!$E:$E,mensalidades!$B:$B,resumo_mens!D$1,mensalidades!$D:$D,resumo_mens!$B24))</f>
        <v>0</v>
      </c>
      <c r="E24" s="30">
        <f>(SUMIFS(mensalidades!$E:$E,mensalidades!$B:$B,resumo_mens!E$1,mensalidades!$D:$D,resumo_mens!$B24))</f>
        <v>0</v>
      </c>
      <c r="F24" s="30">
        <f>(SUMIFS(mensalidades!$E:$E,mensalidades!$B:$B,resumo_mens!F$1,mensalidades!$D:$D,resumo_mens!$B24))</f>
        <v>200</v>
      </c>
      <c r="G24" s="30">
        <f>(SUMIFS(mensalidades!$E:$E,mensalidades!$B:$B,resumo_mens!G$1,mensalidades!$D:$D,resumo_mens!$B24))</f>
        <v>0</v>
      </c>
      <c r="H24" s="30">
        <f>(SUMIFS(mensalidades!$E:$E,mensalidades!$B:$B,resumo_mens!H$1,mensalidades!$D:$D,resumo_mens!$B24))</f>
        <v>0</v>
      </c>
      <c r="I24" s="30">
        <f>(SUMIFS(mensalidades!$E:$E,mensalidades!$B:$B,resumo_mens!I$1,mensalidades!$D:$D,resumo_mens!$B24))</f>
        <v>0</v>
      </c>
      <c r="J24" s="30">
        <f>(SUMIFS(mensalidades!$E:$E,mensalidades!$B:$B,resumo_mens!J$1,mensalidades!$D:$D,resumo_mens!$B24))</f>
        <v>0</v>
      </c>
      <c r="K24" s="30">
        <f>(SUMIFS(mensalidades!$E:$E,mensalidades!$B:$B,resumo_mens!K$1,mensalidades!$D:$D,resumo_mens!$B24))</f>
        <v>0</v>
      </c>
      <c r="L24" s="30">
        <f>(SUMIFS(mensalidades!$E:$E,mensalidades!$B:$B,resumo_mens!L$1,mensalidades!$D:$D,resumo_mens!$B24))</f>
        <v>0</v>
      </c>
      <c r="M24" s="30">
        <f>(SUMIFS(mensalidades!$E:$E,mensalidades!$B:$B,resumo_mens!M$1,mensalidades!$D:$D,resumo_mens!$B24))</f>
        <v>0</v>
      </c>
      <c r="N24" s="30">
        <f>(SUMIFS(mensalidades!$E:$E,mensalidades!$B:$B,resumo_mens!N$1,mensalidades!$D:$D,resumo_mens!$B24))</f>
        <v>0</v>
      </c>
      <c r="O24" s="25">
        <f t="shared" si="5"/>
        <v>300</v>
      </c>
    </row>
    <row r="25" spans="1:20">
      <c r="A25" s="33"/>
      <c r="B25" s="4" t="s">
        <v>110</v>
      </c>
      <c r="C25" s="30">
        <f>(SUMIFS(mensalidades!$E:$E,mensalidades!$B:$B,resumo_mens!C$1,mensalidades!$D:$D,resumo_mens!$B25))</f>
        <v>100</v>
      </c>
      <c r="D25" s="30">
        <f>(SUMIFS(mensalidades!$E:$E,mensalidades!$B:$B,resumo_mens!D$1,mensalidades!$D:$D,resumo_mens!$B25))</f>
        <v>100</v>
      </c>
      <c r="E25" s="30">
        <f>(SUMIFS(mensalidades!$E:$E,mensalidades!$B:$B,resumo_mens!E$1,mensalidades!$D:$D,resumo_mens!$B25))</f>
        <v>100</v>
      </c>
      <c r="F25" s="30">
        <f>(SUMIFS(mensalidades!$E:$E,mensalidades!$B:$B,resumo_mens!F$1,mensalidades!$D:$D,resumo_mens!$B25))</f>
        <v>100</v>
      </c>
      <c r="G25" s="30">
        <f>(SUMIFS(mensalidades!$E:$E,mensalidades!$B:$B,resumo_mens!G$1,mensalidades!$D:$D,resumo_mens!$B25))</f>
        <v>100</v>
      </c>
      <c r="H25" s="30">
        <f>(SUMIFS(mensalidades!$E:$E,mensalidades!$B:$B,resumo_mens!H$1,mensalidades!$D:$D,resumo_mens!$B25))</f>
        <v>100</v>
      </c>
      <c r="I25" s="30">
        <f>(SUMIFS(mensalidades!$E:$E,mensalidades!$B:$B,resumo_mens!I$1,mensalidades!$D:$D,resumo_mens!$B25))</f>
        <v>100</v>
      </c>
      <c r="J25" s="30">
        <f>(SUMIFS(mensalidades!$E:$E,mensalidades!$B:$B,resumo_mens!J$1,mensalidades!$D:$D,resumo_mens!$B25))</f>
        <v>0</v>
      </c>
      <c r="K25" s="30">
        <f>(SUMIFS(mensalidades!$E:$E,mensalidades!$B:$B,resumo_mens!K$1,mensalidades!$D:$D,resumo_mens!$B25))</f>
        <v>0</v>
      </c>
      <c r="L25" s="30">
        <f>(SUMIFS(mensalidades!$E:$E,mensalidades!$B:$B,resumo_mens!L$1,mensalidades!$D:$D,resumo_mens!$B25))</f>
        <v>0</v>
      </c>
      <c r="M25" s="30">
        <f>(SUMIFS(mensalidades!$E:$E,mensalidades!$B:$B,resumo_mens!M$1,mensalidades!$D:$D,resumo_mens!$B25))</f>
        <v>0</v>
      </c>
      <c r="N25" s="30">
        <f>(SUMIFS(mensalidades!$E:$E,mensalidades!$B:$B,resumo_mens!N$1,mensalidades!$D:$D,resumo_mens!$B25))</f>
        <v>0</v>
      </c>
      <c r="O25" s="25">
        <f t="shared" si="5"/>
        <v>700</v>
      </c>
    </row>
    <row r="26" spans="1:20" hidden="1">
      <c r="A26" s="134" t="s">
        <v>127</v>
      </c>
      <c r="B26" s="4" t="s">
        <v>18</v>
      </c>
      <c r="C26" s="30">
        <f>(SUMIFS(mensalidades!$E:$E,mensalidades!$B:$B,resumo_mens!C$1,mensalidades!$D:$D,resumo_mens!$B26))</f>
        <v>0</v>
      </c>
      <c r="D26" s="30">
        <f>(SUMIFS(mensalidades!$E:$E,mensalidades!$B:$B,resumo_mens!D$1,mensalidades!$D:$D,resumo_mens!$B26))</f>
        <v>0</v>
      </c>
      <c r="E26" s="30">
        <f>(SUMIFS(mensalidades!$E:$E,mensalidades!$B:$B,resumo_mens!E$1,mensalidades!$D:$D,resumo_mens!$B26))</f>
        <v>0</v>
      </c>
      <c r="F26" s="30">
        <f>(SUMIFS(mensalidades!$E:$E,mensalidades!$B:$B,resumo_mens!F$1,mensalidades!$D:$D,resumo_mens!$B26))</f>
        <v>0</v>
      </c>
      <c r="G26" s="30">
        <f>(SUMIFS(mensalidades!$E:$E,mensalidades!$B:$B,resumo_mens!G$1,mensalidades!$D:$D,resumo_mens!$B26))</f>
        <v>0</v>
      </c>
      <c r="H26" s="30">
        <f>(SUMIFS(mensalidades!$E:$E,mensalidades!$B:$B,resumo_mens!H$1,mensalidades!$D:$D,resumo_mens!$B26))</f>
        <v>0</v>
      </c>
      <c r="I26" s="30">
        <f>(SUMIFS(mensalidades!$E:$E,mensalidades!$B:$B,resumo_mens!I$1,mensalidades!$D:$D,resumo_mens!$B26))</f>
        <v>0</v>
      </c>
      <c r="J26" s="30">
        <f>(SUMIFS(mensalidades!$E:$E,mensalidades!$B:$B,resumo_mens!J$1,mensalidades!$D:$D,resumo_mens!$B26))</f>
        <v>0</v>
      </c>
      <c r="K26" s="30">
        <f>(SUMIFS(mensalidades!$E:$E,mensalidades!$B:$B,resumo_mens!K$1,mensalidades!$D:$D,resumo_mens!$B26))</f>
        <v>0</v>
      </c>
      <c r="L26" s="30">
        <f>(SUMIFS(mensalidades!$E:$E,mensalidades!$B:$B,resumo_mens!L$1,mensalidades!$D:$D,resumo_mens!$B26))</f>
        <v>0</v>
      </c>
      <c r="M26" s="30">
        <f>(SUMIFS(mensalidades!$E:$E,mensalidades!$B:$B,resumo_mens!M$1,mensalidades!$D:$D,resumo_mens!$B26))</f>
        <v>0</v>
      </c>
      <c r="N26" s="30">
        <f>(SUMIFS(mensalidades!$E:$E,mensalidades!$B:$B,resumo_mens!N$1,mensalidades!$D:$D,resumo_mens!$B26))</f>
        <v>0</v>
      </c>
      <c r="O26" s="25">
        <f t="shared" si="5"/>
        <v>0</v>
      </c>
    </row>
    <row r="27" spans="1:20" hidden="1">
      <c r="A27" s="134" t="s">
        <v>29</v>
      </c>
      <c r="B27" s="4" t="s">
        <v>122</v>
      </c>
      <c r="C27" s="30">
        <f>(SUMIFS(mensalidades!$E:$E,mensalidades!$B:$B,resumo_mens!C$1,mensalidades!$D:$D,resumo_mens!$B27))</f>
        <v>0</v>
      </c>
      <c r="D27" s="30">
        <f>(SUMIFS(mensalidades!$E:$E,mensalidades!$B:$B,resumo_mens!D$1,mensalidades!$D:$D,resumo_mens!$B27))</f>
        <v>100</v>
      </c>
      <c r="E27" s="30">
        <f>(SUMIFS(mensalidades!$E:$E,mensalidades!$B:$B,resumo_mens!E$1,mensalidades!$D:$D,resumo_mens!$B27))</f>
        <v>100</v>
      </c>
      <c r="F27" s="30">
        <f>(SUMIFS(mensalidades!$E:$E,mensalidades!$B:$B,resumo_mens!F$1,mensalidades!$D:$D,resumo_mens!$B27))</f>
        <v>0</v>
      </c>
      <c r="G27" s="30">
        <f>(SUMIFS(mensalidades!$E:$E,mensalidades!$B:$B,resumo_mens!G$1,mensalidades!$D:$D,resumo_mens!$B27))</f>
        <v>0</v>
      </c>
      <c r="H27" s="30">
        <f>(SUMIFS(mensalidades!$E:$E,mensalidades!$B:$B,resumo_mens!H$1,mensalidades!$D:$D,resumo_mens!$B27))</f>
        <v>0</v>
      </c>
      <c r="I27" s="30">
        <f>(SUMIFS(mensalidades!$E:$E,mensalidades!$B:$B,resumo_mens!I$1,mensalidades!$D:$D,resumo_mens!$B27))</f>
        <v>0</v>
      </c>
      <c r="J27" s="30">
        <f>(SUMIFS(mensalidades!$E:$E,mensalidades!$B:$B,resumo_mens!J$1,mensalidades!$D:$D,resumo_mens!$B27))</f>
        <v>0</v>
      </c>
      <c r="K27" s="30">
        <f>(SUMIFS(mensalidades!$E:$E,mensalidades!$B:$B,resumo_mens!K$1,mensalidades!$D:$D,resumo_mens!$B27))</f>
        <v>0</v>
      </c>
      <c r="L27" s="30">
        <f>(SUMIFS(mensalidades!$E:$E,mensalidades!$B:$B,resumo_mens!L$1,mensalidades!$D:$D,resumo_mens!$B27))</f>
        <v>0</v>
      </c>
      <c r="M27" s="30">
        <f>(SUMIFS(mensalidades!$E:$E,mensalidades!$B:$B,resumo_mens!M$1,mensalidades!$D:$D,resumo_mens!$B27))</f>
        <v>0</v>
      </c>
      <c r="N27" s="30">
        <f>(SUMIFS(mensalidades!$E:$E,mensalidades!$B:$B,resumo_mens!N$1,mensalidades!$D:$D,resumo_mens!$B27))</f>
        <v>0</v>
      </c>
      <c r="O27" s="25">
        <f t="shared" si="5"/>
        <v>200</v>
      </c>
    </row>
    <row r="28" spans="1:20">
      <c r="A28" s="33"/>
      <c r="B28" s="4" t="s">
        <v>81</v>
      </c>
      <c r="C28" s="30">
        <f>(SUMIFS(mensalidades!$E:$E,mensalidades!$B:$B,resumo_mens!C$1,mensalidades!$D:$D,resumo_mens!$B28))</f>
        <v>100</v>
      </c>
      <c r="D28" s="30">
        <f>(SUMIFS(mensalidades!$E:$E,mensalidades!$B:$B,resumo_mens!D$1,mensalidades!$D:$D,resumo_mens!$B28))</f>
        <v>0</v>
      </c>
      <c r="E28" s="30">
        <f>(SUMIFS(mensalidades!$E:$E,mensalidades!$B:$B,resumo_mens!E$1,mensalidades!$D:$D,resumo_mens!$B28))</f>
        <v>200</v>
      </c>
      <c r="F28" s="30">
        <f>(SUMIFS(mensalidades!$E:$E,mensalidades!$B:$B,resumo_mens!F$1,mensalidades!$D:$D,resumo_mens!$B28))</f>
        <v>0</v>
      </c>
      <c r="G28" s="30">
        <f>(SUMIFS(mensalidades!$E:$E,mensalidades!$B:$B,resumo_mens!G$1,mensalidades!$D:$D,resumo_mens!$B28))</f>
        <v>100</v>
      </c>
      <c r="H28" s="30">
        <f>(SUMIFS(mensalidades!$E:$E,mensalidades!$B:$B,resumo_mens!H$1,mensalidades!$D:$D,resumo_mens!$B28))</f>
        <v>100</v>
      </c>
      <c r="I28" s="30">
        <f>(SUMIFS(mensalidades!$E:$E,mensalidades!$B:$B,resumo_mens!I$1,mensalidades!$D:$D,resumo_mens!$B28))</f>
        <v>100</v>
      </c>
      <c r="J28" s="30">
        <f>(SUMIFS(mensalidades!$E:$E,mensalidades!$B:$B,resumo_mens!J$1,mensalidades!$D:$D,resumo_mens!$B28))</f>
        <v>100</v>
      </c>
      <c r="K28" s="30">
        <f>(SUMIFS(mensalidades!$E:$E,mensalidades!$B:$B,resumo_mens!K$1,mensalidades!$D:$D,resumo_mens!$B28))</f>
        <v>0</v>
      </c>
      <c r="L28" s="30">
        <f>(SUMIFS(mensalidades!$E:$E,mensalidades!$B:$B,resumo_mens!L$1,mensalidades!$D:$D,resumo_mens!$B28))</f>
        <v>0</v>
      </c>
      <c r="M28" s="30">
        <f>(SUMIFS(mensalidades!$E:$E,mensalidades!$B:$B,resumo_mens!M$1,mensalidades!$D:$D,resumo_mens!$B28))</f>
        <v>0</v>
      </c>
      <c r="N28" s="30">
        <f>(SUMIFS(mensalidades!$E:$E,mensalidades!$B:$B,resumo_mens!N$1,mensalidades!$D:$D,resumo_mens!$B28))</f>
        <v>0</v>
      </c>
      <c r="O28" s="25">
        <f t="shared" si="5"/>
        <v>700</v>
      </c>
    </row>
    <row r="29" spans="1:20">
      <c r="A29" s="33"/>
      <c r="B29" s="4" t="s">
        <v>99</v>
      </c>
      <c r="C29" s="30">
        <f>(SUMIFS(mensalidades!$E:$E,mensalidades!$B:$B,resumo_mens!C$1,mensalidades!$D:$D,resumo_mens!$B29))</f>
        <v>0</v>
      </c>
      <c r="D29" s="30">
        <f>(SUMIFS(mensalidades!$E:$E,mensalidades!$B:$B,resumo_mens!D$1,mensalidades!$D:$D,resumo_mens!$B29))</f>
        <v>200</v>
      </c>
      <c r="E29" s="30">
        <f>(SUMIFS(mensalidades!$E:$E,mensalidades!$B:$B,resumo_mens!E$1,mensalidades!$D:$D,resumo_mens!$B29))</f>
        <v>100</v>
      </c>
      <c r="F29" s="30">
        <f>(SUMIFS(mensalidades!$E:$E,mensalidades!$B:$B,resumo_mens!F$1,mensalidades!$D:$D,resumo_mens!$B29))</f>
        <v>0</v>
      </c>
      <c r="G29" s="30">
        <f>(SUMIFS(mensalidades!$E:$E,mensalidades!$B:$B,resumo_mens!G$1,mensalidades!$D:$D,resumo_mens!$B29))</f>
        <v>0</v>
      </c>
      <c r="H29" s="30">
        <f>(SUMIFS(mensalidades!$E:$E,mensalidades!$B:$B,resumo_mens!H$1,mensalidades!$D:$D,resumo_mens!$B29))</f>
        <v>0</v>
      </c>
      <c r="I29" s="30">
        <f>(SUMIFS(mensalidades!$E:$E,mensalidades!$B:$B,resumo_mens!I$1,mensalidades!$D:$D,resumo_mens!$B29))</f>
        <v>0</v>
      </c>
      <c r="J29" s="30">
        <f>(SUMIFS(mensalidades!$E:$E,mensalidades!$B:$B,resumo_mens!J$1,mensalidades!$D:$D,resumo_mens!$B29))</f>
        <v>0</v>
      </c>
      <c r="K29" s="30">
        <f>(SUMIFS(mensalidades!$E:$E,mensalidades!$B:$B,resumo_mens!K$1,mensalidades!$D:$D,resumo_mens!$B29))</f>
        <v>0</v>
      </c>
      <c r="L29" s="30">
        <f>(SUMIFS(mensalidades!$E:$E,mensalidades!$B:$B,resumo_mens!L$1,mensalidades!$D:$D,resumo_mens!$B29))</f>
        <v>0</v>
      </c>
      <c r="M29" s="30">
        <f>(SUMIFS(mensalidades!$E:$E,mensalidades!$B:$B,resumo_mens!M$1,mensalidades!$D:$D,resumo_mens!$B29))</f>
        <v>0</v>
      </c>
      <c r="N29" s="30">
        <f>(SUMIFS(mensalidades!$E:$E,mensalidades!$B:$B,resumo_mens!N$1,mensalidades!$D:$D,resumo_mens!$B29))</f>
        <v>0</v>
      </c>
      <c r="O29" s="25">
        <f t="shared" si="5"/>
        <v>300</v>
      </c>
    </row>
    <row r="30" spans="1:20">
      <c r="A30" s="33"/>
      <c r="B30" s="4" t="s">
        <v>103</v>
      </c>
      <c r="C30" s="30">
        <f>(SUMIFS(mensalidades!$E:$E,mensalidades!$B:$B,resumo_mens!C$1,mensalidades!$D:$D,resumo_mens!$B30))</f>
        <v>0</v>
      </c>
      <c r="D30" s="30">
        <f>(SUMIFS(mensalidades!$E:$E,mensalidades!$B:$B,resumo_mens!D$1,mensalidades!$D:$D,resumo_mens!$B30))</f>
        <v>80</v>
      </c>
      <c r="E30" s="30">
        <f>(SUMIFS(mensalidades!$E:$E,mensalidades!$B:$B,resumo_mens!E$1,mensalidades!$D:$D,resumo_mens!$B30))</f>
        <v>20</v>
      </c>
      <c r="F30" s="30">
        <f>(SUMIFS(mensalidades!$E:$E,mensalidades!$B:$B,resumo_mens!F$1,mensalidades!$D:$D,resumo_mens!$B30))</f>
        <v>100</v>
      </c>
      <c r="G30" s="30">
        <f>(SUMIFS(mensalidades!$E:$E,mensalidades!$B:$B,resumo_mens!G$1,mensalidades!$D:$D,resumo_mens!$B30))</f>
        <v>100</v>
      </c>
      <c r="H30" s="30">
        <f>(SUMIFS(mensalidades!$E:$E,mensalidades!$B:$B,resumo_mens!H$1,mensalidades!$D:$D,resumo_mens!$B30))</f>
        <v>92</v>
      </c>
      <c r="I30" s="30">
        <f>(SUMIFS(mensalidades!$E:$E,mensalidades!$B:$B,resumo_mens!I$1,mensalidades!$D:$D,resumo_mens!$B30))</f>
        <v>50</v>
      </c>
      <c r="J30" s="30">
        <f>(SUMIFS(mensalidades!$E:$E,mensalidades!$B:$B,resumo_mens!J$1,mensalidades!$D:$D,resumo_mens!$B30))</f>
        <v>0</v>
      </c>
      <c r="K30" s="30">
        <f>(SUMIFS(mensalidades!$E:$E,mensalidades!$B:$B,resumo_mens!K$1,mensalidades!$D:$D,resumo_mens!$B30))</f>
        <v>0</v>
      </c>
      <c r="L30" s="30">
        <f>(SUMIFS(mensalidades!$E:$E,mensalidades!$B:$B,resumo_mens!L$1,mensalidades!$D:$D,resumo_mens!$B30))</f>
        <v>0</v>
      </c>
      <c r="M30" s="30">
        <f>(SUMIFS(mensalidades!$E:$E,mensalidades!$B:$B,resumo_mens!M$1,mensalidades!$D:$D,resumo_mens!$B30))</f>
        <v>0</v>
      </c>
      <c r="N30" s="30">
        <f>(SUMIFS(mensalidades!$E:$E,mensalidades!$B:$B,resumo_mens!N$1,mensalidades!$D:$D,resumo_mens!$B30))</f>
        <v>0</v>
      </c>
      <c r="O30" s="25">
        <f t="shared" si="5"/>
        <v>442</v>
      </c>
    </row>
    <row r="31" spans="1:20" hidden="1">
      <c r="A31" s="134" t="s">
        <v>127</v>
      </c>
      <c r="B31" s="4" t="s">
        <v>101</v>
      </c>
      <c r="C31" s="30">
        <f>(SUMIFS(mensalidades!$E:$E,mensalidades!$B:$B,resumo_mens!C$1,mensalidades!$D:$D,resumo_mens!$B31))</f>
        <v>0</v>
      </c>
      <c r="D31" s="30">
        <f>(SUMIFS(mensalidades!$E:$E,mensalidades!$B:$B,resumo_mens!D$1,mensalidades!$D:$D,resumo_mens!$B31))</f>
        <v>0</v>
      </c>
      <c r="E31" s="30">
        <f>(SUMIFS(mensalidades!$E:$E,mensalidades!$B:$B,resumo_mens!E$1,mensalidades!$D:$D,resumo_mens!$B31))</f>
        <v>0</v>
      </c>
      <c r="F31" s="30">
        <f>(SUMIFS(mensalidades!$E:$E,mensalidades!$B:$B,resumo_mens!F$1,mensalidades!$D:$D,resumo_mens!$B31))</f>
        <v>0</v>
      </c>
      <c r="G31" s="30">
        <f>(SUMIFS(mensalidades!$E:$E,mensalidades!$B:$B,resumo_mens!G$1,mensalidades!$D:$D,resumo_mens!$B31))</f>
        <v>0</v>
      </c>
      <c r="H31" s="30">
        <f>(SUMIFS(mensalidades!$E:$E,mensalidades!$B:$B,resumo_mens!H$1,mensalidades!$D:$D,resumo_mens!$B31))</f>
        <v>0</v>
      </c>
      <c r="I31" s="30">
        <f>(SUMIFS(mensalidades!$E:$E,mensalidades!$B:$B,resumo_mens!I$1,mensalidades!$D:$D,resumo_mens!$B31))</f>
        <v>0</v>
      </c>
      <c r="J31" s="30">
        <f>(SUMIFS(mensalidades!$E:$E,mensalidades!$B:$B,resumo_mens!J$1,mensalidades!$D:$D,resumo_mens!$B31))</f>
        <v>0</v>
      </c>
      <c r="K31" s="30">
        <f>(SUMIFS(mensalidades!$E:$E,mensalidades!$B:$B,resumo_mens!K$1,mensalidades!$D:$D,resumo_mens!$B31))</f>
        <v>0</v>
      </c>
      <c r="L31" s="30">
        <f>(SUMIFS(mensalidades!$E:$E,mensalidades!$B:$B,resumo_mens!L$1,mensalidades!$D:$D,resumo_mens!$B31))</f>
        <v>0</v>
      </c>
      <c r="M31" s="30">
        <f>(SUMIFS(mensalidades!$E:$E,mensalidades!$B:$B,resumo_mens!M$1,mensalidades!$D:$D,resumo_mens!$B31))</f>
        <v>0</v>
      </c>
      <c r="N31" s="30">
        <f>(SUMIFS(mensalidades!$E:$E,mensalidades!$B:$B,resumo_mens!N$1,mensalidades!$D:$D,resumo_mens!$B31))</f>
        <v>0</v>
      </c>
      <c r="O31" s="25">
        <f t="shared" si="5"/>
        <v>0</v>
      </c>
    </row>
    <row r="32" spans="1:20" hidden="1">
      <c r="A32" s="134" t="s">
        <v>29</v>
      </c>
      <c r="B32" s="4" t="s">
        <v>94</v>
      </c>
      <c r="C32" s="30">
        <f>(SUMIFS(mensalidades!$E:$E,mensalidades!$B:$B,resumo_mens!C$1,mensalidades!$D:$D,resumo_mens!$B32))</f>
        <v>0</v>
      </c>
      <c r="D32" s="30">
        <f>(SUMIFS(mensalidades!$E:$E,mensalidades!$B:$B,resumo_mens!D$1,mensalidades!$D:$D,resumo_mens!$B32))</f>
        <v>0</v>
      </c>
      <c r="E32" s="30">
        <f>(SUMIFS(mensalidades!$E:$E,mensalidades!$B:$B,resumo_mens!E$1,mensalidades!$D:$D,resumo_mens!$B32))</f>
        <v>0</v>
      </c>
      <c r="F32" s="30">
        <f>(SUMIFS(mensalidades!$E:$E,mensalidades!$B:$B,resumo_mens!F$1,mensalidades!$D:$D,resumo_mens!$B32))</f>
        <v>0</v>
      </c>
      <c r="G32" s="30">
        <f>(SUMIFS(mensalidades!$E:$E,mensalidades!$B:$B,resumo_mens!G$1,mensalidades!$D:$D,resumo_mens!$B32))</f>
        <v>0</v>
      </c>
      <c r="H32" s="30">
        <f>(SUMIFS(mensalidades!$E:$E,mensalidades!$B:$B,resumo_mens!H$1,mensalidades!$D:$D,resumo_mens!$B32))</f>
        <v>0</v>
      </c>
      <c r="I32" s="30">
        <f>(SUMIFS(mensalidades!$E:$E,mensalidades!$B:$B,resumo_mens!I$1,mensalidades!$D:$D,resumo_mens!$B32))</f>
        <v>0</v>
      </c>
      <c r="J32" s="30">
        <f>(SUMIFS(mensalidades!$E:$E,mensalidades!$B:$B,resumo_mens!J$1,mensalidades!$D:$D,resumo_mens!$B32))</f>
        <v>0</v>
      </c>
      <c r="K32" s="30">
        <f>(SUMIFS(mensalidades!$E:$E,mensalidades!$B:$B,resumo_mens!K$1,mensalidades!$D:$D,resumo_mens!$B32))</f>
        <v>0</v>
      </c>
      <c r="L32" s="30">
        <f>(SUMIFS(mensalidades!$E:$E,mensalidades!$B:$B,resumo_mens!L$1,mensalidades!$D:$D,resumo_mens!$B32))</f>
        <v>0</v>
      </c>
      <c r="M32" s="30">
        <f>(SUMIFS(mensalidades!$E:$E,mensalidades!$B:$B,resumo_mens!M$1,mensalidades!$D:$D,resumo_mens!$B32))</f>
        <v>0</v>
      </c>
      <c r="N32" s="30">
        <f>(SUMIFS(mensalidades!$E:$E,mensalidades!$B:$B,resumo_mens!N$1,mensalidades!$D:$D,resumo_mens!$B32))</f>
        <v>0</v>
      </c>
      <c r="O32" s="25">
        <f t="shared" si="5"/>
        <v>0</v>
      </c>
    </row>
    <row r="33" spans="1:17" hidden="1">
      <c r="A33" s="134" t="s">
        <v>29</v>
      </c>
      <c r="B33" s="4" t="s">
        <v>119</v>
      </c>
      <c r="C33" s="30">
        <f>(SUMIFS(mensalidades!$E:$E,mensalidades!$B:$B,resumo_mens!C$1,mensalidades!$D:$D,resumo_mens!$B33))</f>
        <v>0</v>
      </c>
      <c r="D33" s="30">
        <f>(SUMIFS(mensalidades!$E:$E,mensalidades!$B:$B,resumo_mens!D$1,mensalidades!$D:$D,resumo_mens!$B33))</f>
        <v>0</v>
      </c>
      <c r="E33" s="30">
        <f>(SUMIFS(mensalidades!$E:$E,mensalidades!$B:$B,resumo_mens!E$1,mensalidades!$D:$D,resumo_mens!$B33))</f>
        <v>100</v>
      </c>
      <c r="F33" s="30">
        <f>(SUMIFS(mensalidades!$E:$E,mensalidades!$B:$B,resumo_mens!F$1,mensalidades!$D:$D,resumo_mens!$B33))</f>
        <v>100</v>
      </c>
      <c r="G33" s="30">
        <f>(SUMIFS(mensalidades!$E:$E,mensalidades!$B:$B,resumo_mens!G$1,mensalidades!$D:$D,resumo_mens!$B33))</f>
        <v>100</v>
      </c>
      <c r="H33" s="30">
        <f>(SUMIFS(mensalidades!$E:$E,mensalidades!$B:$B,resumo_mens!H$1,mensalidades!$D:$D,resumo_mens!$B33))</f>
        <v>0</v>
      </c>
      <c r="I33" s="30">
        <f>(SUMIFS(mensalidades!$E:$E,mensalidades!$B:$B,resumo_mens!I$1,mensalidades!$D:$D,resumo_mens!$B33))</f>
        <v>0</v>
      </c>
      <c r="J33" s="30">
        <f>(SUMIFS(mensalidades!$E:$E,mensalidades!$B:$B,resumo_mens!J$1,mensalidades!$D:$D,resumo_mens!$B33))</f>
        <v>0</v>
      </c>
      <c r="K33" s="30">
        <f>(SUMIFS(mensalidades!$E:$E,mensalidades!$B:$B,resumo_mens!K$1,mensalidades!$D:$D,resumo_mens!$B33))</f>
        <v>0</v>
      </c>
      <c r="L33" s="30">
        <f>(SUMIFS(mensalidades!$E:$E,mensalidades!$B:$B,resumo_mens!L$1,mensalidades!$D:$D,resumo_mens!$B33))</f>
        <v>0</v>
      </c>
      <c r="M33" s="30">
        <f>(SUMIFS(mensalidades!$E:$E,mensalidades!$B:$B,resumo_mens!M$1,mensalidades!$D:$D,resumo_mens!$B33))</f>
        <v>0</v>
      </c>
      <c r="N33" s="30">
        <f>(SUMIFS(mensalidades!$E:$E,mensalidades!$B:$B,resumo_mens!N$1,mensalidades!$D:$D,resumo_mens!$B33))</f>
        <v>0</v>
      </c>
      <c r="O33" s="25">
        <f t="shared" si="5"/>
        <v>300</v>
      </c>
    </row>
    <row r="34" spans="1:17">
      <c r="A34" s="33"/>
      <c r="B34" s="4" t="s">
        <v>90</v>
      </c>
      <c r="C34" s="30">
        <f>(SUMIFS(mensalidades!$E:$E,mensalidades!$B:$B,resumo_mens!C$1,mensalidades!$D:$D,resumo_mens!$B34))</f>
        <v>0</v>
      </c>
      <c r="D34" s="30">
        <f>(SUMIFS(mensalidades!$E:$E,mensalidades!$B:$B,resumo_mens!D$1,mensalidades!$D:$D,resumo_mens!$B34))</f>
        <v>100</v>
      </c>
      <c r="E34" s="30">
        <f>(SUMIFS(mensalidades!$E:$E,mensalidades!$B:$B,resumo_mens!E$1,mensalidades!$D:$D,resumo_mens!$B34))</f>
        <v>100</v>
      </c>
      <c r="F34" s="30">
        <f>(SUMIFS(mensalidades!$E:$E,mensalidades!$B:$B,resumo_mens!F$1,mensalidades!$D:$D,resumo_mens!$B34))</f>
        <v>100</v>
      </c>
      <c r="G34" s="30">
        <f>(SUMIFS(mensalidades!$E:$E,mensalidades!$B:$B,resumo_mens!G$1,mensalidades!$D:$D,resumo_mens!$B34))</f>
        <v>100</v>
      </c>
      <c r="H34" s="30">
        <f>(SUMIFS(mensalidades!$E:$E,mensalidades!$B:$B,resumo_mens!H$1,mensalidades!$D:$D,resumo_mens!$B34))</f>
        <v>100</v>
      </c>
      <c r="I34" s="30">
        <f>(SUMIFS(mensalidades!$E:$E,mensalidades!$B:$B,resumo_mens!I$1,mensalidades!$D:$D,resumo_mens!$B34))</f>
        <v>100</v>
      </c>
      <c r="J34" s="30">
        <f>(SUMIFS(mensalidades!$E:$E,mensalidades!$B:$B,resumo_mens!J$1,mensalidades!$D:$D,resumo_mens!$B34))</f>
        <v>100</v>
      </c>
      <c r="K34" s="30">
        <f>(SUMIFS(mensalidades!$E:$E,mensalidades!$B:$B,resumo_mens!K$1,mensalidades!$D:$D,resumo_mens!$B34))</f>
        <v>0</v>
      </c>
      <c r="L34" s="30">
        <f>(SUMIFS(mensalidades!$E:$E,mensalidades!$B:$B,resumo_mens!L$1,mensalidades!$D:$D,resumo_mens!$B34))</f>
        <v>0</v>
      </c>
      <c r="M34" s="30">
        <f>(SUMIFS(mensalidades!$E:$E,mensalidades!$B:$B,resumo_mens!M$1,mensalidades!$D:$D,resumo_mens!$B34))</f>
        <v>0</v>
      </c>
      <c r="N34" s="30">
        <f>(SUMIFS(mensalidades!$E:$E,mensalidades!$B:$B,resumo_mens!N$1,mensalidades!$D:$D,resumo_mens!$B34))</f>
        <v>0</v>
      </c>
      <c r="O34" s="25">
        <f t="shared" si="5"/>
        <v>700</v>
      </c>
      <c r="Q34" s="14"/>
    </row>
    <row r="35" spans="1:17">
      <c r="A35" s="33"/>
      <c r="B35" s="4" t="s">
        <v>125</v>
      </c>
      <c r="C35" s="30">
        <f>(SUMIFS(mensalidades!$E:$E,mensalidades!$B:$B,resumo_mens!C$1,mensalidades!$D:$D,resumo_mens!$B35))</f>
        <v>0</v>
      </c>
      <c r="D35" s="30">
        <f>(SUMIFS(mensalidades!$E:$E,mensalidades!$B:$B,resumo_mens!D$1,mensalidades!$D:$D,resumo_mens!$B35))</f>
        <v>100</v>
      </c>
      <c r="E35" s="30">
        <f>(SUMIFS(mensalidades!$E:$E,mensalidades!$B:$B,resumo_mens!E$1,mensalidades!$D:$D,resumo_mens!$B35))</f>
        <v>100</v>
      </c>
      <c r="F35" s="30">
        <f>(SUMIFS(mensalidades!$E:$E,mensalidades!$B:$B,resumo_mens!F$1,mensalidades!$D:$D,resumo_mens!$B35))</f>
        <v>100</v>
      </c>
      <c r="G35" s="30">
        <f>(SUMIFS(mensalidades!$E:$E,mensalidades!$B:$B,resumo_mens!G$1,mensalidades!$D:$D,resumo_mens!$B35))</f>
        <v>100</v>
      </c>
      <c r="H35" s="30">
        <f>(SUMIFS(mensalidades!$E:$E,mensalidades!$B:$B,resumo_mens!H$1,mensalidades!$D:$D,resumo_mens!$B35))</f>
        <v>0</v>
      </c>
      <c r="I35" s="30">
        <f>(SUMIFS(mensalidades!$E:$E,mensalidades!$B:$B,resumo_mens!I$1,mensalidades!$D:$D,resumo_mens!$B35))</f>
        <v>0</v>
      </c>
      <c r="J35" s="30">
        <f>(SUMIFS(mensalidades!$E:$E,mensalidades!$B:$B,resumo_mens!J$1,mensalidades!$D:$D,resumo_mens!$B35))</f>
        <v>0</v>
      </c>
      <c r="K35" s="30">
        <f>(SUMIFS(mensalidades!$E:$E,mensalidades!$B:$B,resumo_mens!K$1,mensalidades!$D:$D,resumo_mens!$B35))</f>
        <v>0</v>
      </c>
      <c r="L35" s="30">
        <f>(SUMIFS(mensalidades!$E:$E,mensalidades!$B:$B,resumo_mens!L$1,mensalidades!$D:$D,resumo_mens!$B35))</f>
        <v>0</v>
      </c>
      <c r="M35" s="30">
        <f>(SUMIFS(mensalidades!$E:$E,mensalidades!$B:$B,resumo_mens!M$1,mensalidades!$D:$D,resumo_mens!$B35))</f>
        <v>0</v>
      </c>
      <c r="N35" s="30">
        <f>(SUMIFS(mensalidades!$E:$E,mensalidades!$B:$B,resumo_mens!N$1,mensalidades!$D:$D,resumo_mens!$B35))</f>
        <v>0</v>
      </c>
      <c r="O35" s="25">
        <f t="shared" si="5"/>
        <v>400</v>
      </c>
    </row>
    <row r="36" spans="1:17" hidden="1">
      <c r="A36" s="134" t="s">
        <v>127</v>
      </c>
      <c r="B36" s="4" t="s">
        <v>112</v>
      </c>
      <c r="C36" s="30">
        <f>(SUMIFS(mensalidades!$E:$E,mensalidades!$B:$B,resumo_mens!C$1,mensalidades!$D:$D,resumo_mens!$B36))</f>
        <v>0</v>
      </c>
      <c r="D36" s="30">
        <f>(SUMIFS(mensalidades!$E:$E,mensalidades!$B:$B,resumo_mens!D$1,mensalidades!$D:$D,resumo_mens!$B36))</f>
        <v>0</v>
      </c>
      <c r="E36" s="30">
        <f>(SUMIFS(mensalidades!$E:$E,mensalidades!$B:$B,resumo_mens!E$1,mensalidades!$D:$D,resumo_mens!$B36))</f>
        <v>0</v>
      </c>
      <c r="F36" s="30">
        <f>(SUMIFS(mensalidades!$E:$E,mensalidades!$B:$B,resumo_mens!F$1,mensalidades!$D:$D,resumo_mens!$B36))</f>
        <v>0</v>
      </c>
      <c r="G36" s="30">
        <f>(SUMIFS(mensalidades!$E:$E,mensalidades!$B:$B,resumo_mens!G$1,mensalidades!$D:$D,resumo_mens!$B36))</f>
        <v>0</v>
      </c>
      <c r="H36" s="30">
        <f>(SUMIFS(mensalidades!$E:$E,mensalidades!$B:$B,resumo_mens!H$1,mensalidades!$D:$D,resumo_mens!$B36))</f>
        <v>0</v>
      </c>
      <c r="I36" s="30">
        <f>(SUMIFS(mensalidades!$E:$E,mensalidades!$B:$B,resumo_mens!I$1,mensalidades!$D:$D,resumo_mens!$B36))</f>
        <v>0</v>
      </c>
      <c r="J36" s="30">
        <f>(SUMIFS(mensalidades!$E:$E,mensalidades!$B:$B,resumo_mens!J$1,mensalidades!$D:$D,resumo_mens!$B36))</f>
        <v>0</v>
      </c>
      <c r="K36" s="30">
        <f>(SUMIFS(mensalidades!$E:$E,mensalidades!$B:$B,resumo_mens!K$1,mensalidades!$D:$D,resumo_mens!$B36))</f>
        <v>0</v>
      </c>
      <c r="L36" s="30">
        <f>(SUMIFS(mensalidades!$E:$E,mensalidades!$B:$B,resumo_mens!L$1,mensalidades!$D:$D,resumo_mens!$B36))</f>
        <v>0</v>
      </c>
      <c r="M36" s="30">
        <f>(SUMIFS(mensalidades!$E:$E,mensalidades!$B:$B,resumo_mens!M$1,mensalidades!$D:$D,resumo_mens!$B36))</f>
        <v>0</v>
      </c>
      <c r="N36" s="30">
        <f>(SUMIFS(mensalidades!$E:$E,mensalidades!$B:$B,resumo_mens!N$1,mensalidades!$D:$D,resumo_mens!$B36))</f>
        <v>0</v>
      </c>
      <c r="O36" s="25">
        <f t="shared" si="5"/>
        <v>0</v>
      </c>
    </row>
    <row r="37" spans="1:17">
      <c r="A37" s="33"/>
      <c r="B37" s="4" t="s">
        <v>91</v>
      </c>
      <c r="C37" s="30">
        <f>(SUMIFS(mensalidades!$E:$E,mensalidades!$B:$B,resumo_mens!C$1,mensalidades!$D:$D,resumo_mens!$B37))</f>
        <v>0</v>
      </c>
      <c r="D37" s="30">
        <f>(SUMIFS(mensalidades!$E:$E,mensalidades!$B:$B,resumo_mens!D$1,mensalidades!$D:$D,resumo_mens!$B37))</f>
        <v>100</v>
      </c>
      <c r="E37" s="30">
        <f>(SUMIFS(mensalidades!$E:$E,mensalidades!$B:$B,resumo_mens!E$1,mensalidades!$D:$D,resumo_mens!$B37))</f>
        <v>100</v>
      </c>
      <c r="F37" s="30">
        <f>(SUMIFS(mensalidades!$E:$E,mensalidades!$B:$B,resumo_mens!F$1,mensalidades!$D:$D,resumo_mens!$B37))</f>
        <v>100</v>
      </c>
      <c r="G37" s="30">
        <f>(SUMIFS(mensalidades!$E:$E,mensalidades!$B:$B,resumo_mens!G$1,mensalidades!$D:$D,resumo_mens!$B37))</f>
        <v>100</v>
      </c>
      <c r="H37" s="30">
        <f>(SUMIFS(mensalidades!$E:$E,mensalidades!$B:$B,resumo_mens!H$1,mensalidades!$D:$D,resumo_mens!$B37))</f>
        <v>100</v>
      </c>
      <c r="I37" s="30">
        <f>(SUMIFS(mensalidades!$E:$E,mensalidades!$B:$B,resumo_mens!I$1,mensalidades!$D:$D,resumo_mens!$B37))</f>
        <v>100</v>
      </c>
      <c r="J37" s="30">
        <f>(SUMIFS(mensalidades!$E:$E,mensalidades!$B:$B,resumo_mens!J$1,mensalidades!$D:$D,resumo_mens!$B37))</f>
        <v>100</v>
      </c>
      <c r="K37" s="30">
        <f>(SUMIFS(mensalidades!$E:$E,mensalidades!$B:$B,resumo_mens!K$1,mensalidades!$D:$D,resumo_mens!$B37))</f>
        <v>0</v>
      </c>
      <c r="L37" s="30">
        <f>(SUMIFS(mensalidades!$E:$E,mensalidades!$B:$B,resumo_mens!L$1,mensalidades!$D:$D,resumo_mens!$B37))</f>
        <v>0</v>
      </c>
      <c r="M37" s="30">
        <f>(SUMIFS(mensalidades!$E:$E,mensalidades!$B:$B,resumo_mens!M$1,mensalidades!$D:$D,resumo_mens!$B37))</f>
        <v>0</v>
      </c>
      <c r="N37" s="30">
        <f>(SUMIFS(mensalidades!$E:$E,mensalidades!$B:$B,resumo_mens!N$1,mensalidades!$D:$D,resumo_mens!$B37))</f>
        <v>0</v>
      </c>
      <c r="O37" s="25">
        <f t="shared" si="5"/>
        <v>700</v>
      </c>
    </row>
    <row r="38" spans="1:17">
      <c r="A38" s="33"/>
      <c r="B38" s="4" t="s">
        <v>19</v>
      </c>
      <c r="C38" s="30">
        <f>(SUMIFS(mensalidades!$E:$E,mensalidades!$B:$B,resumo_mens!C$1,mensalidades!$D:$D,resumo_mens!$B38))</f>
        <v>100</v>
      </c>
      <c r="D38" s="30">
        <f>(SUMIFS(mensalidades!$E:$E,mensalidades!$B:$B,resumo_mens!D$1,mensalidades!$D:$D,resumo_mens!$B38))</f>
        <v>0</v>
      </c>
      <c r="E38" s="30">
        <f>(SUMIFS(mensalidades!$E:$E,mensalidades!$B:$B,resumo_mens!E$1,mensalidades!$D:$D,resumo_mens!$B38))</f>
        <v>200</v>
      </c>
      <c r="F38" s="30">
        <f>(SUMIFS(mensalidades!$E:$E,mensalidades!$B:$B,resumo_mens!F$1,mensalidades!$D:$D,resumo_mens!$B38))</f>
        <v>0</v>
      </c>
      <c r="G38" s="30">
        <f>(SUMIFS(mensalidades!$E:$E,mensalidades!$B:$B,resumo_mens!G$1,mensalidades!$D:$D,resumo_mens!$B38))</f>
        <v>100</v>
      </c>
      <c r="H38" s="30">
        <f>(SUMIFS(mensalidades!$E:$E,mensalidades!$B:$B,resumo_mens!H$1,mensalidades!$D:$D,resumo_mens!$B38))</f>
        <v>100</v>
      </c>
      <c r="I38" s="30">
        <f>(SUMIFS(mensalidades!$E:$E,mensalidades!$B:$B,resumo_mens!I$1,mensalidades!$D:$D,resumo_mens!$B38))</f>
        <v>100</v>
      </c>
      <c r="J38" s="30">
        <f>(SUMIFS(mensalidades!$E:$E,mensalidades!$B:$B,resumo_mens!J$1,mensalidades!$D:$D,resumo_mens!$B38))</f>
        <v>100</v>
      </c>
      <c r="K38" s="30">
        <f>(SUMIFS(mensalidades!$E:$E,mensalidades!$B:$B,resumo_mens!K$1,mensalidades!$D:$D,resumo_mens!$B38))</f>
        <v>0</v>
      </c>
      <c r="L38" s="30">
        <f>(SUMIFS(mensalidades!$E:$E,mensalidades!$B:$B,resumo_mens!L$1,mensalidades!$D:$D,resumo_mens!$B38))</f>
        <v>0</v>
      </c>
      <c r="M38" s="30">
        <f>(SUMIFS(mensalidades!$E:$E,mensalidades!$B:$B,resumo_mens!M$1,mensalidades!$D:$D,resumo_mens!$B38))</f>
        <v>0</v>
      </c>
      <c r="N38" s="30">
        <f>(SUMIFS(mensalidades!$E:$E,mensalidades!$B:$B,resumo_mens!N$1,mensalidades!$D:$D,resumo_mens!$B38))</f>
        <v>0</v>
      </c>
      <c r="O38" s="25">
        <f t="shared" si="5"/>
        <v>700</v>
      </c>
    </row>
    <row r="39" spans="1:17" hidden="1">
      <c r="A39" s="134" t="s">
        <v>127</v>
      </c>
      <c r="B39" s="4" t="s">
        <v>100</v>
      </c>
      <c r="C39" s="30">
        <f>(SUMIFS(mensalidades!$E:$E,mensalidades!$B:$B,resumo_mens!C$1,mensalidades!$D:$D,resumo_mens!$B39))</f>
        <v>0</v>
      </c>
      <c r="D39" s="30">
        <f>(SUMIFS(mensalidades!$E:$E,mensalidades!$B:$B,resumo_mens!D$1,mensalidades!$D:$D,resumo_mens!$B39))</f>
        <v>0</v>
      </c>
      <c r="E39" s="30">
        <f>(SUMIFS(mensalidades!$E:$E,mensalidades!$B:$B,resumo_mens!E$1,mensalidades!$D:$D,resumo_mens!$B39))</f>
        <v>0</v>
      </c>
      <c r="F39" s="30">
        <f>(SUMIFS(mensalidades!$E:$E,mensalidades!$B:$B,resumo_mens!F$1,mensalidades!$D:$D,resumo_mens!$B39))</f>
        <v>100</v>
      </c>
      <c r="G39" s="30">
        <f>(SUMIFS(mensalidades!$E:$E,mensalidades!$B:$B,resumo_mens!G$1,mensalidades!$D:$D,resumo_mens!$B39))</f>
        <v>0</v>
      </c>
      <c r="H39" s="30">
        <f>(SUMIFS(mensalidades!$E:$E,mensalidades!$B:$B,resumo_mens!H$1,mensalidades!$D:$D,resumo_mens!$B39))</f>
        <v>0</v>
      </c>
      <c r="I39" s="30">
        <f>(SUMIFS(mensalidades!$E:$E,mensalidades!$B:$B,resumo_mens!I$1,mensalidades!$D:$D,resumo_mens!$B39))</f>
        <v>0</v>
      </c>
      <c r="J39" s="30">
        <f>(SUMIFS(mensalidades!$E:$E,mensalidades!$B:$B,resumo_mens!J$1,mensalidades!$D:$D,resumo_mens!$B39))</f>
        <v>0</v>
      </c>
      <c r="K39" s="30">
        <f>(SUMIFS(mensalidades!$E:$E,mensalidades!$B:$B,resumo_mens!K$1,mensalidades!$D:$D,resumo_mens!$B39))</f>
        <v>0</v>
      </c>
      <c r="L39" s="30">
        <f>(SUMIFS(mensalidades!$E:$E,mensalidades!$B:$B,resumo_mens!L$1,mensalidades!$D:$D,resumo_mens!$B39))</f>
        <v>0</v>
      </c>
      <c r="M39" s="30">
        <f>(SUMIFS(mensalidades!$E:$E,mensalidades!$B:$B,resumo_mens!M$1,mensalidades!$D:$D,resumo_mens!$B39))</f>
        <v>0</v>
      </c>
      <c r="N39" s="30">
        <f>(SUMIFS(mensalidades!$E:$E,mensalidades!$B:$B,resumo_mens!N$1,mensalidades!$D:$D,resumo_mens!$B39))</f>
        <v>0</v>
      </c>
      <c r="O39" s="25">
        <f t="shared" si="5"/>
        <v>100</v>
      </c>
    </row>
    <row r="40" spans="1:17">
      <c r="A40" s="33"/>
      <c r="B40" s="4" t="s">
        <v>27</v>
      </c>
      <c r="C40" s="30">
        <f>(SUMIFS(mensalidades!$E:$E,mensalidades!$B:$B,resumo_mens!C$1,mensalidades!$D:$D,resumo_mens!$B40))</f>
        <v>0</v>
      </c>
      <c r="D40" s="30">
        <f>(SUMIFS(mensalidades!$E:$E,mensalidades!$B:$B,resumo_mens!D$1,mensalidades!$D:$D,resumo_mens!$B40))</f>
        <v>200</v>
      </c>
      <c r="E40" s="30">
        <f>(SUMIFS(mensalidades!$E:$E,mensalidades!$B:$B,resumo_mens!E$1,mensalidades!$D:$D,resumo_mens!$B40))</f>
        <v>100</v>
      </c>
      <c r="F40" s="30">
        <f>(SUMIFS(mensalidades!$E:$E,mensalidades!$B:$B,resumo_mens!F$1,mensalidades!$D:$D,resumo_mens!$B40))</f>
        <v>100</v>
      </c>
      <c r="G40" s="30">
        <f>(SUMIFS(mensalidades!$E:$E,mensalidades!$B:$B,resumo_mens!G$1,mensalidades!$D:$D,resumo_mens!$B40))</f>
        <v>100</v>
      </c>
      <c r="H40" s="30">
        <f>(SUMIFS(mensalidades!$E:$E,mensalidades!$B:$B,resumo_mens!H$1,mensalidades!$D:$D,resumo_mens!$B40))</f>
        <v>100</v>
      </c>
      <c r="I40" s="30">
        <f>(SUMIFS(mensalidades!$E:$E,mensalidades!$B:$B,resumo_mens!I$1,mensalidades!$D:$D,resumo_mens!$B40))</f>
        <v>0</v>
      </c>
      <c r="J40" s="30">
        <f>(SUMIFS(mensalidades!$E:$E,mensalidades!$B:$B,resumo_mens!J$1,mensalidades!$D:$D,resumo_mens!$B40))</f>
        <v>0</v>
      </c>
      <c r="K40" s="30">
        <f>(SUMIFS(mensalidades!$E:$E,mensalidades!$B:$B,resumo_mens!K$1,mensalidades!$D:$D,resumo_mens!$B40))</f>
        <v>0</v>
      </c>
      <c r="L40" s="30">
        <f>(SUMIFS(mensalidades!$E:$E,mensalidades!$B:$B,resumo_mens!L$1,mensalidades!$D:$D,resumo_mens!$B40))</f>
        <v>0</v>
      </c>
      <c r="M40" s="30">
        <f>(SUMIFS(mensalidades!$E:$E,mensalidades!$B:$B,resumo_mens!M$1,mensalidades!$D:$D,resumo_mens!$B40))</f>
        <v>0</v>
      </c>
      <c r="N40" s="30">
        <f>(SUMIFS(mensalidades!$E:$E,mensalidades!$B:$B,resumo_mens!N$1,mensalidades!$D:$D,resumo_mens!$B40))</f>
        <v>0</v>
      </c>
      <c r="O40" s="25">
        <f t="shared" si="5"/>
        <v>600</v>
      </c>
    </row>
    <row r="41" spans="1:17">
      <c r="A41" s="33"/>
      <c r="B41" s="4" t="s">
        <v>515</v>
      </c>
      <c r="C41" s="30">
        <f>(SUMIFS(mensalidades!$E:$E,mensalidades!$B:$B,resumo_mens!C$1,mensalidades!$D:$D,resumo_mens!$B41))</f>
        <v>0</v>
      </c>
      <c r="D41" s="30">
        <f>(SUMIFS(mensalidades!$E:$E,mensalidades!$B:$B,resumo_mens!D$1,mensalidades!$D:$D,resumo_mens!$B41))</f>
        <v>0</v>
      </c>
      <c r="E41" s="30">
        <f>(SUMIFS(mensalidades!$E:$E,mensalidades!$B:$B,resumo_mens!E$1,mensalidades!$D:$D,resumo_mens!$B41))</f>
        <v>0</v>
      </c>
      <c r="F41" s="30">
        <f>(SUMIFS(mensalidades!$E:$E,mensalidades!$B:$B,resumo_mens!F$1,mensalidades!$D:$D,resumo_mens!$B41))</f>
        <v>0</v>
      </c>
      <c r="G41" s="30">
        <f>(SUMIFS(mensalidades!$E:$E,mensalidades!$B:$B,resumo_mens!G$1,mensalidades!$D:$D,resumo_mens!$B41))</f>
        <v>0</v>
      </c>
      <c r="H41" s="30">
        <f>(SUMIFS(mensalidades!$E:$E,mensalidades!$B:$B,resumo_mens!H$1,mensalidades!$D:$D,resumo_mens!$B41))</f>
        <v>0</v>
      </c>
      <c r="I41" s="30">
        <f>(SUMIFS(mensalidades!$E:$E,mensalidades!$B:$B,resumo_mens!I$1,mensalidades!$D:$D,resumo_mens!$B41))</f>
        <v>100</v>
      </c>
      <c r="J41" s="30">
        <f>(SUMIFS(mensalidades!$E:$E,mensalidades!$B:$B,resumo_mens!J$1,mensalidades!$D:$D,resumo_mens!$B41))</f>
        <v>100</v>
      </c>
      <c r="K41" s="30">
        <f>(SUMIFS(mensalidades!$E:$E,mensalidades!$B:$B,resumo_mens!K$1,mensalidades!$D:$D,resumo_mens!$B41))</f>
        <v>0</v>
      </c>
      <c r="L41" s="30">
        <f>(SUMIFS(mensalidades!$E:$E,mensalidades!$B:$B,resumo_mens!L$1,mensalidades!$D:$D,resumo_mens!$B41))</f>
        <v>0</v>
      </c>
      <c r="M41" s="30">
        <f>(SUMIFS(mensalidades!$E:$E,mensalidades!$B:$B,resumo_mens!M$1,mensalidades!$D:$D,resumo_mens!$B41))</f>
        <v>0</v>
      </c>
      <c r="N41" s="30">
        <f>(SUMIFS(mensalidades!$E:$E,mensalidades!$B:$B,resumo_mens!N$1,mensalidades!$D:$D,resumo_mens!$B41))</f>
        <v>0</v>
      </c>
      <c r="O41" s="25">
        <f t="shared" si="5"/>
        <v>200</v>
      </c>
    </row>
    <row r="42" spans="1:17">
      <c r="A42" s="33"/>
      <c r="B42" s="4" t="s">
        <v>523</v>
      </c>
      <c r="C42" s="30">
        <f>(SUMIFS(mensalidades!$E:$E,mensalidades!$B:$B,resumo_mens!C$1,mensalidades!$D:$D,resumo_mens!$B42))</f>
        <v>0</v>
      </c>
      <c r="D42" s="30">
        <f>(SUMIFS(mensalidades!$E:$E,mensalidades!$B:$B,resumo_mens!D$1,mensalidades!$D:$D,resumo_mens!$B42))</f>
        <v>0</v>
      </c>
      <c r="E42" s="30">
        <f>(SUMIFS(mensalidades!$E:$E,mensalidades!$B:$B,resumo_mens!E$1,mensalidades!$D:$D,resumo_mens!$B42))</f>
        <v>0</v>
      </c>
      <c r="F42" s="30">
        <f>(SUMIFS(mensalidades!$E:$E,mensalidades!$B:$B,resumo_mens!F$1,mensalidades!$D:$D,resumo_mens!$B42))</f>
        <v>0</v>
      </c>
      <c r="G42" s="30">
        <f>(SUMIFS(mensalidades!$E:$E,mensalidades!$B:$B,resumo_mens!G$1,mensalidades!$D:$D,resumo_mens!$B42))</f>
        <v>0</v>
      </c>
      <c r="H42" s="30">
        <f>(SUMIFS(mensalidades!$E:$E,mensalidades!$B:$B,resumo_mens!H$1,mensalidades!$D:$D,resumo_mens!$B42))</f>
        <v>100</v>
      </c>
      <c r="I42" s="30">
        <f>(SUMIFS(mensalidades!$E:$E,mensalidades!$B:$B,resumo_mens!I$1,mensalidades!$D:$D,resumo_mens!$B42))</f>
        <v>0</v>
      </c>
      <c r="J42" s="30">
        <f>(SUMIFS(mensalidades!$E:$E,mensalidades!$B:$B,resumo_mens!J$1,mensalidades!$D:$D,resumo_mens!$B42))</f>
        <v>0</v>
      </c>
      <c r="K42" s="30">
        <f>(SUMIFS(mensalidades!$E:$E,mensalidades!$B:$B,resumo_mens!K$1,mensalidades!$D:$D,resumo_mens!$B42))</f>
        <v>0</v>
      </c>
      <c r="L42" s="30">
        <f>(SUMIFS(mensalidades!$E:$E,mensalidades!$B:$B,resumo_mens!L$1,mensalidades!$D:$D,resumo_mens!$B42))</f>
        <v>0</v>
      </c>
      <c r="M42" s="30">
        <f>(SUMIFS(mensalidades!$E:$E,mensalidades!$B:$B,resumo_mens!M$1,mensalidades!$D:$D,resumo_mens!$B42))</f>
        <v>0</v>
      </c>
      <c r="N42" s="30">
        <f>(SUMIFS(mensalidades!$E:$E,mensalidades!$B:$B,resumo_mens!N$1,mensalidades!$D:$D,resumo_mens!$B42))</f>
        <v>0</v>
      </c>
      <c r="O42" s="25">
        <f t="shared" si="5"/>
        <v>100</v>
      </c>
    </row>
    <row r="43" spans="1:17">
      <c r="A43" s="33"/>
      <c r="B43" s="4" t="s">
        <v>111</v>
      </c>
      <c r="C43" s="30">
        <f>(SUMIFS(mensalidades!$E:$E,mensalidades!$B:$B,resumo_mens!C$1,mensalidades!$D:$D,resumo_mens!$B43))</f>
        <v>100</v>
      </c>
      <c r="D43" s="30">
        <f>(SUMIFS(mensalidades!$E:$E,mensalidades!$B:$B,resumo_mens!D$1,mensalidades!$D:$D,resumo_mens!$B43))</f>
        <v>100</v>
      </c>
      <c r="E43" s="30">
        <f>(SUMIFS(mensalidades!$E:$E,mensalidades!$B:$B,resumo_mens!E$1,mensalidades!$D:$D,resumo_mens!$B43))</f>
        <v>100</v>
      </c>
      <c r="F43" s="30">
        <f>(SUMIFS(mensalidades!$E:$E,mensalidades!$B:$B,resumo_mens!F$1,mensalidades!$D:$D,resumo_mens!$B43))</f>
        <v>100</v>
      </c>
      <c r="G43" s="30">
        <f>(SUMIFS(mensalidades!$E:$E,mensalidades!$B:$B,resumo_mens!G$1,mensalidades!$D:$D,resumo_mens!$B43))</f>
        <v>100</v>
      </c>
      <c r="H43" s="30">
        <f>(SUMIFS(mensalidades!$E:$E,mensalidades!$B:$B,resumo_mens!H$1,mensalidades!$D:$D,resumo_mens!$B43))</f>
        <v>100</v>
      </c>
      <c r="I43" s="30">
        <f>(SUMIFS(mensalidades!$E:$E,mensalidades!$B:$B,resumo_mens!I$1,mensalidades!$D:$D,resumo_mens!$B43))</f>
        <v>100</v>
      </c>
      <c r="J43" s="30">
        <f>(SUMIFS(mensalidades!$E:$E,mensalidades!$B:$B,resumo_mens!J$1,mensalidades!$D:$D,resumo_mens!$B43))</f>
        <v>100</v>
      </c>
      <c r="K43" s="30">
        <f>(SUMIFS(mensalidades!$E:$E,mensalidades!$B:$B,resumo_mens!K$1,mensalidades!$D:$D,resumo_mens!$B43))</f>
        <v>0</v>
      </c>
      <c r="L43" s="30">
        <f>(SUMIFS(mensalidades!$E:$E,mensalidades!$B:$B,resumo_mens!L$1,mensalidades!$D:$D,resumo_mens!$B43))</f>
        <v>0</v>
      </c>
      <c r="M43" s="30">
        <f>(SUMIFS(mensalidades!$E:$E,mensalidades!$B:$B,resumo_mens!M$1,mensalidades!$D:$D,resumo_mens!$B43))</f>
        <v>0</v>
      </c>
      <c r="N43" s="30">
        <f>(SUMIFS(mensalidades!$E:$E,mensalidades!$B:$B,resumo_mens!N$1,mensalidades!$D:$D,resumo_mens!$B43))</f>
        <v>0</v>
      </c>
      <c r="O43" s="25">
        <f t="shared" si="5"/>
        <v>800</v>
      </c>
    </row>
    <row r="44" spans="1:17" hidden="1">
      <c r="A44" s="134" t="s">
        <v>29</v>
      </c>
      <c r="B44" s="4" t="s">
        <v>97</v>
      </c>
      <c r="C44" s="30">
        <f>(SUMIFS(mensalidades!$E:$E,mensalidades!$B:$B,resumo_mens!C$1,mensalidades!$D:$D,resumo_mens!$B44))</f>
        <v>0</v>
      </c>
      <c r="D44" s="30">
        <f>(SUMIFS(mensalidades!$E:$E,mensalidades!$B:$B,resumo_mens!D$1,mensalidades!$D:$D,resumo_mens!$B44))</f>
        <v>100</v>
      </c>
      <c r="E44" s="30">
        <f>(SUMIFS(mensalidades!$E:$E,mensalidades!$B:$B,resumo_mens!E$1,mensalidades!$D:$D,resumo_mens!$B44))</f>
        <v>100</v>
      </c>
      <c r="F44" s="30">
        <f>(SUMIFS(mensalidades!$E:$E,mensalidades!$B:$B,resumo_mens!F$1,mensalidades!$D:$D,resumo_mens!$B44))</f>
        <v>100</v>
      </c>
      <c r="G44" s="30">
        <f>(SUMIFS(mensalidades!$E:$E,mensalidades!$B:$B,resumo_mens!G$1,mensalidades!$D:$D,resumo_mens!$B44))</f>
        <v>0</v>
      </c>
      <c r="H44" s="30">
        <f>(SUMIFS(mensalidades!$E:$E,mensalidades!$B:$B,resumo_mens!H$1,mensalidades!$D:$D,resumo_mens!$B44))</f>
        <v>0</v>
      </c>
      <c r="I44" s="30">
        <f>(SUMIFS(mensalidades!$E:$E,mensalidades!$B:$B,resumo_mens!I$1,mensalidades!$D:$D,resumo_mens!$B44))</f>
        <v>0</v>
      </c>
      <c r="J44" s="30">
        <f>(SUMIFS(mensalidades!$E:$E,mensalidades!$B:$B,resumo_mens!J$1,mensalidades!$D:$D,resumo_mens!$B44))</f>
        <v>0</v>
      </c>
      <c r="K44" s="30">
        <f>(SUMIFS(mensalidades!$E:$E,mensalidades!$B:$B,resumo_mens!K$1,mensalidades!$D:$D,resumo_mens!$B44))</f>
        <v>0</v>
      </c>
      <c r="L44" s="30">
        <f>(SUMIFS(mensalidades!$E:$E,mensalidades!$B:$B,resumo_mens!L$1,mensalidades!$D:$D,resumo_mens!$B44))</f>
        <v>0</v>
      </c>
      <c r="M44" s="30">
        <f>(SUMIFS(mensalidades!$E:$E,mensalidades!$B:$B,resumo_mens!M$1,mensalidades!$D:$D,resumo_mens!$B44))</f>
        <v>0</v>
      </c>
      <c r="N44" s="30">
        <f>(SUMIFS(mensalidades!$E:$E,mensalidades!$B:$B,resumo_mens!N$1,mensalidades!$D:$D,resumo_mens!$B44))</f>
        <v>0</v>
      </c>
      <c r="O44" s="25">
        <f t="shared" si="5"/>
        <v>300</v>
      </c>
    </row>
    <row r="45" spans="1:17">
      <c r="A45" s="33"/>
      <c r="B45" s="4" t="s">
        <v>20</v>
      </c>
      <c r="C45" s="30">
        <f>(SUMIFS(mensalidades!$E:$E,mensalidades!$B:$B,resumo_mens!C$1,mensalidades!$D:$D,resumo_mens!$B45))</f>
        <v>0</v>
      </c>
      <c r="D45" s="30">
        <f>(SUMIFS(mensalidades!$E:$E,mensalidades!$B:$B,resumo_mens!D$1,mensalidades!$D:$D,resumo_mens!$B45))</f>
        <v>100</v>
      </c>
      <c r="E45" s="30">
        <f>(SUMIFS(mensalidades!$E:$E,mensalidades!$B:$B,resumo_mens!E$1,mensalidades!$D:$D,resumo_mens!$B45))</f>
        <v>100</v>
      </c>
      <c r="F45" s="30">
        <f>(SUMIFS(mensalidades!$E:$E,mensalidades!$B:$B,resumo_mens!F$1,mensalidades!$D:$D,resumo_mens!$B45))</f>
        <v>100</v>
      </c>
      <c r="G45" s="30">
        <f>(SUMIFS(mensalidades!$E:$E,mensalidades!$B:$B,resumo_mens!G$1,mensalidades!$D:$D,resumo_mens!$B45))</f>
        <v>100</v>
      </c>
      <c r="H45" s="30">
        <f>(SUMIFS(mensalidades!$E:$E,mensalidades!$B:$B,resumo_mens!H$1,mensalidades!$D:$D,resumo_mens!$B45))</f>
        <v>100</v>
      </c>
      <c r="I45" s="30">
        <f>(SUMIFS(mensalidades!$E:$E,mensalidades!$B:$B,resumo_mens!I$1,mensalidades!$D:$D,resumo_mens!$B45))</f>
        <v>0</v>
      </c>
      <c r="J45" s="30">
        <f>(SUMIFS(mensalidades!$E:$E,mensalidades!$B:$B,resumo_mens!J$1,mensalidades!$D:$D,resumo_mens!$B45))</f>
        <v>0</v>
      </c>
      <c r="K45" s="30">
        <f>(SUMIFS(mensalidades!$E:$E,mensalidades!$B:$B,resumo_mens!K$1,mensalidades!$D:$D,resumo_mens!$B45))</f>
        <v>0</v>
      </c>
      <c r="L45" s="30">
        <f>(SUMIFS(mensalidades!$E:$E,mensalidades!$B:$B,resumo_mens!L$1,mensalidades!$D:$D,resumo_mens!$B45))</f>
        <v>0</v>
      </c>
      <c r="M45" s="30">
        <f>(SUMIFS(mensalidades!$E:$E,mensalidades!$B:$B,resumo_mens!M$1,mensalidades!$D:$D,resumo_mens!$B45))</f>
        <v>0</v>
      </c>
      <c r="N45" s="30">
        <f>(SUMIFS(mensalidades!$E:$E,mensalidades!$B:$B,resumo_mens!N$1,mensalidades!$D:$D,resumo_mens!$B45))</f>
        <v>0</v>
      </c>
      <c r="O45" s="25">
        <f t="shared" si="5"/>
        <v>500</v>
      </c>
    </row>
    <row r="46" spans="1:17">
      <c r="A46" s="33"/>
      <c r="B46" s="4" t="s">
        <v>86</v>
      </c>
      <c r="C46" s="30">
        <f>(SUMIFS(mensalidades!$E:$E,mensalidades!$B:$B,resumo_mens!C$1,mensalidades!$D:$D,resumo_mens!$B46))</f>
        <v>100</v>
      </c>
      <c r="D46" s="30">
        <f>(SUMIFS(mensalidades!$E:$E,mensalidades!$B:$B,resumo_mens!D$1,mensalidades!$D:$D,resumo_mens!$B46))</f>
        <v>100</v>
      </c>
      <c r="E46" s="30">
        <f>(SUMIFS(mensalidades!$E:$E,mensalidades!$B:$B,resumo_mens!E$1,mensalidades!$D:$D,resumo_mens!$B46))</f>
        <v>0</v>
      </c>
      <c r="F46" s="30">
        <f>(SUMIFS(mensalidades!$E:$E,mensalidades!$B:$B,resumo_mens!F$1,mensalidades!$D:$D,resumo_mens!$B46))</f>
        <v>100</v>
      </c>
      <c r="G46" s="30">
        <f>(SUMIFS(mensalidades!$E:$E,mensalidades!$B:$B,resumo_mens!G$1,mensalidades!$D:$D,resumo_mens!$B46))</f>
        <v>100</v>
      </c>
      <c r="H46" s="30">
        <f>(SUMIFS(mensalidades!$E:$E,mensalidades!$B:$B,resumo_mens!H$1,mensalidades!$D:$D,resumo_mens!$B46))</f>
        <v>100</v>
      </c>
      <c r="I46" s="30">
        <f>(SUMIFS(mensalidades!$E:$E,mensalidades!$B:$B,resumo_mens!I$1,mensalidades!$D:$D,resumo_mens!$B46))</f>
        <v>100</v>
      </c>
      <c r="J46" s="30">
        <f>(SUMIFS(mensalidades!$E:$E,mensalidades!$B:$B,resumo_mens!J$1,mensalidades!$D:$D,resumo_mens!$B46))</f>
        <v>0</v>
      </c>
      <c r="K46" s="30">
        <f>(SUMIFS(mensalidades!$E:$E,mensalidades!$B:$B,resumo_mens!K$1,mensalidades!$D:$D,resumo_mens!$B46))</f>
        <v>0</v>
      </c>
      <c r="L46" s="30">
        <f>(SUMIFS(mensalidades!$E:$E,mensalidades!$B:$B,resumo_mens!L$1,mensalidades!$D:$D,resumo_mens!$B46))</f>
        <v>0</v>
      </c>
      <c r="M46" s="30">
        <f>(SUMIFS(mensalidades!$E:$E,mensalidades!$B:$B,resumo_mens!M$1,mensalidades!$D:$D,resumo_mens!$B46))</f>
        <v>0</v>
      </c>
      <c r="N46" s="30">
        <f>(SUMIFS(mensalidades!$E:$E,mensalidades!$B:$B,resumo_mens!N$1,mensalidades!$D:$D,resumo_mens!$B46))</f>
        <v>0</v>
      </c>
      <c r="O46" s="25">
        <f t="shared" si="5"/>
        <v>600</v>
      </c>
    </row>
    <row r="47" spans="1:17" hidden="1">
      <c r="A47" s="134" t="s">
        <v>29</v>
      </c>
      <c r="B47" s="4" t="s">
        <v>82</v>
      </c>
      <c r="C47" s="30">
        <f>(SUMIFS(mensalidades!$E:$E,mensalidades!$B:$B,resumo_mens!C$1,mensalidades!$D:$D,resumo_mens!$B47))</f>
        <v>100</v>
      </c>
      <c r="D47" s="30">
        <f>(SUMIFS(mensalidades!$E:$E,mensalidades!$B:$B,resumo_mens!D$1,mensalidades!$D:$D,resumo_mens!$B47))</f>
        <v>0</v>
      </c>
      <c r="E47" s="30">
        <f>(SUMIFS(mensalidades!$E:$E,mensalidades!$B:$B,resumo_mens!E$1,mensalidades!$D:$D,resumo_mens!$B47))</f>
        <v>0</v>
      </c>
      <c r="F47" s="30">
        <f>(SUMIFS(mensalidades!$E:$E,mensalidades!$B:$B,resumo_mens!F$1,mensalidades!$D:$D,resumo_mens!$B47))</f>
        <v>200</v>
      </c>
      <c r="G47" s="30">
        <f>(SUMIFS(mensalidades!$E:$E,mensalidades!$B:$B,resumo_mens!G$1,mensalidades!$D:$D,resumo_mens!$B47))</f>
        <v>0</v>
      </c>
      <c r="H47" s="30">
        <f>(SUMIFS(mensalidades!$E:$E,mensalidades!$B:$B,resumo_mens!H$1,mensalidades!$D:$D,resumo_mens!$B47))</f>
        <v>0</v>
      </c>
      <c r="I47" s="30">
        <f>(SUMIFS(mensalidades!$E:$E,mensalidades!$B:$B,resumo_mens!I$1,mensalidades!$D:$D,resumo_mens!$B47))</f>
        <v>0</v>
      </c>
      <c r="J47" s="30">
        <f>(SUMIFS(mensalidades!$E:$E,mensalidades!$B:$B,resumo_mens!J$1,mensalidades!$D:$D,resumo_mens!$B47))</f>
        <v>0</v>
      </c>
      <c r="K47" s="30">
        <f>(SUMIFS(mensalidades!$E:$E,mensalidades!$B:$B,resumo_mens!K$1,mensalidades!$D:$D,resumo_mens!$B47))</f>
        <v>0</v>
      </c>
      <c r="L47" s="30">
        <f>(SUMIFS(mensalidades!$E:$E,mensalidades!$B:$B,resumo_mens!L$1,mensalidades!$D:$D,resumo_mens!$B47))</f>
        <v>0</v>
      </c>
      <c r="M47" s="30">
        <f>(SUMIFS(mensalidades!$E:$E,mensalidades!$B:$B,resumo_mens!M$1,mensalidades!$D:$D,resumo_mens!$B47))</f>
        <v>0</v>
      </c>
      <c r="N47" s="30">
        <f>(SUMIFS(mensalidades!$E:$E,mensalidades!$B:$B,resumo_mens!N$1,mensalidades!$D:$D,resumo_mens!$B47))</f>
        <v>0</v>
      </c>
      <c r="O47" s="25">
        <f t="shared" si="5"/>
        <v>300</v>
      </c>
    </row>
    <row r="48" spans="1:17">
      <c r="A48" s="33"/>
      <c r="B48" s="4" t="s">
        <v>78</v>
      </c>
      <c r="C48" s="30">
        <f>(SUMIFS(mensalidades!$E:$E,mensalidades!$B:$B,resumo_mens!C$1,mensalidades!$D:$D,resumo_mens!$B48))</f>
        <v>100</v>
      </c>
      <c r="D48" s="30">
        <f>(SUMIFS(mensalidades!$E:$E,mensalidades!$B:$B,resumo_mens!D$1,mensalidades!$D:$D,resumo_mens!$B48))</f>
        <v>100</v>
      </c>
      <c r="E48" s="30">
        <f>(SUMIFS(mensalidades!$E:$E,mensalidades!$B:$B,resumo_mens!E$1,mensalidades!$D:$D,resumo_mens!$B48))</f>
        <v>100</v>
      </c>
      <c r="F48" s="30">
        <f>(SUMIFS(mensalidades!$E:$E,mensalidades!$B:$B,resumo_mens!F$1,mensalidades!$D:$D,resumo_mens!$B48))</f>
        <v>100</v>
      </c>
      <c r="G48" s="30">
        <f>(SUMIFS(mensalidades!$E:$E,mensalidades!$B:$B,resumo_mens!G$1,mensalidades!$D:$D,resumo_mens!$B48))</f>
        <v>100</v>
      </c>
      <c r="H48" s="30">
        <f>(SUMIFS(mensalidades!$E:$E,mensalidades!$B:$B,resumo_mens!H$1,mensalidades!$D:$D,resumo_mens!$B48))</f>
        <v>100</v>
      </c>
      <c r="I48" s="30">
        <f>(SUMIFS(mensalidades!$E:$E,mensalidades!$B:$B,resumo_mens!I$1,mensalidades!$D:$D,resumo_mens!$B48))</f>
        <v>100</v>
      </c>
      <c r="J48" s="30">
        <f>(SUMIFS(mensalidades!$E:$E,mensalidades!$B:$B,resumo_mens!J$1,mensalidades!$D:$D,resumo_mens!$B48))</f>
        <v>0</v>
      </c>
      <c r="K48" s="30">
        <f>(SUMIFS(mensalidades!$E:$E,mensalidades!$B:$B,resumo_mens!K$1,mensalidades!$D:$D,resumo_mens!$B48))</f>
        <v>0</v>
      </c>
      <c r="L48" s="30">
        <f>(SUMIFS(mensalidades!$E:$E,mensalidades!$B:$B,resumo_mens!L$1,mensalidades!$D:$D,resumo_mens!$B48))</f>
        <v>0</v>
      </c>
      <c r="M48" s="30">
        <f>(SUMIFS(mensalidades!$E:$E,mensalidades!$B:$B,resumo_mens!M$1,mensalidades!$D:$D,resumo_mens!$B48))</f>
        <v>0</v>
      </c>
      <c r="N48" s="30">
        <f>(SUMIFS(mensalidades!$E:$E,mensalidades!$B:$B,resumo_mens!N$1,mensalidades!$D:$D,resumo_mens!$B48))</f>
        <v>0</v>
      </c>
      <c r="O48" s="25">
        <f t="shared" si="5"/>
        <v>700</v>
      </c>
    </row>
    <row r="49" spans="1:15">
      <c r="A49" s="33"/>
      <c r="B49" s="4" t="s">
        <v>22</v>
      </c>
      <c r="C49" s="30">
        <f>(SUMIFS(mensalidades!$E:$E,mensalidades!$B:$B,resumo_mens!C$1,mensalidades!$D:$D,resumo_mens!$B49))</f>
        <v>0</v>
      </c>
      <c r="D49" s="30">
        <f>(SUMIFS(mensalidades!$E:$E,mensalidades!$B:$B,resumo_mens!D$1,mensalidades!$D:$D,resumo_mens!$B49))</f>
        <v>100</v>
      </c>
      <c r="E49" s="30">
        <f>(SUMIFS(mensalidades!$E:$E,mensalidades!$B:$B,resumo_mens!E$1,mensalidades!$D:$D,resumo_mens!$B49))</f>
        <v>100</v>
      </c>
      <c r="F49" s="30">
        <f>(SUMIFS(mensalidades!$E:$E,mensalidades!$B:$B,resumo_mens!F$1,mensalidades!$D:$D,resumo_mens!$B49))</f>
        <v>100</v>
      </c>
      <c r="G49" s="30">
        <f>(SUMIFS(mensalidades!$E:$E,mensalidades!$B:$B,resumo_mens!G$1,mensalidades!$D:$D,resumo_mens!$B49))</f>
        <v>100</v>
      </c>
      <c r="H49" s="30">
        <f>(SUMIFS(mensalidades!$E:$E,mensalidades!$B:$B,resumo_mens!H$1,mensalidades!$D:$D,resumo_mens!$B49))</f>
        <v>100</v>
      </c>
      <c r="I49" s="30">
        <f>(SUMIFS(mensalidades!$E:$E,mensalidades!$B:$B,resumo_mens!I$1,mensalidades!$D:$D,resumo_mens!$B49))</f>
        <v>0</v>
      </c>
      <c r="J49" s="30">
        <f>(SUMIFS(mensalidades!$E:$E,mensalidades!$B:$B,resumo_mens!J$1,mensalidades!$D:$D,resumo_mens!$B49))</f>
        <v>0</v>
      </c>
      <c r="K49" s="30">
        <f>(SUMIFS(mensalidades!$E:$E,mensalidades!$B:$B,resumo_mens!K$1,mensalidades!$D:$D,resumo_mens!$B49))</f>
        <v>0</v>
      </c>
      <c r="L49" s="30">
        <f>(SUMIFS(mensalidades!$E:$E,mensalidades!$B:$B,resumo_mens!L$1,mensalidades!$D:$D,resumo_mens!$B49))</f>
        <v>0</v>
      </c>
      <c r="M49" s="30">
        <f>(SUMIFS(mensalidades!$E:$E,mensalidades!$B:$B,resumo_mens!M$1,mensalidades!$D:$D,resumo_mens!$B49))</f>
        <v>0</v>
      </c>
      <c r="N49" s="30">
        <f>(SUMIFS(mensalidades!$E:$E,mensalidades!$B:$B,resumo_mens!N$1,mensalidades!$D:$D,resumo_mens!$B49))</f>
        <v>0</v>
      </c>
      <c r="O49" s="25">
        <f t="shared" si="5"/>
        <v>500</v>
      </c>
    </row>
    <row r="50" spans="1:15">
      <c r="A50" s="33"/>
      <c r="B50" s="4" t="s">
        <v>92</v>
      </c>
      <c r="C50" s="30">
        <f>(SUMIFS(mensalidades!$E:$E,mensalidades!$B:$B,resumo_mens!C$1,mensalidades!$D:$D,resumo_mens!$B50))</f>
        <v>0</v>
      </c>
      <c r="D50" s="30">
        <f>(SUMIFS(mensalidades!$E:$E,mensalidades!$B:$B,resumo_mens!D$1,mensalidades!$D:$D,resumo_mens!$B50))</f>
        <v>100</v>
      </c>
      <c r="E50" s="30">
        <f>(SUMIFS(mensalidades!$E:$E,mensalidades!$B:$B,resumo_mens!E$1,mensalidades!$D:$D,resumo_mens!$B50))</f>
        <v>100</v>
      </c>
      <c r="F50" s="30">
        <f>(SUMIFS(mensalidades!$E:$E,mensalidades!$B:$B,resumo_mens!F$1,mensalidades!$D:$D,resumo_mens!$B50))</f>
        <v>100</v>
      </c>
      <c r="G50" s="30">
        <f>(SUMIFS(mensalidades!$E:$E,mensalidades!$B:$B,resumo_mens!G$1,mensalidades!$D:$D,resumo_mens!$B50))</f>
        <v>100</v>
      </c>
      <c r="H50" s="30">
        <f>(SUMIFS(mensalidades!$E:$E,mensalidades!$B:$B,resumo_mens!H$1,mensalidades!$D:$D,resumo_mens!$B50))</f>
        <v>100</v>
      </c>
      <c r="I50" s="30">
        <f>(SUMIFS(mensalidades!$E:$E,mensalidades!$B:$B,resumo_mens!I$1,mensalidades!$D:$D,resumo_mens!$B50))</f>
        <v>0</v>
      </c>
      <c r="J50" s="30">
        <f>(SUMIFS(mensalidades!$E:$E,mensalidades!$B:$B,resumo_mens!J$1,mensalidades!$D:$D,resumo_mens!$B50))</f>
        <v>0</v>
      </c>
      <c r="K50" s="30">
        <f>(SUMIFS(mensalidades!$E:$E,mensalidades!$B:$B,resumo_mens!K$1,mensalidades!$D:$D,resumo_mens!$B50))</f>
        <v>0</v>
      </c>
      <c r="L50" s="30">
        <f>(SUMIFS(mensalidades!$E:$E,mensalidades!$B:$B,resumo_mens!L$1,mensalidades!$D:$D,resumo_mens!$B50))</f>
        <v>0</v>
      </c>
      <c r="M50" s="30">
        <f>(SUMIFS(mensalidades!$E:$E,mensalidades!$B:$B,resumo_mens!M$1,mensalidades!$D:$D,resumo_mens!$B50))</f>
        <v>0</v>
      </c>
      <c r="N50" s="30">
        <f>(SUMIFS(mensalidades!$E:$E,mensalidades!$B:$B,resumo_mens!N$1,mensalidades!$D:$D,resumo_mens!$B50))</f>
        <v>0</v>
      </c>
      <c r="O50" s="25">
        <f t="shared" si="5"/>
        <v>500</v>
      </c>
    </row>
    <row r="51" spans="1:15">
      <c r="A51" s="33"/>
      <c r="B51" s="4" t="s">
        <v>120</v>
      </c>
      <c r="C51" s="30">
        <f>(SUMIFS(mensalidades!$E:$E,mensalidades!$B:$B,resumo_mens!C$1,mensalidades!$D:$D,resumo_mens!$B51))</f>
        <v>0</v>
      </c>
      <c r="D51" s="30">
        <f>(SUMIFS(mensalidades!$E:$E,mensalidades!$B:$B,resumo_mens!D$1,mensalidades!$D:$D,resumo_mens!$B51))</f>
        <v>0</v>
      </c>
      <c r="E51" s="30">
        <f>(SUMIFS(mensalidades!$E:$E,mensalidades!$B:$B,resumo_mens!E$1,mensalidades!$D:$D,resumo_mens!$B51))</f>
        <v>100</v>
      </c>
      <c r="F51" s="30">
        <f>(SUMIFS(mensalidades!$E:$E,mensalidades!$B:$B,resumo_mens!F$1,mensalidades!$D:$D,resumo_mens!$B51))</f>
        <v>100</v>
      </c>
      <c r="G51" s="30">
        <f>(SUMIFS(mensalidades!$E:$E,mensalidades!$B:$B,resumo_mens!G$1,mensalidades!$D:$D,resumo_mens!$B51))</f>
        <v>0</v>
      </c>
      <c r="H51" s="30">
        <f>(SUMIFS(mensalidades!$E:$E,mensalidades!$B:$B,resumo_mens!H$1,mensalidades!$D:$D,resumo_mens!$B51))</f>
        <v>100</v>
      </c>
      <c r="I51" s="30">
        <f>(SUMIFS(mensalidades!$E:$E,mensalidades!$B:$B,resumo_mens!I$1,mensalidades!$D:$D,resumo_mens!$B51))</f>
        <v>0</v>
      </c>
      <c r="J51" s="30">
        <f>(SUMIFS(mensalidades!$E:$E,mensalidades!$B:$B,resumo_mens!J$1,mensalidades!$D:$D,resumo_mens!$B51))</f>
        <v>0</v>
      </c>
      <c r="K51" s="30">
        <f>(SUMIFS(mensalidades!$E:$E,mensalidades!$B:$B,resumo_mens!K$1,mensalidades!$D:$D,resumo_mens!$B51))</f>
        <v>0</v>
      </c>
      <c r="L51" s="30">
        <f>(SUMIFS(mensalidades!$E:$E,mensalidades!$B:$B,resumo_mens!L$1,mensalidades!$D:$D,resumo_mens!$B51))</f>
        <v>0</v>
      </c>
      <c r="M51" s="30">
        <f>(SUMIFS(mensalidades!$E:$E,mensalidades!$B:$B,resumo_mens!M$1,mensalidades!$D:$D,resumo_mens!$B51))</f>
        <v>0</v>
      </c>
      <c r="N51" s="30">
        <f>(SUMIFS(mensalidades!$E:$E,mensalidades!$B:$B,resumo_mens!N$1,mensalidades!$D:$D,resumo_mens!$B51))</f>
        <v>0</v>
      </c>
      <c r="O51" s="25">
        <f t="shared" si="5"/>
        <v>300</v>
      </c>
    </row>
    <row r="52" spans="1:15" hidden="1">
      <c r="A52" s="134" t="s">
        <v>29</v>
      </c>
      <c r="B52" s="4" t="s">
        <v>117</v>
      </c>
      <c r="C52" s="30">
        <f>(SUMIFS(mensalidades!$E:$E,mensalidades!$B:$B,resumo_mens!C$1,mensalidades!$D:$D,resumo_mens!$B52))</f>
        <v>50</v>
      </c>
      <c r="D52" s="30">
        <f>(SUMIFS(mensalidades!$E:$E,mensalidades!$B:$B,resumo_mens!D$1,mensalidades!$D:$D,resumo_mens!$B52))</f>
        <v>0</v>
      </c>
      <c r="E52" s="30">
        <f>(SUMIFS(mensalidades!$E:$E,mensalidades!$B:$B,resumo_mens!E$1,mensalidades!$D:$D,resumo_mens!$B52))</f>
        <v>0</v>
      </c>
      <c r="F52" s="30">
        <f>(SUMIFS(mensalidades!$E:$E,mensalidades!$B:$B,resumo_mens!F$1,mensalidades!$D:$D,resumo_mens!$B52))</f>
        <v>0</v>
      </c>
      <c r="G52" s="30">
        <f>(SUMIFS(mensalidades!$E:$E,mensalidades!$B:$B,resumo_mens!G$1,mensalidades!$D:$D,resumo_mens!$B52))</f>
        <v>0</v>
      </c>
      <c r="H52" s="30">
        <f>(SUMIFS(mensalidades!$E:$E,mensalidades!$B:$B,resumo_mens!H$1,mensalidades!$D:$D,resumo_mens!$B52))</f>
        <v>0</v>
      </c>
      <c r="I52" s="30">
        <f>(SUMIFS(mensalidades!$E:$E,mensalidades!$B:$B,resumo_mens!I$1,mensalidades!$D:$D,resumo_mens!$B52))</f>
        <v>0</v>
      </c>
      <c r="J52" s="30">
        <f>(SUMIFS(mensalidades!$E:$E,mensalidades!$B:$B,resumo_mens!J$1,mensalidades!$D:$D,resumo_mens!$B52))</f>
        <v>0</v>
      </c>
      <c r="K52" s="30">
        <f>(SUMIFS(mensalidades!$E:$E,mensalidades!$B:$B,resumo_mens!K$1,mensalidades!$D:$D,resumo_mens!$B52))</f>
        <v>0</v>
      </c>
      <c r="L52" s="30">
        <f>(SUMIFS(mensalidades!$E:$E,mensalidades!$B:$B,resumo_mens!L$1,mensalidades!$D:$D,resumo_mens!$B52))</f>
        <v>0</v>
      </c>
      <c r="M52" s="30">
        <f>(SUMIFS(mensalidades!$E:$E,mensalidades!$B:$B,resumo_mens!M$1,mensalidades!$D:$D,resumo_mens!$B52))</f>
        <v>0</v>
      </c>
      <c r="N52" s="30">
        <f>(SUMIFS(mensalidades!$E:$E,mensalidades!$B:$B,resumo_mens!N$1,mensalidades!$D:$D,resumo_mens!$B52))</f>
        <v>0</v>
      </c>
      <c r="O52" s="25">
        <f t="shared" si="5"/>
        <v>50</v>
      </c>
    </row>
    <row r="53" spans="1:15">
      <c r="A53" s="1"/>
      <c r="B53" s="4" t="s">
        <v>524</v>
      </c>
      <c r="C53" s="30">
        <f>(SUMIFS(mensalidades!$E:$E,mensalidades!$B:$B,resumo_mens!C$1,mensalidades!$D:$D,resumo_mens!$B53))</f>
        <v>0</v>
      </c>
      <c r="D53" s="30">
        <f>(SUMIFS(mensalidades!$E:$E,mensalidades!$B:$B,resumo_mens!D$1,mensalidades!$D:$D,resumo_mens!$B53))</f>
        <v>0</v>
      </c>
      <c r="E53" s="30">
        <f>(SUMIFS(mensalidades!$E:$E,mensalidades!$B:$B,resumo_mens!E$1,mensalidades!$D:$D,resumo_mens!$B53))</f>
        <v>0</v>
      </c>
      <c r="F53" s="30">
        <f>(SUMIFS(mensalidades!$E:$E,mensalidades!$B:$B,resumo_mens!F$1,mensalidades!$D:$D,resumo_mens!$B53))</f>
        <v>0</v>
      </c>
      <c r="G53" s="30">
        <f>(SUMIFS(mensalidades!$E:$E,mensalidades!$B:$B,resumo_mens!G$1,mensalidades!$D:$D,resumo_mens!$B53))</f>
        <v>0</v>
      </c>
      <c r="H53" s="30">
        <f>(SUMIFS(mensalidades!$E:$E,mensalidades!$B:$B,resumo_mens!H$1,mensalidades!$D:$D,resumo_mens!$B53))</f>
        <v>100</v>
      </c>
      <c r="I53" s="30">
        <f>(SUMIFS(mensalidades!$E:$E,mensalidades!$B:$B,resumo_mens!I$1,mensalidades!$D:$D,resumo_mens!$B53))</f>
        <v>0</v>
      </c>
      <c r="J53" s="30">
        <f>(SUMIFS(mensalidades!$E:$E,mensalidades!$B:$B,resumo_mens!J$1,mensalidades!$D:$D,resumo_mens!$B53))</f>
        <v>0</v>
      </c>
      <c r="K53" s="30">
        <f>(SUMIFS(mensalidades!$E:$E,mensalidades!$B:$B,resumo_mens!K$1,mensalidades!$D:$D,resumo_mens!$B53))</f>
        <v>0</v>
      </c>
      <c r="L53" s="30">
        <f>(SUMIFS(mensalidades!$E:$E,mensalidades!$B:$B,resumo_mens!L$1,mensalidades!$D:$D,resumo_mens!$B53))</f>
        <v>0</v>
      </c>
      <c r="M53" s="30">
        <f>(SUMIFS(mensalidades!$E:$E,mensalidades!$B:$B,resumo_mens!M$1,mensalidades!$D:$D,resumo_mens!$B53))</f>
        <v>0</v>
      </c>
      <c r="N53" s="30">
        <f>(SUMIFS(mensalidades!$E:$E,mensalidades!$B:$B,resumo_mens!N$1,mensalidades!$D:$D,resumo_mens!$B53))</f>
        <v>0</v>
      </c>
      <c r="O53" s="25">
        <f t="shared" si="5"/>
        <v>100</v>
      </c>
    </row>
    <row r="54" spans="1:15" hidden="1">
      <c r="A54" s="134" t="s">
        <v>29</v>
      </c>
      <c r="B54" s="4" t="s">
        <v>466</v>
      </c>
      <c r="C54" s="30">
        <f>(SUMIFS(mensalidades!$E:$E,mensalidades!$B:$B,resumo_mens!C$1,mensalidades!$D:$D,resumo_mens!$B54))</f>
        <v>0</v>
      </c>
      <c r="D54" s="30">
        <f>(SUMIFS(mensalidades!$E:$E,mensalidades!$B:$B,resumo_mens!D$1,mensalidades!$D:$D,resumo_mens!$B54))</f>
        <v>0</v>
      </c>
      <c r="E54" s="30">
        <f>(SUMIFS(mensalidades!$E:$E,mensalidades!$B:$B,resumo_mens!E$1,mensalidades!$D:$D,resumo_mens!$B54))</f>
        <v>0</v>
      </c>
      <c r="F54" s="30">
        <f>(SUMIFS(mensalidades!$E:$E,mensalidades!$B:$B,resumo_mens!F$1,mensalidades!$D:$D,resumo_mens!$B54))</f>
        <v>0</v>
      </c>
      <c r="G54" s="30">
        <f>(SUMIFS(mensalidades!$E:$E,mensalidades!$B:$B,resumo_mens!G$1,mensalidades!$D:$D,resumo_mens!$B54))</f>
        <v>0</v>
      </c>
      <c r="H54" s="30">
        <f>(SUMIFS(mensalidades!$E:$E,mensalidades!$B:$B,resumo_mens!H$1,mensalidades!$D:$D,resumo_mens!$B54))</f>
        <v>100</v>
      </c>
      <c r="I54" s="30">
        <f>(SUMIFS(mensalidades!$E:$E,mensalidades!$B:$B,resumo_mens!I$1,mensalidades!$D:$D,resumo_mens!$B54))</f>
        <v>0</v>
      </c>
      <c r="J54" s="30">
        <f>(SUMIFS(mensalidades!$E:$E,mensalidades!$B:$B,resumo_mens!J$1,mensalidades!$D:$D,resumo_mens!$B54))</f>
        <v>0</v>
      </c>
      <c r="K54" s="30">
        <f>(SUMIFS(mensalidades!$E:$E,mensalidades!$B:$B,resumo_mens!K$1,mensalidades!$D:$D,resumo_mens!$B54))</f>
        <v>0</v>
      </c>
      <c r="L54" s="30">
        <f>(SUMIFS(mensalidades!$E:$E,mensalidades!$B:$B,resumo_mens!L$1,mensalidades!$D:$D,resumo_mens!$B54))</f>
        <v>0</v>
      </c>
      <c r="M54" s="30">
        <f>(SUMIFS(mensalidades!$E:$E,mensalidades!$B:$B,resumo_mens!M$1,mensalidades!$D:$D,resumo_mens!$B54))</f>
        <v>0</v>
      </c>
      <c r="N54" s="30">
        <f>(SUMIFS(mensalidades!$E:$E,mensalidades!$B:$B,resumo_mens!N$1,mensalidades!$D:$D,resumo_mens!$B54))</f>
        <v>0</v>
      </c>
      <c r="O54" s="25">
        <f t="shared" si="5"/>
        <v>100</v>
      </c>
    </row>
    <row r="55" spans="1:15">
      <c r="A55" s="1"/>
      <c r="B55" s="4" t="s">
        <v>101</v>
      </c>
      <c r="C55" s="30">
        <f>(SUMIFS(mensalidades!$E:$E,mensalidades!$B:$B,resumo_mens!C$1,mensalidades!$D:$D,resumo_mens!$B55))</f>
        <v>0</v>
      </c>
      <c r="D55" s="30">
        <f>(SUMIFS(mensalidades!$E:$E,mensalidades!$B:$B,resumo_mens!D$1,mensalidades!$D:$D,resumo_mens!$B55))</f>
        <v>0</v>
      </c>
      <c r="E55" s="30">
        <f>(SUMIFS(mensalidades!$E:$E,mensalidades!$B:$B,resumo_mens!E$1,mensalidades!$D:$D,resumo_mens!$B55))</f>
        <v>0</v>
      </c>
      <c r="F55" s="30">
        <f>(SUMIFS(mensalidades!$E:$E,mensalidades!$B:$B,resumo_mens!F$1,mensalidades!$D:$D,resumo_mens!$B55))</f>
        <v>0</v>
      </c>
      <c r="G55" s="30">
        <f>(SUMIFS(mensalidades!$E:$E,mensalidades!$B:$B,resumo_mens!G$1,mensalidades!$D:$D,resumo_mens!$B55))</f>
        <v>0</v>
      </c>
      <c r="H55" s="30">
        <f>(SUMIFS(mensalidades!$E:$E,mensalidades!$B:$B,resumo_mens!H$1,mensalidades!$D:$D,resumo_mens!$B55))</f>
        <v>0</v>
      </c>
      <c r="I55" s="30">
        <f>(SUMIFS(mensalidades!$E:$E,mensalidades!$B:$B,resumo_mens!I$1,mensalidades!$D:$D,resumo_mens!$B55))</f>
        <v>0</v>
      </c>
      <c r="J55" s="30">
        <f>(SUMIFS(mensalidades!$E:$E,mensalidades!$B:$B,resumo_mens!J$1,mensalidades!$D:$D,resumo_mens!$B55))</f>
        <v>0</v>
      </c>
      <c r="K55" s="30">
        <f>(SUMIFS(mensalidades!$E:$E,mensalidades!$B:$B,resumo_mens!K$1,mensalidades!$D:$D,resumo_mens!$B55))</f>
        <v>0</v>
      </c>
      <c r="L55" s="30">
        <f>(SUMIFS(mensalidades!$E:$E,mensalidades!$B:$B,resumo_mens!L$1,mensalidades!$D:$D,resumo_mens!$B55))</f>
        <v>0</v>
      </c>
      <c r="M55" s="30">
        <f>(SUMIFS(mensalidades!$E:$E,mensalidades!$B:$B,resumo_mens!M$1,mensalidades!$D:$D,resumo_mens!$B55))</f>
        <v>0</v>
      </c>
      <c r="N55" s="30">
        <f>(SUMIFS(mensalidades!$E:$E,mensalidades!$B:$B,resumo_mens!N$1,mensalidades!$D:$D,resumo_mens!$B55))</f>
        <v>0</v>
      </c>
      <c r="O55" s="25">
        <f t="shared" si="5"/>
        <v>0</v>
      </c>
    </row>
    <row r="56" spans="1:15">
      <c r="A56" s="33"/>
      <c r="B56" s="4" t="s">
        <v>23</v>
      </c>
      <c r="C56" s="30">
        <f>(SUMIFS(mensalidades!$E:$E,mensalidades!$B:$B,resumo_mens!C$1,mensalidades!$D:$D,resumo_mens!$B56))</f>
        <v>100</v>
      </c>
      <c r="D56" s="30">
        <f>(SUMIFS(mensalidades!$E:$E,mensalidades!$B:$B,resumo_mens!D$1,mensalidades!$D:$D,resumo_mens!$B56))</f>
        <v>100</v>
      </c>
      <c r="E56" s="30">
        <f>(SUMIFS(mensalidades!$E:$E,mensalidades!$B:$B,resumo_mens!E$1,mensalidades!$D:$D,resumo_mens!$B56))</f>
        <v>100</v>
      </c>
      <c r="F56" s="30">
        <f>(SUMIFS(mensalidades!$E:$E,mensalidades!$B:$B,resumo_mens!F$1,mensalidades!$D:$D,resumo_mens!$B56))</f>
        <v>0</v>
      </c>
      <c r="G56" s="30">
        <f>(SUMIFS(mensalidades!$E:$E,mensalidades!$B:$B,resumo_mens!G$1,mensalidades!$D:$D,resumo_mens!$B56))</f>
        <v>100</v>
      </c>
      <c r="H56" s="30">
        <f>(SUMIFS(mensalidades!$E:$E,mensalidades!$B:$B,resumo_mens!H$1,mensalidades!$D:$D,resumo_mens!$B56))</f>
        <v>100</v>
      </c>
      <c r="I56" s="30">
        <f>(SUMIFS(mensalidades!$E:$E,mensalidades!$B:$B,resumo_mens!I$1,mensalidades!$D:$D,resumo_mens!$B56))</f>
        <v>100</v>
      </c>
      <c r="J56" s="30">
        <f>(SUMIFS(mensalidades!$E:$E,mensalidades!$B:$B,resumo_mens!J$1,mensalidades!$D:$D,resumo_mens!$B56))</f>
        <v>600</v>
      </c>
      <c r="K56" s="30">
        <f>(SUMIFS(mensalidades!$E:$E,mensalidades!$B:$B,resumo_mens!K$1,mensalidades!$D:$D,resumo_mens!$B56))</f>
        <v>0</v>
      </c>
      <c r="L56" s="30">
        <f>(SUMIFS(mensalidades!$E:$E,mensalidades!$B:$B,resumo_mens!L$1,mensalidades!$D:$D,resumo_mens!$B56))</f>
        <v>0</v>
      </c>
      <c r="M56" s="30">
        <f>(SUMIFS(mensalidades!$E:$E,mensalidades!$B:$B,resumo_mens!M$1,mensalidades!$D:$D,resumo_mens!$B56))</f>
        <v>0</v>
      </c>
      <c r="N56" s="30">
        <f>(SUMIFS(mensalidades!$E:$E,mensalidades!$B:$B,resumo_mens!N$1,mensalidades!$D:$D,resumo_mens!$B56))</f>
        <v>0</v>
      </c>
      <c r="O56" s="25">
        <f t="shared" si="5"/>
        <v>1200</v>
      </c>
    </row>
    <row r="57" spans="1:15" hidden="1">
      <c r="A57" s="134" t="s">
        <v>29</v>
      </c>
      <c r="B57" s="4" t="s">
        <v>96</v>
      </c>
      <c r="C57" s="30">
        <f>(SUMIFS(mensalidades!$E:$E,mensalidades!$B:$B,resumo_mens!C$1,mensalidades!$D:$D,resumo_mens!$B57))</f>
        <v>0</v>
      </c>
      <c r="D57" s="30">
        <f>(SUMIFS(mensalidades!$E:$E,mensalidades!$B:$B,resumo_mens!D$1,mensalidades!$D:$D,resumo_mens!$B57))</f>
        <v>100</v>
      </c>
      <c r="E57" s="30">
        <f>(SUMIFS(mensalidades!$E:$E,mensalidades!$B:$B,resumo_mens!E$1,mensalidades!$D:$D,resumo_mens!$B57))</f>
        <v>0</v>
      </c>
      <c r="F57" s="30">
        <f>(SUMIFS(mensalidades!$E:$E,mensalidades!$B:$B,resumo_mens!F$1,mensalidades!$D:$D,resumo_mens!$B57))</f>
        <v>0</v>
      </c>
      <c r="G57" s="30">
        <f>(SUMIFS(mensalidades!$E:$E,mensalidades!$B:$B,resumo_mens!G$1,mensalidades!$D:$D,resumo_mens!$B57))</f>
        <v>0</v>
      </c>
      <c r="H57" s="30">
        <f>(SUMIFS(mensalidades!$E:$E,mensalidades!$B:$B,resumo_mens!H$1,mensalidades!$D:$D,resumo_mens!$B57))</f>
        <v>0</v>
      </c>
      <c r="I57" s="30">
        <f>(SUMIFS(mensalidades!$E:$E,mensalidades!$B:$B,resumo_mens!I$1,mensalidades!$D:$D,resumo_mens!$B57))</f>
        <v>0</v>
      </c>
      <c r="J57" s="30">
        <f>(SUMIFS(mensalidades!$E:$E,mensalidades!$B:$B,resumo_mens!J$1,mensalidades!$D:$D,resumo_mens!$B57))</f>
        <v>0</v>
      </c>
      <c r="K57" s="30">
        <f>(SUMIFS(mensalidades!$E:$E,mensalidades!$B:$B,resumo_mens!K$1,mensalidades!$D:$D,resumo_mens!$B57))</f>
        <v>0</v>
      </c>
      <c r="L57" s="30">
        <f>(SUMIFS(mensalidades!$E:$E,mensalidades!$B:$B,resumo_mens!L$1,mensalidades!$D:$D,resumo_mens!$B57))</f>
        <v>0</v>
      </c>
      <c r="M57" s="30">
        <f>(SUMIFS(mensalidades!$E:$E,mensalidades!$B:$B,resumo_mens!M$1,mensalidades!$D:$D,resumo_mens!$B57))</f>
        <v>0</v>
      </c>
      <c r="N57" s="30">
        <f>(SUMIFS(mensalidades!$E:$E,mensalidades!$B:$B,resumo_mens!N$1,mensalidades!$D:$D,resumo_mens!$B57))</f>
        <v>0</v>
      </c>
      <c r="O57" s="25">
        <f t="shared" si="5"/>
        <v>100</v>
      </c>
    </row>
    <row r="58" spans="1:15">
      <c r="A58" s="33"/>
      <c r="B58" s="4" t="s">
        <v>24</v>
      </c>
      <c r="C58" s="30">
        <f>(SUMIFS(mensalidades!$E:$E,mensalidades!$B:$B,resumo_mens!C$1,mensalidades!$D:$D,resumo_mens!$B58))</f>
        <v>0</v>
      </c>
      <c r="D58" s="30">
        <f>(SUMIFS(mensalidades!$E:$E,mensalidades!$B:$B,resumo_mens!D$1,mensalidades!$D:$D,resumo_mens!$B58))</f>
        <v>100</v>
      </c>
      <c r="E58" s="30">
        <f>(SUMIFS(mensalidades!$E:$E,mensalidades!$B:$B,resumo_mens!E$1,mensalidades!$D:$D,resumo_mens!$B58))</f>
        <v>100</v>
      </c>
      <c r="F58" s="30">
        <f>(SUMIFS(mensalidades!$E:$E,mensalidades!$B:$B,resumo_mens!F$1,mensalidades!$D:$D,resumo_mens!$B58))</f>
        <v>100</v>
      </c>
      <c r="G58" s="30">
        <f>(SUMIFS(mensalidades!$E:$E,mensalidades!$B:$B,resumo_mens!G$1,mensalidades!$D:$D,resumo_mens!$B58))</f>
        <v>100</v>
      </c>
      <c r="H58" s="30">
        <f>(SUMIFS(mensalidades!$E:$E,mensalidades!$B:$B,resumo_mens!H$1,mensalidades!$D:$D,resumo_mens!$B58))</f>
        <v>100</v>
      </c>
      <c r="I58" s="30">
        <f>(SUMIFS(mensalidades!$E:$E,mensalidades!$B:$B,resumo_mens!I$1,mensalidades!$D:$D,resumo_mens!$B58))</f>
        <v>50</v>
      </c>
      <c r="J58" s="30">
        <f>(SUMIFS(mensalidades!$E:$E,mensalidades!$B:$B,resumo_mens!J$1,mensalidades!$D:$D,resumo_mens!$B58))</f>
        <v>0</v>
      </c>
      <c r="K58" s="30">
        <f>(SUMIFS(mensalidades!$E:$E,mensalidades!$B:$B,resumo_mens!K$1,mensalidades!$D:$D,resumo_mens!$B58))</f>
        <v>0</v>
      </c>
      <c r="L58" s="30">
        <f>(SUMIFS(mensalidades!$E:$E,mensalidades!$B:$B,resumo_mens!L$1,mensalidades!$D:$D,resumo_mens!$B58))</f>
        <v>0</v>
      </c>
      <c r="M58" s="30">
        <f>(SUMIFS(mensalidades!$E:$E,mensalidades!$B:$B,resumo_mens!M$1,mensalidades!$D:$D,resumo_mens!$B58))</f>
        <v>0</v>
      </c>
      <c r="N58" s="30">
        <f>(SUMIFS(mensalidades!$E:$E,mensalidades!$B:$B,resumo_mens!N$1,mensalidades!$D:$D,resumo_mens!$B58))</f>
        <v>0</v>
      </c>
      <c r="O58" s="25">
        <f t="shared" si="5"/>
        <v>550</v>
      </c>
    </row>
    <row r="59" spans="1:15">
      <c r="A59" s="33"/>
      <c r="B59" s="4" t="s">
        <v>87</v>
      </c>
      <c r="C59" s="30">
        <f>(SUMIFS(mensalidades!$E:$E,mensalidades!$B:$B,resumo_mens!C$1,mensalidades!$D:$D,resumo_mens!$B59))</f>
        <v>0</v>
      </c>
      <c r="D59" s="30">
        <f>(SUMIFS(mensalidades!$E:$E,mensalidades!$B:$B,resumo_mens!D$1,mensalidades!$D:$D,resumo_mens!$B59))</f>
        <v>100</v>
      </c>
      <c r="E59" s="30">
        <f>(SUMIFS(mensalidades!$E:$E,mensalidades!$B:$B,resumo_mens!E$1,mensalidades!$D:$D,resumo_mens!$B59))</f>
        <v>0</v>
      </c>
      <c r="F59" s="30">
        <f>(SUMIFS(mensalidades!$E:$E,mensalidades!$B:$B,resumo_mens!F$1,mensalidades!$D:$D,resumo_mens!$B59))</f>
        <v>100</v>
      </c>
      <c r="G59" s="30">
        <f>(SUMIFS(mensalidades!$E:$E,mensalidades!$B:$B,resumo_mens!G$1,mensalidades!$D:$D,resumo_mens!$B59))</f>
        <v>100</v>
      </c>
      <c r="H59" s="30">
        <f>(SUMIFS(mensalidades!$E:$E,mensalidades!$B:$B,resumo_mens!H$1,mensalidades!$D:$D,resumo_mens!$B59))</f>
        <v>100</v>
      </c>
      <c r="I59" s="30">
        <f>(SUMIFS(mensalidades!$E:$E,mensalidades!$B:$B,resumo_mens!I$1,mensalidades!$D:$D,resumo_mens!$B59))</f>
        <v>100</v>
      </c>
      <c r="J59" s="30">
        <f>(SUMIFS(mensalidades!$E:$E,mensalidades!$B:$B,resumo_mens!J$1,mensalidades!$D:$D,resumo_mens!$B59))</f>
        <v>100</v>
      </c>
      <c r="K59" s="30">
        <f>(SUMIFS(mensalidades!$E:$E,mensalidades!$B:$B,resumo_mens!K$1,mensalidades!$D:$D,resumo_mens!$B59))</f>
        <v>0</v>
      </c>
      <c r="L59" s="30">
        <f>(SUMIFS(mensalidades!$E:$E,mensalidades!$B:$B,resumo_mens!L$1,mensalidades!$D:$D,resumo_mens!$B59))</f>
        <v>0</v>
      </c>
      <c r="M59" s="30">
        <f>(SUMIFS(mensalidades!$E:$E,mensalidades!$B:$B,resumo_mens!M$1,mensalidades!$D:$D,resumo_mens!$B59))</f>
        <v>0</v>
      </c>
      <c r="N59" s="30">
        <f>(SUMIFS(mensalidades!$E:$E,mensalidades!$B:$B,resumo_mens!N$1,mensalidades!$D:$D,resumo_mens!$B59))</f>
        <v>0</v>
      </c>
      <c r="O59" s="25">
        <f t="shared" si="5"/>
        <v>600</v>
      </c>
    </row>
    <row r="60" spans="1:15">
      <c r="A60" s="33"/>
      <c r="B60" s="4" t="s">
        <v>440</v>
      </c>
      <c r="C60" s="30">
        <f>(SUMIFS(mensalidades!$E:$E,mensalidades!$B:$B,resumo_mens!C$1,mensalidades!$D:$D,resumo_mens!$B60))</f>
        <v>0</v>
      </c>
      <c r="D60" s="30">
        <f>(SUMIFS(mensalidades!$E:$E,mensalidades!$B:$B,resumo_mens!D$1,mensalidades!$D:$D,resumo_mens!$B60))</f>
        <v>100</v>
      </c>
      <c r="E60" s="30">
        <f>(SUMIFS(mensalidades!$E:$E,mensalidades!$B:$B,resumo_mens!E$1,mensalidades!$D:$D,resumo_mens!$B60))</f>
        <v>100</v>
      </c>
      <c r="F60" s="30">
        <f>(SUMIFS(mensalidades!$E:$E,mensalidades!$B:$B,resumo_mens!F$1,mensalidades!$D:$D,resumo_mens!$B60))</f>
        <v>100</v>
      </c>
      <c r="G60" s="30">
        <f>(SUMIFS(mensalidades!$E:$E,mensalidades!$B:$B,resumo_mens!G$1,mensalidades!$D:$D,resumo_mens!$B60))</f>
        <v>100</v>
      </c>
      <c r="H60" s="30">
        <f>(SUMIFS(mensalidades!$E:$E,mensalidades!$B:$B,resumo_mens!H$1,mensalidades!$D:$D,resumo_mens!$B60))</f>
        <v>100</v>
      </c>
      <c r="I60" s="30">
        <f>(SUMIFS(mensalidades!$E:$E,mensalidades!$B:$B,resumo_mens!I$1,mensalidades!$D:$D,resumo_mens!$B60))</f>
        <v>100</v>
      </c>
      <c r="J60" s="30">
        <f>(SUMIFS(mensalidades!$E:$E,mensalidades!$B:$B,resumo_mens!J$1,mensalidades!$D:$D,resumo_mens!$B60))</f>
        <v>100</v>
      </c>
      <c r="K60" s="30">
        <f>(SUMIFS(mensalidades!$E:$E,mensalidades!$B:$B,resumo_mens!K$1,mensalidades!$D:$D,resumo_mens!$B60))</f>
        <v>0</v>
      </c>
      <c r="L60" s="30">
        <f>(SUMIFS(mensalidades!$E:$E,mensalidades!$B:$B,resumo_mens!L$1,mensalidades!$D:$D,resumo_mens!$B60))</f>
        <v>0</v>
      </c>
      <c r="M60" s="30">
        <f>(SUMIFS(mensalidades!$E:$E,mensalidades!$B:$B,resumo_mens!M$1,mensalidades!$D:$D,resumo_mens!$B60))</f>
        <v>0</v>
      </c>
      <c r="N60" s="30">
        <f>(SUMIFS(mensalidades!$E:$E,mensalidades!$B:$B,resumo_mens!N$1,mensalidades!$D:$D,resumo_mens!$B60))</f>
        <v>0</v>
      </c>
      <c r="O60" s="25">
        <f t="shared" si="5"/>
        <v>700</v>
      </c>
    </row>
    <row r="61" spans="1:15" hidden="1">
      <c r="A61" s="134" t="s">
        <v>127</v>
      </c>
      <c r="B61" s="4" t="s">
        <v>25</v>
      </c>
      <c r="C61" s="30">
        <f>(SUMIFS(mensalidades!$E:$E,mensalidades!$B:$B,resumo_mens!C$1,mensalidades!$D:$D,resumo_mens!$B61))</f>
        <v>0</v>
      </c>
      <c r="D61" s="30">
        <f>(SUMIFS(mensalidades!$E:$E,mensalidades!$B:$B,resumo_mens!D$1,mensalidades!$D:$D,resumo_mens!$B61))</f>
        <v>0</v>
      </c>
      <c r="E61" s="30">
        <f>(SUMIFS(mensalidades!$E:$E,mensalidades!$B:$B,resumo_mens!E$1,mensalidades!$D:$D,resumo_mens!$B61))</f>
        <v>0</v>
      </c>
      <c r="F61" s="30">
        <f>(SUMIFS(mensalidades!$E:$E,mensalidades!$B:$B,resumo_mens!F$1,mensalidades!$D:$D,resumo_mens!$B61))</f>
        <v>0</v>
      </c>
      <c r="G61" s="30">
        <f>(SUMIFS(mensalidades!$E:$E,mensalidades!$B:$B,resumo_mens!G$1,mensalidades!$D:$D,resumo_mens!$B61))</f>
        <v>0</v>
      </c>
      <c r="H61" s="30">
        <f>(SUMIFS(mensalidades!$E:$E,mensalidades!$B:$B,resumo_mens!H$1,mensalidades!$D:$D,resumo_mens!$B61))</f>
        <v>0</v>
      </c>
      <c r="I61" s="30">
        <f>(SUMIFS(mensalidades!$E:$E,mensalidades!$B:$B,resumo_mens!I$1,mensalidades!$D:$D,resumo_mens!$B61))</f>
        <v>0</v>
      </c>
      <c r="J61" s="30">
        <f>(SUMIFS(mensalidades!$E:$E,mensalidades!$B:$B,resumo_mens!J$1,mensalidades!$D:$D,resumo_mens!$B61))</f>
        <v>0</v>
      </c>
      <c r="K61" s="30">
        <f>(SUMIFS(mensalidades!$E:$E,mensalidades!$B:$B,resumo_mens!K$1,mensalidades!$D:$D,resumo_mens!$B61))</f>
        <v>0</v>
      </c>
      <c r="L61" s="30">
        <f>(SUMIFS(mensalidades!$E:$E,mensalidades!$B:$B,resumo_mens!L$1,mensalidades!$D:$D,resumo_mens!$B61))</f>
        <v>0</v>
      </c>
      <c r="M61" s="30">
        <f>(SUMIFS(mensalidades!$E:$E,mensalidades!$B:$B,resumo_mens!M$1,mensalidades!$D:$D,resumo_mens!$B61))</f>
        <v>0</v>
      </c>
      <c r="N61" s="30">
        <f>(SUMIFS(mensalidades!$E:$E,mensalidades!$B:$B,resumo_mens!N$1,mensalidades!$D:$D,resumo_mens!$B61))</f>
        <v>0</v>
      </c>
      <c r="O61" s="25">
        <f t="shared" si="5"/>
        <v>0</v>
      </c>
    </row>
    <row r="62" spans="1:15">
      <c r="A62" s="33"/>
      <c r="B62" s="4" t="s">
        <v>88</v>
      </c>
      <c r="C62" s="30">
        <f>(SUMIFS(mensalidades!$E:$E,mensalidades!$B:$B,resumo_mens!C$1,mensalidades!$D:$D,resumo_mens!$B62))</f>
        <v>0</v>
      </c>
      <c r="D62" s="30">
        <f>(SUMIFS(mensalidades!$E:$E,mensalidades!$B:$B,resumo_mens!D$1,mensalidades!$D:$D,resumo_mens!$B62))</f>
        <v>200</v>
      </c>
      <c r="E62" s="30">
        <f>(SUMIFS(mensalidades!$E:$E,mensalidades!$B:$B,resumo_mens!E$1,mensalidades!$D:$D,resumo_mens!$B62))</f>
        <v>100</v>
      </c>
      <c r="F62" s="30">
        <f>(SUMIFS(mensalidades!$E:$E,mensalidades!$B:$B,resumo_mens!F$1,mensalidades!$D:$D,resumo_mens!$B62))</f>
        <v>100</v>
      </c>
      <c r="G62" s="30">
        <f>(SUMIFS(mensalidades!$E:$E,mensalidades!$B:$B,resumo_mens!G$1,mensalidades!$D:$D,resumo_mens!$B62))</f>
        <v>100</v>
      </c>
      <c r="H62" s="30">
        <f>(SUMIFS(mensalidades!$E:$E,mensalidades!$B:$B,resumo_mens!H$1,mensalidades!$D:$D,resumo_mens!$B62))</f>
        <v>100</v>
      </c>
      <c r="I62" s="30">
        <f>(SUMIFS(mensalidades!$E:$E,mensalidades!$B:$B,resumo_mens!I$1,mensalidades!$D:$D,resumo_mens!$B62))</f>
        <v>0</v>
      </c>
      <c r="J62" s="30">
        <f>(SUMIFS(mensalidades!$E:$E,mensalidades!$B:$B,resumo_mens!J$1,mensalidades!$D:$D,resumo_mens!$B62))</f>
        <v>0</v>
      </c>
      <c r="K62" s="30">
        <f>(SUMIFS(mensalidades!$E:$E,mensalidades!$B:$B,resumo_mens!K$1,mensalidades!$D:$D,resumo_mens!$B62))</f>
        <v>0</v>
      </c>
      <c r="L62" s="30">
        <f>(SUMIFS(mensalidades!$E:$E,mensalidades!$B:$B,resumo_mens!L$1,mensalidades!$D:$D,resumo_mens!$B62))</f>
        <v>0</v>
      </c>
      <c r="M62" s="30">
        <f>(SUMIFS(mensalidades!$E:$E,mensalidades!$B:$B,resumo_mens!M$1,mensalidades!$D:$D,resumo_mens!$B62))</f>
        <v>0</v>
      </c>
      <c r="N62" s="30">
        <f>(SUMIFS(mensalidades!$E:$E,mensalidades!$B:$B,resumo_mens!N$1,mensalidades!$D:$D,resumo_mens!$B62))</f>
        <v>0</v>
      </c>
      <c r="O62" s="25">
        <f t="shared" si="5"/>
        <v>600</v>
      </c>
    </row>
    <row r="63" spans="1:15">
      <c r="A63" s="33"/>
      <c r="B63" s="4" t="s">
        <v>121</v>
      </c>
      <c r="C63" s="30">
        <f>(SUMIFS(mensalidades!$E:$E,mensalidades!$B:$B,resumo_mens!C$1,mensalidades!$D:$D,resumo_mens!$B63))</f>
        <v>0</v>
      </c>
      <c r="D63" s="30">
        <f>(SUMIFS(mensalidades!$E:$E,mensalidades!$B:$B,resumo_mens!D$1,mensalidades!$D:$D,resumo_mens!$B63))</f>
        <v>100</v>
      </c>
      <c r="E63" s="30">
        <f>(SUMIFS(mensalidades!$E:$E,mensalidades!$B:$B,resumo_mens!E$1,mensalidades!$D:$D,resumo_mens!$B63))</f>
        <v>100</v>
      </c>
      <c r="F63" s="30">
        <f>(SUMIFS(mensalidades!$E:$E,mensalidades!$B:$B,resumo_mens!F$1,mensalidades!$D:$D,resumo_mens!$B63))</f>
        <v>100</v>
      </c>
      <c r="G63" s="30">
        <f>(SUMIFS(mensalidades!$E:$E,mensalidades!$B:$B,resumo_mens!G$1,mensalidades!$D:$D,resumo_mens!$B63))</f>
        <v>100</v>
      </c>
      <c r="H63" s="30">
        <f>(SUMIFS(mensalidades!$E:$E,mensalidades!$B:$B,resumo_mens!H$1,mensalidades!$D:$D,resumo_mens!$B63))</f>
        <v>100</v>
      </c>
      <c r="I63" s="30">
        <f>(SUMIFS(mensalidades!$E:$E,mensalidades!$B:$B,resumo_mens!I$1,mensalidades!$D:$D,resumo_mens!$B63))</f>
        <v>100</v>
      </c>
      <c r="J63" s="30">
        <f>(SUMIFS(mensalidades!$E:$E,mensalidades!$B:$B,resumo_mens!J$1,mensalidades!$D:$D,resumo_mens!$B63))</f>
        <v>0</v>
      </c>
      <c r="K63" s="30">
        <f>(SUMIFS(mensalidades!$E:$E,mensalidades!$B:$B,resumo_mens!K$1,mensalidades!$D:$D,resumo_mens!$B63))</f>
        <v>0</v>
      </c>
      <c r="L63" s="30">
        <f>(SUMIFS(mensalidades!$E:$E,mensalidades!$B:$B,resumo_mens!L$1,mensalidades!$D:$D,resumo_mens!$B63))</f>
        <v>0</v>
      </c>
      <c r="M63" s="30">
        <f>(SUMIFS(mensalidades!$E:$E,mensalidades!$B:$B,resumo_mens!M$1,mensalidades!$D:$D,resumo_mens!$B63))</f>
        <v>0</v>
      </c>
      <c r="N63" s="30">
        <f>(SUMIFS(mensalidades!$E:$E,mensalidades!$B:$B,resumo_mens!N$1,mensalidades!$D:$D,resumo_mens!$B63))</f>
        <v>0</v>
      </c>
      <c r="O63" s="25">
        <f t="shared" si="5"/>
        <v>600</v>
      </c>
    </row>
    <row r="64" spans="1:15">
      <c r="A64" s="33"/>
      <c r="B64" s="4" t="s">
        <v>517</v>
      </c>
      <c r="C64" s="30">
        <f>(SUMIFS(mensalidades!$E:$E,mensalidades!$B:$B,resumo_mens!C$1,mensalidades!$D:$D,resumo_mens!$B64))</f>
        <v>0</v>
      </c>
      <c r="D64" s="30">
        <f>(SUMIFS(mensalidades!$E:$E,mensalidades!$B:$B,resumo_mens!D$1,mensalidades!$D:$D,resumo_mens!$B64))</f>
        <v>0</v>
      </c>
      <c r="E64" s="30">
        <f>(SUMIFS(mensalidades!$E:$E,mensalidades!$B:$B,resumo_mens!E$1,mensalidades!$D:$D,resumo_mens!$B64))</f>
        <v>0</v>
      </c>
      <c r="F64" s="30">
        <f>(SUMIFS(mensalidades!$E:$E,mensalidades!$B:$B,resumo_mens!F$1,mensalidades!$D:$D,resumo_mens!$B64))</f>
        <v>100</v>
      </c>
      <c r="G64" s="30">
        <f>(SUMIFS(mensalidades!$E:$E,mensalidades!$B:$B,resumo_mens!G$1,mensalidades!$D:$D,resumo_mens!$B64))</f>
        <v>100</v>
      </c>
      <c r="H64" s="30">
        <f>(SUMIFS(mensalidades!$E:$E,mensalidades!$B:$B,resumo_mens!H$1,mensalidades!$D:$D,resumo_mens!$B64))</f>
        <v>100</v>
      </c>
      <c r="I64" s="30">
        <f>(SUMIFS(mensalidades!$E:$E,mensalidades!$B:$B,resumo_mens!I$1,mensalidades!$D:$D,resumo_mens!$B64))</f>
        <v>100</v>
      </c>
      <c r="J64" s="30">
        <f>(SUMIFS(mensalidades!$E:$E,mensalidades!$B:$B,resumo_mens!J$1,mensalidades!$D:$D,resumo_mens!$B64))</f>
        <v>100</v>
      </c>
      <c r="K64" s="30">
        <f>(SUMIFS(mensalidades!$E:$E,mensalidades!$B:$B,resumo_mens!K$1,mensalidades!$D:$D,resumo_mens!$B64))</f>
        <v>0</v>
      </c>
      <c r="L64" s="30">
        <f>(SUMIFS(mensalidades!$E:$E,mensalidades!$B:$B,resumo_mens!L$1,mensalidades!$D:$D,resumo_mens!$B64))</f>
        <v>0</v>
      </c>
      <c r="M64" s="30">
        <f>(SUMIFS(mensalidades!$E:$E,mensalidades!$B:$B,resumo_mens!M$1,mensalidades!$D:$D,resumo_mens!$B64))</f>
        <v>0</v>
      </c>
      <c r="N64" s="30">
        <f>(SUMIFS(mensalidades!$E:$E,mensalidades!$B:$B,resumo_mens!N$1,mensalidades!$D:$D,resumo_mens!$B64))</f>
        <v>0</v>
      </c>
      <c r="O64" s="25">
        <f t="shared" si="5"/>
        <v>500</v>
      </c>
    </row>
    <row r="65" spans="1:15" hidden="1">
      <c r="A65" s="134" t="s">
        <v>127</v>
      </c>
      <c r="B65" s="4" t="s">
        <v>133</v>
      </c>
      <c r="C65" s="30">
        <f>(SUMIFS(mensalidades!$E:$E,mensalidades!$B:$B,resumo_mens!C$1,mensalidades!$D:$D,resumo_mens!$B65))</f>
        <v>0</v>
      </c>
      <c r="D65" s="30">
        <f>(SUMIFS(mensalidades!$E:$E,mensalidades!$B:$B,resumo_mens!D$1,mensalidades!$D:$D,resumo_mens!$B65))</f>
        <v>0</v>
      </c>
      <c r="E65" s="30">
        <f>(SUMIFS(mensalidades!$E:$E,mensalidades!$B:$B,resumo_mens!E$1,mensalidades!$D:$D,resumo_mens!$B65))</f>
        <v>0</v>
      </c>
      <c r="F65" s="30">
        <f>(SUMIFS(mensalidades!$E:$E,mensalidades!$B:$B,resumo_mens!F$1,mensalidades!$D:$D,resumo_mens!$B65))</f>
        <v>0</v>
      </c>
      <c r="G65" s="30">
        <f>(SUMIFS(mensalidades!$E:$E,mensalidades!$B:$B,resumo_mens!G$1,mensalidades!$D:$D,resumo_mens!$B65))</f>
        <v>0</v>
      </c>
      <c r="H65" s="30">
        <f>(SUMIFS(mensalidades!$E:$E,mensalidades!$B:$B,resumo_mens!H$1,mensalidades!$D:$D,resumo_mens!$B65))</f>
        <v>0</v>
      </c>
      <c r="I65" s="30">
        <f>(SUMIFS(mensalidades!$E:$E,mensalidades!$B:$B,resumo_mens!I$1,mensalidades!$D:$D,resumo_mens!$B65))</f>
        <v>0</v>
      </c>
      <c r="J65" s="30">
        <f>(SUMIFS(mensalidades!$E:$E,mensalidades!$B:$B,resumo_mens!J$1,mensalidades!$D:$D,resumo_mens!$B65))</f>
        <v>0</v>
      </c>
      <c r="K65" s="30">
        <f>(SUMIFS(mensalidades!$E:$E,mensalidades!$B:$B,resumo_mens!K$1,mensalidades!$D:$D,resumo_mens!$B65))</f>
        <v>0</v>
      </c>
      <c r="L65" s="30">
        <f>(SUMIFS(mensalidades!$E:$E,mensalidades!$B:$B,resumo_mens!L$1,mensalidades!$D:$D,resumo_mens!$B65))</f>
        <v>0</v>
      </c>
      <c r="M65" s="30">
        <f>(SUMIFS(mensalidades!$E:$E,mensalidades!$B:$B,resumo_mens!M$1,mensalidades!$D:$D,resumo_mens!$B65))</f>
        <v>0</v>
      </c>
      <c r="N65" s="30">
        <f>(SUMIFS(mensalidades!$E:$E,mensalidades!$B:$B,resumo_mens!N$1,mensalidades!$D:$D,resumo_mens!$B65))</f>
        <v>0</v>
      </c>
      <c r="O65" s="25">
        <f t="shared" si="5"/>
        <v>0</v>
      </c>
    </row>
    <row r="66" spans="1:15">
      <c r="D66"/>
    </row>
    <row r="67" spans="1:15">
      <c r="D67"/>
      <c r="M67" s="14"/>
    </row>
    <row r="68" spans="1:15">
      <c r="D68"/>
    </row>
    <row r="69" spans="1:15">
      <c r="D69"/>
      <c r="K69" s="14"/>
    </row>
    <row r="70" spans="1:15">
      <c r="D70"/>
    </row>
    <row r="71" spans="1:15">
      <c r="D71"/>
    </row>
    <row r="72" spans="1:15">
      <c r="D72"/>
    </row>
    <row r="73" spans="1:15">
      <c r="D73"/>
    </row>
    <row r="74" spans="1:15">
      <c r="D74"/>
    </row>
    <row r="75" spans="1:15">
      <c r="D75"/>
    </row>
    <row r="76" spans="1:15">
      <c r="D76"/>
    </row>
    <row r="77" spans="1:15">
      <c r="D77"/>
    </row>
    <row r="78" spans="1:15">
      <c r="D78"/>
    </row>
    <row r="79" spans="1:15">
      <c r="D79"/>
    </row>
    <row r="80" spans="1:15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</sheetData>
  <autoFilter ref="A14:O65">
    <filterColumn colId="0">
      <filters blank="1"/>
    </filterColumn>
  </autoFilter>
  <sortState ref="D82:D128">
    <sortCondition ref="D80"/>
  </sortState>
  <conditionalFormatting sqref="C15:N15 C43:N52 C56:N65 C17:N40">
    <cfRule type="cellIs" dxfId="11" priority="50" operator="lessThan">
      <formula>1</formula>
    </cfRule>
  </conditionalFormatting>
  <conditionalFormatting sqref="C11:O11">
    <cfRule type="cellIs" dxfId="10" priority="49" operator="lessThan">
      <formula>0</formula>
    </cfRule>
  </conditionalFormatting>
  <conditionalFormatting sqref="C25:I26 K25:N26 C35:I36 C47:I48 C60:I61 K35:N36 K47:N48 K60:N61">
    <cfRule type="cellIs" dxfId="9" priority="22" operator="lessThan">
      <formula>1</formula>
    </cfRule>
  </conditionalFormatting>
  <conditionalFormatting sqref="C21:N21 C31:N31 C43:N43 C56:N56">
    <cfRule type="cellIs" dxfId="8" priority="21" operator="lessThan">
      <formula>1</formula>
    </cfRule>
  </conditionalFormatting>
  <conditionalFormatting sqref="J25:J26 J35:J36 J47:J48 J60:J61">
    <cfRule type="cellIs" dxfId="7" priority="20" operator="lessThan">
      <formula>1</formula>
    </cfRule>
  </conditionalFormatting>
  <conditionalFormatting sqref="C24:N24 C34:N34 C46:N46 C59:N59">
    <cfRule type="cellIs" dxfId="6" priority="19" operator="lessThan">
      <formula>1</formula>
    </cfRule>
  </conditionalFormatting>
  <conditionalFormatting sqref="C41:N41">
    <cfRule type="cellIs" dxfId="5" priority="6" operator="lessThan">
      <formula>1</formula>
    </cfRule>
  </conditionalFormatting>
  <conditionalFormatting sqref="C42:N42">
    <cfRule type="cellIs" dxfId="4" priority="5" operator="lessThan">
      <formula>1</formula>
    </cfRule>
  </conditionalFormatting>
  <conditionalFormatting sqref="C53:N53">
    <cfRule type="cellIs" dxfId="3" priority="4" operator="lessThan">
      <formula>1</formula>
    </cfRule>
  </conditionalFormatting>
  <conditionalFormatting sqref="C54:N54">
    <cfRule type="cellIs" dxfId="2" priority="3" operator="lessThan">
      <formula>1</formula>
    </cfRule>
  </conditionalFormatting>
  <conditionalFormatting sqref="C55:N55">
    <cfRule type="cellIs" dxfId="1" priority="2" operator="lessThan">
      <formula>1</formula>
    </cfRule>
  </conditionalFormatting>
  <conditionalFormatting sqref="C16:N16">
    <cfRule type="cellIs" dxfId="0" priority="1" operator="lessThan">
      <formula>1</formula>
    </cfRule>
  </conditionalFormatting>
  <printOptions horizontalCentered="1"/>
  <pageMargins left="0.31496062992125984" right="0.31496062992125984" top="0.74803149606299213" bottom="0.35433070866141736" header="0.31496062992125984" footer="0.31496062992125984"/>
  <pageSetup paperSize="9" scale="82" orientation="landscape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67"/>
  <sheetViews>
    <sheetView showGridLines="0" workbookViewId="0">
      <pane ySplit="2" topLeftCell="A167" activePane="bottomLeft" state="frozen"/>
      <selection activeCell="M30" sqref="M30"/>
      <selection pane="bottomLeft" activeCell="D167" sqref="D167"/>
    </sheetView>
  </sheetViews>
  <sheetFormatPr defaultRowHeight="14.25"/>
  <cols>
    <col min="2" max="2" width="6.25" style="63" customWidth="1"/>
    <col min="3" max="3" width="9.875" style="63" customWidth="1"/>
    <col min="4" max="4" width="17.375" style="65" bestFit="1" customWidth="1"/>
    <col min="5" max="6" width="10.875" style="133" customWidth="1"/>
    <col min="7" max="7" width="8.75" style="133"/>
    <col min="8" max="8" width="1.75" style="67" customWidth="1"/>
    <col min="9" max="9" width="18.625" style="131" customWidth="1"/>
    <col min="10" max="12" width="9" style="67"/>
    <col min="13" max="13" width="12" style="67" bestFit="1" customWidth="1"/>
    <col min="14" max="14" width="2.375" style="67" customWidth="1"/>
    <col min="15" max="15" width="16.375" style="67" bestFit="1" customWidth="1"/>
    <col min="16" max="16" width="9.375" style="138" customWidth="1"/>
    <col min="17" max="16384" width="9" style="67"/>
  </cols>
  <sheetData>
    <row r="1" spans="2:16" customFormat="1">
      <c r="B1" s="63"/>
      <c r="C1" s="63"/>
      <c r="D1" s="63"/>
      <c r="E1" s="71"/>
      <c r="F1" s="71"/>
      <c r="G1" s="63"/>
      <c r="I1" s="68"/>
      <c r="P1" s="136"/>
    </row>
    <row r="2" spans="2:16" customFormat="1">
      <c r="B2" s="15" t="s">
        <v>29</v>
      </c>
      <c r="C2" s="15" t="s">
        <v>30</v>
      </c>
      <c r="D2" s="16" t="s">
        <v>36</v>
      </c>
      <c r="E2" s="16" t="s">
        <v>37</v>
      </c>
      <c r="F2" s="17" t="s">
        <v>38</v>
      </c>
      <c r="G2" s="16" t="s">
        <v>33</v>
      </c>
      <c r="I2" s="155" t="s">
        <v>541</v>
      </c>
      <c r="P2" s="136"/>
    </row>
    <row r="3" spans="2:16" customFormat="1">
      <c r="B3" s="62">
        <f t="shared" ref="B3:B34" si="0">MONTH(G3)</f>
        <v>1</v>
      </c>
      <c r="C3" s="62" t="s">
        <v>0</v>
      </c>
      <c r="D3" s="20" t="s">
        <v>117</v>
      </c>
      <c r="E3" s="5">
        <v>50</v>
      </c>
      <c r="F3" s="18" t="s">
        <v>39</v>
      </c>
      <c r="G3" s="18">
        <v>43466</v>
      </c>
      <c r="I3" s="68"/>
      <c r="P3" s="136"/>
    </row>
    <row r="4" spans="2:16" customFormat="1">
      <c r="B4" s="62">
        <f t="shared" si="0"/>
        <v>1</v>
      </c>
      <c r="C4" s="62" t="s">
        <v>0</v>
      </c>
      <c r="D4" s="20" t="s">
        <v>86</v>
      </c>
      <c r="E4" s="5">
        <v>100</v>
      </c>
      <c r="F4" s="18" t="s">
        <v>39</v>
      </c>
      <c r="G4" s="18">
        <v>43472</v>
      </c>
      <c r="I4" s="68"/>
      <c r="K4" t="s">
        <v>526</v>
      </c>
      <c r="M4" s="90">
        <v>2102</v>
      </c>
      <c r="O4" t="s">
        <v>527</v>
      </c>
      <c r="P4" s="137">
        <f>SUM(M4:M7)/100</f>
        <v>27.513999999999999</v>
      </c>
    </row>
    <row r="5" spans="2:16" customFormat="1">
      <c r="B5" s="62">
        <f t="shared" si="0"/>
        <v>1</v>
      </c>
      <c r="C5" s="62" t="s">
        <v>0</v>
      </c>
      <c r="D5" s="20" t="s">
        <v>78</v>
      </c>
      <c r="E5" s="5">
        <v>100</v>
      </c>
      <c r="F5" s="18" t="s">
        <v>40</v>
      </c>
      <c r="G5" s="18">
        <v>43475</v>
      </c>
      <c r="I5" s="68"/>
      <c r="M5" s="90">
        <v>202.4</v>
      </c>
      <c r="O5" t="s">
        <v>528</v>
      </c>
      <c r="P5" s="136">
        <v>15</v>
      </c>
    </row>
    <row r="6" spans="2:16" customFormat="1">
      <c r="B6" s="62">
        <f t="shared" si="0"/>
        <v>1</v>
      </c>
      <c r="C6" s="62" t="s">
        <v>0</v>
      </c>
      <c r="D6" s="20" t="s">
        <v>110</v>
      </c>
      <c r="E6" s="5">
        <v>100</v>
      </c>
      <c r="F6" s="18" t="s">
        <v>39</v>
      </c>
      <c r="G6" s="18">
        <v>43477</v>
      </c>
      <c r="I6" s="68"/>
      <c r="M6" s="90">
        <f>217+180</f>
        <v>397</v>
      </c>
      <c r="O6" s="85" t="s">
        <v>529</v>
      </c>
      <c r="P6" s="139"/>
    </row>
    <row r="7" spans="2:16" customFormat="1">
      <c r="B7" s="62">
        <f t="shared" si="0"/>
        <v>1</v>
      </c>
      <c r="C7" s="62" t="s">
        <v>0</v>
      </c>
      <c r="D7" s="20" t="s">
        <v>111</v>
      </c>
      <c r="E7" s="5">
        <v>100</v>
      </c>
      <c r="F7" s="18" t="s">
        <v>39</v>
      </c>
      <c r="G7" s="18">
        <v>43477</v>
      </c>
      <c r="I7" s="68"/>
      <c r="M7" s="90">
        <v>50</v>
      </c>
      <c r="O7" t="s">
        <v>173</v>
      </c>
      <c r="P7" s="136">
        <f>P4-P5</f>
        <v>12.513999999999999</v>
      </c>
    </row>
    <row r="8" spans="2:16" customFormat="1">
      <c r="B8" s="62">
        <f t="shared" si="0"/>
        <v>1</v>
      </c>
      <c r="C8" s="62" t="s">
        <v>0</v>
      </c>
      <c r="D8" s="20" t="s">
        <v>80</v>
      </c>
      <c r="E8" s="5">
        <v>100</v>
      </c>
      <c r="F8" s="18" t="s">
        <v>40</v>
      </c>
      <c r="G8" s="18">
        <v>43479</v>
      </c>
      <c r="I8" s="68"/>
      <c r="M8" s="90"/>
      <c r="O8" t="s">
        <v>545</v>
      </c>
      <c r="P8" s="136">
        <v>0</v>
      </c>
    </row>
    <row r="9" spans="2:16" customFormat="1">
      <c r="B9" s="62">
        <f t="shared" si="0"/>
        <v>1</v>
      </c>
      <c r="C9" s="62" t="s">
        <v>0</v>
      </c>
      <c r="D9" s="20" t="s">
        <v>82</v>
      </c>
      <c r="E9" s="5">
        <v>100</v>
      </c>
      <c r="F9" s="18" t="s">
        <v>40</v>
      </c>
      <c r="G9" s="18">
        <v>43479</v>
      </c>
      <c r="I9" s="68"/>
      <c r="M9" s="135">
        <f>SUM(M4:M7)/27.514</f>
        <v>100</v>
      </c>
      <c r="P9" s="136"/>
    </row>
    <row r="10" spans="2:16" customFormat="1">
      <c r="B10" s="62">
        <f t="shared" si="0"/>
        <v>1</v>
      </c>
      <c r="C10" s="62" t="s">
        <v>0</v>
      </c>
      <c r="D10" s="20" t="s">
        <v>23</v>
      </c>
      <c r="E10" s="5">
        <v>100</v>
      </c>
      <c r="F10" s="18" t="s">
        <v>39</v>
      </c>
      <c r="G10" s="18">
        <v>43485</v>
      </c>
      <c r="I10" s="68"/>
      <c r="P10" s="136"/>
    </row>
    <row r="11" spans="2:16" customFormat="1">
      <c r="B11" s="62">
        <f t="shared" si="0"/>
        <v>1</v>
      </c>
      <c r="C11" s="62" t="s">
        <v>0</v>
      </c>
      <c r="D11" s="20" t="s">
        <v>81</v>
      </c>
      <c r="E11" s="5">
        <v>100</v>
      </c>
      <c r="F11" s="18" t="s">
        <v>40</v>
      </c>
      <c r="G11" s="18">
        <v>43496</v>
      </c>
      <c r="I11" s="68"/>
      <c r="P11" s="136"/>
    </row>
    <row r="12" spans="2:16" customFormat="1">
      <c r="B12" s="62">
        <f t="shared" si="0"/>
        <v>1</v>
      </c>
      <c r="C12" s="62" t="s">
        <v>0</v>
      </c>
      <c r="D12" s="20" t="s">
        <v>19</v>
      </c>
      <c r="E12" s="5">
        <v>100</v>
      </c>
      <c r="F12" s="18" t="s">
        <v>40</v>
      </c>
      <c r="G12" s="18">
        <v>43496</v>
      </c>
      <c r="I12" s="68"/>
      <c r="P12" s="136"/>
    </row>
    <row r="13" spans="2:16" customFormat="1">
      <c r="B13" s="62">
        <f t="shared" si="0"/>
        <v>2</v>
      </c>
      <c r="C13" s="62" t="s">
        <v>1</v>
      </c>
      <c r="D13" s="20" t="s">
        <v>15</v>
      </c>
      <c r="E13" s="5">
        <v>100</v>
      </c>
      <c r="F13" s="18" t="s">
        <v>40</v>
      </c>
      <c r="G13" s="18">
        <v>43497</v>
      </c>
      <c r="I13" s="68"/>
      <c r="P13" s="136"/>
    </row>
    <row r="14" spans="2:16" customFormat="1">
      <c r="B14" s="62">
        <f t="shared" si="0"/>
        <v>2</v>
      </c>
      <c r="C14" s="62" t="s">
        <v>1</v>
      </c>
      <c r="D14" s="20" t="s">
        <v>99</v>
      </c>
      <c r="E14" s="5">
        <v>100</v>
      </c>
      <c r="F14" s="18" t="s">
        <v>128</v>
      </c>
      <c r="G14" s="18">
        <v>43501</v>
      </c>
      <c r="I14" s="68"/>
      <c r="P14" s="136"/>
    </row>
    <row r="15" spans="2:16" customFormat="1">
      <c r="B15" s="62">
        <f t="shared" si="0"/>
        <v>2</v>
      </c>
      <c r="C15" s="62" t="s">
        <v>1</v>
      </c>
      <c r="D15" s="20" t="s">
        <v>90</v>
      </c>
      <c r="E15" s="5">
        <v>100</v>
      </c>
      <c r="F15" s="18" t="s">
        <v>40</v>
      </c>
      <c r="G15" s="18">
        <v>43501</v>
      </c>
      <c r="I15" s="68"/>
      <c r="P15" s="136"/>
    </row>
    <row r="16" spans="2:16" customFormat="1">
      <c r="B16" s="62">
        <f t="shared" si="0"/>
        <v>2</v>
      </c>
      <c r="C16" s="62" t="s">
        <v>1</v>
      </c>
      <c r="D16" s="20" t="s">
        <v>91</v>
      </c>
      <c r="E16" s="5">
        <v>100</v>
      </c>
      <c r="F16" s="18" t="s">
        <v>40</v>
      </c>
      <c r="G16" s="18">
        <v>43501</v>
      </c>
      <c r="I16" s="68"/>
      <c r="P16" s="136"/>
    </row>
    <row r="17" spans="2:16" customFormat="1">
      <c r="B17" s="62">
        <f t="shared" si="0"/>
        <v>2</v>
      </c>
      <c r="C17" s="62" t="s">
        <v>1</v>
      </c>
      <c r="D17" s="20" t="s">
        <v>27</v>
      </c>
      <c r="E17" s="5">
        <v>100</v>
      </c>
      <c r="F17" s="18" t="s">
        <v>128</v>
      </c>
      <c r="G17" s="18">
        <v>43501</v>
      </c>
      <c r="I17" s="68"/>
      <c r="P17" s="136"/>
    </row>
    <row r="18" spans="2:16" customFormat="1">
      <c r="B18" s="62">
        <f t="shared" si="0"/>
        <v>2</v>
      </c>
      <c r="C18" s="62" t="s">
        <v>1</v>
      </c>
      <c r="D18" s="20" t="s">
        <v>97</v>
      </c>
      <c r="E18" s="5">
        <v>100</v>
      </c>
      <c r="F18" s="18" t="s">
        <v>118</v>
      </c>
      <c r="G18" s="18">
        <v>43501</v>
      </c>
      <c r="I18" s="68"/>
      <c r="P18" s="136"/>
    </row>
    <row r="19" spans="2:16" customFormat="1">
      <c r="B19" s="62">
        <f t="shared" si="0"/>
        <v>2</v>
      </c>
      <c r="C19" s="62" t="s">
        <v>1</v>
      </c>
      <c r="D19" s="20" t="s">
        <v>96</v>
      </c>
      <c r="E19" s="5">
        <v>100</v>
      </c>
      <c r="F19" s="18" t="s">
        <v>118</v>
      </c>
      <c r="G19" s="18">
        <v>43501</v>
      </c>
      <c r="I19" s="68"/>
      <c r="P19" s="136"/>
    </row>
    <row r="20" spans="2:16" customFormat="1">
      <c r="B20" s="62">
        <f t="shared" si="0"/>
        <v>2</v>
      </c>
      <c r="C20" s="62" t="s">
        <v>1</v>
      </c>
      <c r="D20" s="20" t="s">
        <v>88</v>
      </c>
      <c r="E20" s="5">
        <v>100</v>
      </c>
      <c r="F20" s="18" t="s">
        <v>128</v>
      </c>
      <c r="G20" s="18">
        <v>43501</v>
      </c>
      <c r="I20" s="68"/>
      <c r="P20" s="136"/>
    </row>
    <row r="21" spans="2:16" customFormat="1">
      <c r="B21" s="62">
        <f t="shared" si="0"/>
        <v>2</v>
      </c>
      <c r="C21" s="62" t="s">
        <v>1</v>
      </c>
      <c r="D21" s="20" t="s">
        <v>87</v>
      </c>
      <c r="E21" s="5">
        <v>100</v>
      </c>
      <c r="F21" s="18" t="s">
        <v>40</v>
      </c>
      <c r="G21" s="18">
        <v>43502</v>
      </c>
      <c r="I21" s="68"/>
      <c r="P21" s="136"/>
    </row>
    <row r="22" spans="2:16" customFormat="1">
      <c r="B22" s="62">
        <f t="shared" si="0"/>
        <v>2</v>
      </c>
      <c r="C22" s="62" t="s">
        <v>1</v>
      </c>
      <c r="D22" s="20" t="s">
        <v>440</v>
      </c>
      <c r="E22" s="5">
        <v>100</v>
      </c>
      <c r="F22" s="18" t="s">
        <v>40</v>
      </c>
      <c r="G22" s="18">
        <v>43504</v>
      </c>
      <c r="I22" s="68"/>
      <c r="P22" s="136"/>
    </row>
    <row r="23" spans="2:16" customFormat="1">
      <c r="B23" s="62">
        <f t="shared" si="0"/>
        <v>2</v>
      </c>
      <c r="C23" s="62" t="s">
        <v>1</v>
      </c>
      <c r="D23" s="20" t="s">
        <v>110</v>
      </c>
      <c r="E23" s="5">
        <v>100</v>
      </c>
      <c r="F23" s="18" t="s">
        <v>39</v>
      </c>
      <c r="G23" s="18">
        <v>43505</v>
      </c>
      <c r="I23" s="68"/>
      <c r="P23" s="136"/>
    </row>
    <row r="24" spans="2:16" customFormat="1">
      <c r="B24" s="62">
        <f t="shared" si="0"/>
        <v>2</v>
      </c>
      <c r="C24" s="62" t="s">
        <v>1</v>
      </c>
      <c r="D24" s="20" t="s">
        <v>99</v>
      </c>
      <c r="E24" s="5">
        <v>100</v>
      </c>
      <c r="F24" s="18" t="s">
        <v>39</v>
      </c>
      <c r="G24" s="18">
        <v>43505</v>
      </c>
      <c r="I24" s="68"/>
      <c r="P24" s="136"/>
    </row>
    <row r="25" spans="2:16" customFormat="1">
      <c r="B25" s="62">
        <f t="shared" si="0"/>
        <v>2</v>
      </c>
      <c r="C25" s="62" t="s">
        <v>1</v>
      </c>
      <c r="D25" s="20" t="s">
        <v>103</v>
      </c>
      <c r="E25" s="5">
        <v>80</v>
      </c>
      <c r="F25" s="18" t="s">
        <v>39</v>
      </c>
      <c r="G25" s="18">
        <v>43505</v>
      </c>
      <c r="I25" s="68"/>
      <c r="P25" s="136"/>
    </row>
    <row r="26" spans="2:16" customFormat="1">
      <c r="B26" s="62">
        <f t="shared" si="0"/>
        <v>2</v>
      </c>
      <c r="C26" s="62" t="s">
        <v>1</v>
      </c>
      <c r="D26" s="20" t="s">
        <v>27</v>
      </c>
      <c r="E26" s="5">
        <v>100</v>
      </c>
      <c r="F26" s="18" t="s">
        <v>39</v>
      </c>
      <c r="G26" s="18">
        <v>43505</v>
      </c>
      <c r="I26" s="68"/>
      <c r="P26" s="136"/>
    </row>
    <row r="27" spans="2:16" customFormat="1">
      <c r="B27" s="62">
        <f t="shared" si="0"/>
        <v>2</v>
      </c>
      <c r="C27" s="62" t="s">
        <v>1</v>
      </c>
      <c r="D27" s="20" t="s">
        <v>20</v>
      </c>
      <c r="E27" s="5">
        <v>100</v>
      </c>
      <c r="F27" s="18" t="s">
        <v>39</v>
      </c>
      <c r="G27" s="18">
        <v>43505</v>
      </c>
      <c r="I27" s="68"/>
      <c r="P27" s="136"/>
    </row>
    <row r="28" spans="2:16" customFormat="1">
      <c r="B28" s="62">
        <f t="shared" si="0"/>
        <v>2</v>
      </c>
      <c r="C28" s="62" t="s">
        <v>1</v>
      </c>
      <c r="D28" s="20" t="s">
        <v>78</v>
      </c>
      <c r="E28" s="5">
        <v>100</v>
      </c>
      <c r="F28" s="18" t="s">
        <v>39</v>
      </c>
      <c r="G28" s="18">
        <v>43505</v>
      </c>
      <c r="I28" s="68"/>
      <c r="P28" s="136"/>
    </row>
    <row r="29" spans="2:16" customFormat="1">
      <c r="B29" s="62">
        <f t="shared" si="0"/>
        <v>2</v>
      </c>
      <c r="C29" s="62" t="s">
        <v>1</v>
      </c>
      <c r="D29" s="20" t="s">
        <v>22</v>
      </c>
      <c r="E29" s="5">
        <v>100</v>
      </c>
      <c r="F29" s="18" t="s">
        <v>39</v>
      </c>
      <c r="G29" s="18">
        <v>43505</v>
      </c>
      <c r="I29" s="68"/>
      <c r="P29" s="136"/>
    </row>
    <row r="30" spans="2:16" customFormat="1">
      <c r="B30" s="62">
        <f t="shared" si="0"/>
        <v>2</v>
      </c>
      <c r="C30" s="62" t="s">
        <v>1</v>
      </c>
      <c r="D30" s="20" t="s">
        <v>92</v>
      </c>
      <c r="E30" s="5">
        <v>100</v>
      </c>
      <c r="F30" s="18" t="s">
        <v>39</v>
      </c>
      <c r="G30" s="18">
        <v>43505</v>
      </c>
      <c r="I30" s="68"/>
      <c r="P30" s="136"/>
    </row>
    <row r="31" spans="2:16" customFormat="1">
      <c r="B31" s="62">
        <f t="shared" si="0"/>
        <v>2</v>
      </c>
      <c r="C31" s="62" t="s">
        <v>1</v>
      </c>
      <c r="D31" s="20" t="s">
        <v>24</v>
      </c>
      <c r="E31" s="5">
        <v>100</v>
      </c>
      <c r="F31" s="18" t="s">
        <v>39</v>
      </c>
      <c r="G31" s="18">
        <v>43505</v>
      </c>
      <c r="I31" s="68"/>
      <c r="P31" s="136"/>
    </row>
    <row r="32" spans="2:16" customFormat="1">
      <c r="B32" s="62">
        <f t="shared" si="0"/>
        <v>2</v>
      </c>
      <c r="C32" s="62" t="s">
        <v>1</v>
      </c>
      <c r="D32" s="20" t="s">
        <v>88</v>
      </c>
      <c r="E32" s="5">
        <v>100</v>
      </c>
      <c r="F32" s="18" t="s">
        <v>39</v>
      </c>
      <c r="G32" s="18">
        <v>43505</v>
      </c>
      <c r="I32" s="68"/>
      <c r="P32" s="136"/>
    </row>
    <row r="33" spans="2:16" customFormat="1">
      <c r="B33" s="62">
        <f t="shared" si="0"/>
        <v>2</v>
      </c>
      <c r="C33" s="62" t="s">
        <v>1</v>
      </c>
      <c r="D33" s="20" t="s">
        <v>121</v>
      </c>
      <c r="E33" s="5">
        <v>100</v>
      </c>
      <c r="F33" s="18" t="s">
        <v>39</v>
      </c>
      <c r="G33" s="18">
        <v>43505</v>
      </c>
      <c r="I33" s="68"/>
      <c r="P33" s="136"/>
    </row>
    <row r="34" spans="2:16" customFormat="1">
      <c r="B34" s="62">
        <f t="shared" si="0"/>
        <v>2</v>
      </c>
      <c r="C34" s="62" t="s">
        <v>1</v>
      </c>
      <c r="D34" s="20" t="s">
        <v>125</v>
      </c>
      <c r="E34" s="5">
        <v>100</v>
      </c>
      <c r="F34" s="18" t="s">
        <v>128</v>
      </c>
      <c r="G34" s="18">
        <v>43514</v>
      </c>
      <c r="I34" s="68"/>
      <c r="P34" s="136"/>
    </row>
    <row r="35" spans="2:16" customFormat="1">
      <c r="B35" s="62">
        <f t="shared" ref="B35:B70" si="1">MONTH(G35)</f>
        <v>2</v>
      </c>
      <c r="C35" s="62" t="s">
        <v>1</v>
      </c>
      <c r="D35" s="20" t="s">
        <v>111</v>
      </c>
      <c r="E35" s="5">
        <v>100</v>
      </c>
      <c r="F35" s="18" t="s">
        <v>128</v>
      </c>
      <c r="G35" s="18">
        <v>43514</v>
      </c>
      <c r="I35" s="68"/>
      <c r="P35" s="136"/>
    </row>
    <row r="36" spans="2:16" customFormat="1">
      <c r="B36" s="62">
        <f t="shared" si="1"/>
        <v>2</v>
      </c>
      <c r="C36" s="62" t="s">
        <v>1</v>
      </c>
      <c r="D36" s="20" t="s">
        <v>16</v>
      </c>
      <c r="E36" s="5">
        <v>50</v>
      </c>
      <c r="F36" s="18" t="s">
        <v>39</v>
      </c>
      <c r="G36" s="18">
        <v>43519</v>
      </c>
      <c r="I36" s="68"/>
      <c r="P36" s="136"/>
    </row>
    <row r="37" spans="2:16" customFormat="1">
      <c r="B37" s="62">
        <f t="shared" si="1"/>
        <v>2</v>
      </c>
      <c r="C37" s="62" t="s">
        <v>1</v>
      </c>
      <c r="D37" s="20" t="s">
        <v>122</v>
      </c>
      <c r="E37" s="5">
        <v>100</v>
      </c>
      <c r="F37" s="18" t="s">
        <v>39</v>
      </c>
      <c r="G37" s="18">
        <v>43519</v>
      </c>
      <c r="I37" s="68"/>
      <c r="P37" s="136"/>
    </row>
    <row r="38" spans="2:16" customFormat="1">
      <c r="B38" s="62">
        <f t="shared" si="1"/>
        <v>2</v>
      </c>
      <c r="C38" s="62" t="s">
        <v>1</v>
      </c>
      <c r="D38" s="20" t="s">
        <v>86</v>
      </c>
      <c r="E38" s="5">
        <v>100</v>
      </c>
      <c r="F38" s="18" t="s">
        <v>39</v>
      </c>
      <c r="G38" s="18">
        <v>43519</v>
      </c>
      <c r="I38" s="68"/>
      <c r="P38" s="136"/>
    </row>
    <row r="39" spans="2:16" customFormat="1">
      <c r="B39" s="62">
        <f t="shared" si="1"/>
        <v>2</v>
      </c>
      <c r="C39" s="62" t="s">
        <v>1</v>
      </c>
      <c r="D39" s="20" t="s">
        <v>23</v>
      </c>
      <c r="E39" s="5">
        <v>100</v>
      </c>
      <c r="F39" s="18" t="s">
        <v>39</v>
      </c>
      <c r="G39" s="18">
        <v>43519</v>
      </c>
      <c r="I39" s="68"/>
      <c r="P39" s="136"/>
    </row>
    <row r="40" spans="2:16" customFormat="1">
      <c r="B40" s="62">
        <f t="shared" si="1"/>
        <v>3</v>
      </c>
      <c r="C40" s="62" t="s">
        <v>2</v>
      </c>
      <c r="D40" s="20" t="s">
        <v>81</v>
      </c>
      <c r="E40" s="5">
        <v>100</v>
      </c>
      <c r="F40" s="18" t="s">
        <v>40</v>
      </c>
      <c r="G40" s="18">
        <v>43530</v>
      </c>
      <c r="I40" s="68" t="s">
        <v>124</v>
      </c>
      <c r="P40" s="136"/>
    </row>
    <row r="41" spans="2:16" customFormat="1">
      <c r="B41" s="62">
        <f t="shared" si="1"/>
        <v>3</v>
      </c>
      <c r="C41" s="62" t="s">
        <v>2</v>
      </c>
      <c r="D41" s="20" t="s">
        <v>119</v>
      </c>
      <c r="E41" s="5">
        <v>100</v>
      </c>
      <c r="F41" s="18" t="s">
        <v>40</v>
      </c>
      <c r="G41" s="18">
        <v>43530</v>
      </c>
      <c r="I41" s="68"/>
      <c r="P41" s="136"/>
    </row>
    <row r="42" spans="2:16" customFormat="1">
      <c r="B42" s="62">
        <f t="shared" si="1"/>
        <v>3</v>
      </c>
      <c r="C42" s="62" t="s">
        <v>2</v>
      </c>
      <c r="D42" s="20" t="s">
        <v>90</v>
      </c>
      <c r="E42" s="5">
        <v>100</v>
      </c>
      <c r="F42" s="18" t="s">
        <v>40</v>
      </c>
      <c r="G42" s="18">
        <v>43530</v>
      </c>
      <c r="I42" s="68"/>
      <c r="P42" s="136"/>
    </row>
    <row r="43" spans="2:16" customFormat="1">
      <c r="B43" s="62">
        <f t="shared" si="1"/>
        <v>3</v>
      </c>
      <c r="C43" s="62" t="s">
        <v>2</v>
      </c>
      <c r="D43" s="20" t="s">
        <v>91</v>
      </c>
      <c r="E43" s="5">
        <v>100</v>
      </c>
      <c r="F43" s="18" t="s">
        <v>40</v>
      </c>
      <c r="G43" s="18">
        <v>43530</v>
      </c>
      <c r="I43" s="68"/>
      <c r="P43" s="136"/>
    </row>
    <row r="44" spans="2:16" customFormat="1">
      <c r="B44" s="62">
        <f t="shared" si="1"/>
        <v>3</v>
      </c>
      <c r="C44" s="62" t="s">
        <v>2</v>
      </c>
      <c r="D44" s="20" t="s">
        <v>19</v>
      </c>
      <c r="E44" s="5">
        <v>100</v>
      </c>
      <c r="F44" s="18" t="s">
        <v>40</v>
      </c>
      <c r="G44" s="18">
        <v>43530</v>
      </c>
      <c r="I44" s="68"/>
      <c r="P44" s="136"/>
    </row>
    <row r="45" spans="2:16" customFormat="1">
      <c r="B45" s="62">
        <f t="shared" si="1"/>
        <v>3</v>
      </c>
      <c r="C45" s="62" t="s">
        <v>2</v>
      </c>
      <c r="D45" s="20" t="s">
        <v>97</v>
      </c>
      <c r="E45" s="5">
        <v>100</v>
      </c>
      <c r="F45" s="18" t="s">
        <v>118</v>
      </c>
      <c r="G45" s="18">
        <v>43531</v>
      </c>
      <c r="I45" s="68"/>
      <c r="P45" s="136"/>
    </row>
    <row r="46" spans="2:16" customFormat="1">
      <c r="B46" s="62">
        <f t="shared" si="1"/>
        <v>3</v>
      </c>
      <c r="C46" s="62" t="s">
        <v>2</v>
      </c>
      <c r="D46" s="20" t="s">
        <v>110</v>
      </c>
      <c r="E46" s="5">
        <v>100</v>
      </c>
      <c r="F46" s="18" t="s">
        <v>39</v>
      </c>
      <c r="G46" s="18">
        <v>43534</v>
      </c>
      <c r="I46" s="68"/>
      <c r="P46" s="136"/>
    </row>
    <row r="47" spans="2:16" customFormat="1">
      <c r="B47" s="62">
        <f t="shared" si="1"/>
        <v>3</v>
      </c>
      <c r="C47" s="62" t="s">
        <v>2</v>
      </c>
      <c r="D47" s="20" t="s">
        <v>81</v>
      </c>
      <c r="E47" s="5">
        <v>100</v>
      </c>
      <c r="F47" s="18" t="s">
        <v>40</v>
      </c>
      <c r="G47" s="18">
        <v>43534</v>
      </c>
      <c r="I47" s="68"/>
      <c r="P47" s="136"/>
    </row>
    <row r="48" spans="2:16" customFormat="1">
      <c r="B48" s="62">
        <f t="shared" si="1"/>
        <v>3</v>
      </c>
      <c r="C48" s="62" t="s">
        <v>2</v>
      </c>
      <c r="D48" s="20" t="s">
        <v>103</v>
      </c>
      <c r="E48" s="5">
        <v>20</v>
      </c>
      <c r="F48" s="18" t="s">
        <v>39</v>
      </c>
      <c r="G48" s="18">
        <v>43534</v>
      </c>
      <c r="I48" s="68"/>
      <c r="P48" s="136"/>
    </row>
    <row r="49" spans="2:16" customFormat="1">
      <c r="B49" s="62">
        <f t="shared" si="1"/>
        <v>3</v>
      </c>
      <c r="C49" s="62" t="s">
        <v>2</v>
      </c>
      <c r="D49" s="20" t="s">
        <v>125</v>
      </c>
      <c r="E49" s="5">
        <v>100</v>
      </c>
      <c r="F49" s="18" t="s">
        <v>39</v>
      </c>
      <c r="G49" s="18">
        <v>43534</v>
      </c>
      <c r="I49" s="68"/>
      <c r="P49" s="136"/>
    </row>
    <row r="50" spans="2:16" customFormat="1">
      <c r="B50" s="62">
        <f t="shared" si="1"/>
        <v>3</v>
      </c>
      <c r="C50" s="62" t="s">
        <v>2</v>
      </c>
      <c r="D50" s="20" t="s">
        <v>19</v>
      </c>
      <c r="E50" s="5">
        <v>100</v>
      </c>
      <c r="F50" s="18" t="s">
        <v>40</v>
      </c>
      <c r="G50" s="18">
        <v>43534</v>
      </c>
      <c r="I50" s="68"/>
      <c r="P50" s="136"/>
    </row>
    <row r="51" spans="2:16" customFormat="1">
      <c r="B51" s="62">
        <f t="shared" si="1"/>
        <v>3</v>
      </c>
      <c r="C51" s="62" t="s">
        <v>2</v>
      </c>
      <c r="D51" s="20" t="s">
        <v>78</v>
      </c>
      <c r="E51" s="5">
        <v>100</v>
      </c>
      <c r="F51" s="18" t="s">
        <v>39</v>
      </c>
      <c r="G51" s="18">
        <v>43534</v>
      </c>
      <c r="I51" s="68"/>
      <c r="P51" s="136"/>
    </row>
    <row r="52" spans="2:16" customFormat="1">
      <c r="B52" s="62">
        <f t="shared" si="1"/>
        <v>3</v>
      </c>
      <c r="C52" s="62" t="s">
        <v>2</v>
      </c>
      <c r="D52" s="20" t="s">
        <v>92</v>
      </c>
      <c r="E52" s="5">
        <v>100</v>
      </c>
      <c r="F52" s="18" t="s">
        <v>39</v>
      </c>
      <c r="G52" s="18">
        <v>43534</v>
      </c>
      <c r="I52" s="68"/>
      <c r="P52" s="136"/>
    </row>
    <row r="53" spans="2:16" customFormat="1">
      <c r="B53" s="62">
        <f t="shared" si="1"/>
        <v>3</v>
      </c>
      <c r="C53" s="62" t="s">
        <v>2</v>
      </c>
      <c r="D53" s="20" t="s">
        <v>120</v>
      </c>
      <c r="E53" s="5">
        <v>100</v>
      </c>
      <c r="F53" s="18" t="s">
        <v>39</v>
      </c>
      <c r="G53" s="18">
        <v>43534</v>
      </c>
      <c r="I53" s="68"/>
      <c r="P53" s="136"/>
    </row>
    <row r="54" spans="2:16" customFormat="1">
      <c r="B54" s="62">
        <f t="shared" si="1"/>
        <v>3</v>
      </c>
      <c r="C54" s="62" t="s">
        <v>2</v>
      </c>
      <c r="D54" s="20" t="s">
        <v>24</v>
      </c>
      <c r="E54" s="5">
        <v>100</v>
      </c>
      <c r="F54" s="18" t="s">
        <v>39</v>
      </c>
      <c r="G54" s="18">
        <v>43534</v>
      </c>
      <c r="I54" s="68"/>
      <c r="P54" s="136"/>
    </row>
    <row r="55" spans="2:16" customFormat="1">
      <c r="B55" s="62">
        <f t="shared" si="1"/>
        <v>3</v>
      </c>
      <c r="C55" s="62" t="s">
        <v>2</v>
      </c>
      <c r="D55" s="20" t="s">
        <v>121</v>
      </c>
      <c r="E55" s="5">
        <v>100</v>
      </c>
      <c r="F55" s="18" t="s">
        <v>39</v>
      </c>
      <c r="G55" s="18">
        <v>43534</v>
      </c>
      <c r="I55" s="68"/>
      <c r="P55" s="136"/>
    </row>
    <row r="56" spans="2:16" customFormat="1">
      <c r="B56" s="62">
        <f t="shared" si="1"/>
        <v>3</v>
      </c>
      <c r="C56" s="62" t="s">
        <v>2</v>
      </c>
      <c r="D56" s="20" t="s">
        <v>20</v>
      </c>
      <c r="E56" s="5">
        <v>100</v>
      </c>
      <c r="F56" s="18" t="s">
        <v>40</v>
      </c>
      <c r="G56" s="18">
        <v>43536</v>
      </c>
      <c r="I56" s="68"/>
      <c r="P56" s="136"/>
    </row>
    <row r="57" spans="2:16" customFormat="1">
      <c r="B57" s="62">
        <f t="shared" si="1"/>
        <v>3</v>
      </c>
      <c r="C57" s="62" t="s">
        <v>2</v>
      </c>
      <c r="D57" s="20" t="s">
        <v>22</v>
      </c>
      <c r="E57" s="5">
        <v>100</v>
      </c>
      <c r="F57" s="18" t="s">
        <v>40</v>
      </c>
      <c r="G57" s="18">
        <v>43536</v>
      </c>
      <c r="I57" s="68"/>
      <c r="P57" s="136"/>
    </row>
    <row r="58" spans="2:16" customFormat="1">
      <c r="B58" s="62">
        <f t="shared" si="1"/>
        <v>3</v>
      </c>
      <c r="C58" s="62" t="s">
        <v>2</v>
      </c>
      <c r="D58" s="20" t="s">
        <v>440</v>
      </c>
      <c r="E58" s="5">
        <v>100</v>
      </c>
      <c r="F58" s="18" t="s">
        <v>40</v>
      </c>
      <c r="G58" s="18">
        <v>43538</v>
      </c>
      <c r="I58" s="68"/>
      <c r="P58" s="136"/>
    </row>
    <row r="59" spans="2:16" customFormat="1">
      <c r="B59" s="62">
        <f t="shared" si="1"/>
        <v>3</v>
      </c>
      <c r="C59" s="62" t="s">
        <v>2</v>
      </c>
      <c r="D59" s="20" t="s">
        <v>15</v>
      </c>
      <c r="E59" s="5">
        <v>100</v>
      </c>
      <c r="F59" s="18" t="s">
        <v>40</v>
      </c>
      <c r="G59" s="18">
        <v>43539</v>
      </c>
      <c r="I59" s="68"/>
      <c r="P59" s="136"/>
    </row>
    <row r="60" spans="2:16" customFormat="1">
      <c r="B60" s="62">
        <f t="shared" si="1"/>
        <v>3</v>
      </c>
      <c r="C60" s="62" t="s">
        <v>2</v>
      </c>
      <c r="D60" s="20" t="s">
        <v>27</v>
      </c>
      <c r="E60" s="5">
        <v>100</v>
      </c>
      <c r="F60" s="18" t="s">
        <v>39</v>
      </c>
      <c r="G60" s="18">
        <v>43540</v>
      </c>
      <c r="I60" s="68"/>
      <c r="P60" s="136"/>
    </row>
    <row r="61" spans="2:16" customFormat="1">
      <c r="B61" s="62">
        <f t="shared" si="1"/>
        <v>3</v>
      </c>
      <c r="C61" s="62" t="s">
        <v>2</v>
      </c>
      <c r="D61" s="20" t="s">
        <v>88</v>
      </c>
      <c r="E61" s="5">
        <v>100</v>
      </c>
      <c r="F61" s="18" t="s">
        <v>39</v>
      </c>
      <c r="G61" s="18">
        <v>43540</v>
      </c>
      <c r="I61" s="68"/>
      <c r="P61" s="136"/>
    </row>
    <row r="62" spans="2:16" customFormat="1">
      <c r="B62" s="62">
        <f t="shared" si="1"/>
        <v>3</v>
      </c>
      <c r="C62" s="62" t="s">
        <v>2</v>
      </c>
      <c r="D62" s="20" t="s">
        <v>111</v>
      </c>
      <c r="E62" s="5">
        <v>100</v>
      </c>
      <c r="F62" s="18" t="s">
        <v>39</v>
      </c>
      <c r="G62" s="18">
        <v>43541</v>
      </c>
      <c r="I62" s="68"/>
      <c r="P62" s="136"/>
    </row>
    <row r="63" spans="2:16" customFormat="1">
      <c r="B63" s="62">
        <f t="shared" si="1"/>
        <v>3</v>
      </c>
      <c r="C63" s="62" t="s">
        <v>2</v>
      </c>
      <c r="D63" s="20" t="s">
        <v>122</v>
      </c>
      <c r="E63" s="5">
        <v>100</v>
      </c>
      <c r="F63" s="18" t="s">
        <v>39</v>
      </c>
      <c r="G63" s="18">
        <v>43547</v>
      </c>
      <c r="I63" s="68"/>
      <c r="P63" s="136"/>
    </row>
    <row r="64" spans="2:16" customFormat="1">
      <c r="B64" s="62">
        <f t="shared" si="1"/>
        <v>3</v>
      </c>
      <c r="C64" s="62" t="s">
        <v>2</v>
      </c>
      <c r="D64" s="20" t="s">
        <v>23</v>
      </c>
      <c r="E64" s="5">
        <v>100</v>
      </c>
      <c r="F64" s="18" t="s">
        <v>39</v>
      </c>
      <c r="G64" s="18">
        <v>43547</v>
      </c>
      <c r="I64" s="68"/>
      <c r="P64" s="136"/>
    </row>
    <row r="65" spans="2:16" customFormat="1">
      <c r="B65" s="62">
        <f t="shared" si="1"/>
        <v>3</v>
      </c>
      <c r="C65" s="62" t="s">
        <v>2</v>
      </c>
      <c r="D65" s="20" t="s">
        <v>99</v>
      </c>
      <c r="E65" s="5">
        <v>100</v>
      </c>
      <c r="F65" s="18" t="s">
        <v>128</v>
      </c>
      <c r="G65" s="18">
        <v>43554</v>
      </c>
      <c r="I65" s="68"/>
      <c r="P65" s="136"/>
    </row>
    <row r="66" spans="2:16" customFormat="1">
      <c r="B66" s="62">
        <f t="shared" si="1"/>
        <v>4</v>
      </c>
      <c r="C66" s="62" t="s">
        <v>3</v>
      </c>
      <c r="D66" s="20" t="s">
        <v>119</v>
      </c>
      <c r="E66" s="5">
        <v>100</v>
      </c>
      <c r="F66" s="18" t="s">
        <v>39</v>
      </c>
      <c r="G66" s="18">
        <v>43557</v>
      </c>
      <c r="I66" s="68"/>
      <c r="P66" s="136"/>
    </row>
    <row r="67" spans="2:16" customFormat="1">
      <c r="B67" s="62">
        <f t="shared" si="1"/>
        <v>4</v>
      </c>
      <c r="C67" s="62" t="s">
        <v>3</v>
      </c>
      <c r="D67" s="20" t="s">
        <v>100</v>
      </c>
      <c r="E67" s="5">
        <v>100</v>
      </c>
      <c r="F67" s="18" t="s">
        <v>118</v>
      </c>
      <c r="G67" s="18">
        <v>43557</v>
      </c>
      <c r="I67" s="68"/>
      <c r="P67" s="136"/>
    </row>
    <row r="68" spans="2:16" customFormat="1">
      <c r="B68" s="62">
        <f t="shared" si="1"/>
        <v>4</v>
      </c>
      <c r="C68" s="62" t="s">
        <v>3</v>
      </c>
      <c r="D68" s="20" t="s">
        <v>90</v>
      </c>
      <c r="E68" s="5">
        <v>100</v>
      </c>
      <c r="F68" s="18" t="s">
        <v>40</v>
      </c>
      <c r="G68" s="18">
        <v>43560</v>
      </c>
      <c r="I68" s="68"/>
      <c r="P68" s="136"/>
    </row>
    <row r="69" spans="2:16" customFormat="1">
      <c r="B69" s="62">
        <f t="shared" si="1"/>
        <v>4</v>
      </c>
      <c r="C69" s="62" t="s">
        <v>3</v>
      </c>
      <c r="D69" s="20" t="s">
        <v>91</v>
      </c>
      <c r="E69" s="5">
        <v>100</v>
      </c>
      <c r="F69" s="18" t="s">
        <v>40</v>
      </c>
      <c r="G69" s="18">
        <v>43560</v>
      </c>
      <c r="I69" s="68"/>
      <c r="P69" s="136"/>
    </row>
    <row r="70" spans="2:16" customFormat="1">
      <c r="B70" s="62">
        <f t="shared" si="1"/>
        <v>4</v>
      </c>
      <c r="C70" s="62" t="s">
        <v>3</v>
      </c>
      <c r="D70" s="20" t="s">
        <v>97</v>
      </c>
      <c r="E70" s="5">
        <v>100</v>
      </c>
      <c r="F70" s="18" t="s">
        <v>118</v>
      </c>
      <c r="G70" s="18">
        <v>43563</v>
      </c>
      <c r="I70" s="68"/>
      <c r="P70" s="136"/>
    </row>
    <row r="71" spans="2:16" customFormat="1">
      <c r="B71" s="62">
        <v>4</v>
      </c>
      <c r="C71" s="62" t="s">
        <v>3</v>
      </c>
      <c r="D71" s="20" t="s">
        <v>15</v>
      </c>
      <c r="E71" s="5">
        <v>100</v>
      </c>
      <c r="F71" s="18" t="s">
        <v>132</v>
      </c>
      <c r="G71" s="18">
        <v>43565</v>
      </c>
      <c r="I71" s="68"/>
      <c r="P71" s="136"/>
    </row>
    <row r="72" spans="2:16" customFormat="1">
      <c r="B72" s="62">
        <f t="shared" ref="B72:B96" si="2">MONTH(G72)</f>
        <v>4</v>
      </c>
      <c r="C72" s="62" t="s">
        <v>3</v>
      </c>
      <c r="D72" s="20" t="s">
        <v>103</v>
      </c>
      <c r="E72" s="5">
        <v>100</v>
      </c>
      <c r="F72" s="18" t="s">
        <v>132</v>
      </c>
      <c r="G72" s="18">
        <v>43565</v>
      </c>
      <c r="I72" s="68"/>
      <c r="P72" s="136"/>
    </row>
    <row r="73" spans="2:16" customFormat="1">
      <c r="B73" s="62">
        <f t="shared" si="2"/>
        <v>4</v>
      </c>
      <c r="C73" s="62" t="s">
        <v>3</v>
      </c>
      <c r="D73" s="20" t="s">
        <v>86</v>
      </c>
      <c r="E73" s="5">
        <v>100</v>
      </c>
      <c r="F73" s="18" t="s">
        <v>132</v>
      </c>
      <c r="G73" s="18">
        <v>43565</v>
      </c>
      <c r="I73" s="68"/>
      <c r="P73" s="136"/>
    </row>
    <row r="74" spans="2:16" customFormat="1">
      <c r="B74" s="62">
        <f t="shared" si="2"/>
        <v>4</v>
      </c>
      <c r="C74" s="62" t="s">
        <v>3</v>
      </c>
      <c r="D74" s="20" t="s">
        <v>110</v>
      </c>
      <c r="E74" s="5">
        <v>100</v>
      </c>
      <c r="F74" s="18" t="s">
        <v>39</v>
      </c>
      <c r="G74" s="18">
        <v>43568</v>
      </c>
      <c r="I74" s="68"/>
      <c r="P74" s="136"/>
    </row>
    <row r="75" spans="2:16" customFormat="1">
      <c r="B75" s="62">
        <f t="shared" si="2"/>
        <v>4</v>
      </c>
      <c r="C75" s="62" t="s">
        <v>3</v>
      </c>
      <c r="D75" s="20" t="s">
        <v>111</v>
      </c>
      <c r="E75" s="5">
        <v>100</v>
      </c>
      <c r="F75" s="18" t="s">
        <v>39</v>
      </c>
      <c r="G75" s="18">
        <v>43568</v>
      </c>
      <c r="I75" s="68"/>
      <c r="P75" s="136"/>
    </row>
    <row r="76" spans="2:16" customFormat="1">
      <c r="B76" s="62">
        <f t="shared" si="2"/>
        <v>4</v>
      </c>
      <c r="C76" s="62" t="s">
        <v>3</v>
      </c>
      <c r="D76" s="20" t="s">
        <v>20</v>
      </c>
      <c r="E76" s="5">
        <v>100</v>
      </c>
      <c r="F76" s="18" t="s">
        <v>39</v>
      </c>
      <c r="G76" s="18">
        <v>43568</v>
      </c>
      <c r="I76" s="68"/>
      <c r="P76" s="136"/>
    </row>
    <row r="77" spans="2:16" customFormat="1">
      <c r="B77" s="62">
        <f t="shared" si="2"/>
        <v>4</v>
      </c>
      <c r="C77" s="62" t="s">
        <v>3</v>
      </c>
      <c r="D77" s="20" t="s">
        <v>78</v>
      </c>
      <c r="E77" s="5">
        <v>100</v>
      </c>
      <c r="F77" s="18" t="s">
        <v>39</v>
      </c>
      <c r="G77" s="18">
        <v>43568</v>
      </c>
      <c r="H77" s="85"/>
      <c r="I77" s="68"/>
      <c r="P77" s="136"/>
    </row>
    <row r="78" spans="2:16" customFormat="1">
      <c r="B78" s="62">
        <f t="shared" si="2"/>
        <v>4</v>
      </c>
      <c r="C78" s="62" t="s">
        <v>3</v>
      </c>
      <c r="D78" s="20" t="s">
        <v>22</v>
      </c>
      <c r="E78" s="5">
        <v>100</v>
      </c>
      <c r="F78" s="18" t="s">
        <v>39</v>
      </c>
      <c r="G78" s="18">
        <v>43568</v>
      </c>
      <c r="H78" s="85"/>
      <c r="I78" s="68"/>
      <c r="P78" s="136"/>
    </row>
    <row r="79" spans="2:16" customFormat="1">
      <c r="B79" s="62">
        <f t="shared" si="2"/>
        <v>4</v>
      </c>
      <c r="C79" s="62" t="s">
        <v>3</v>
      </c>
      <c r="D79" s="20" t="s">
        <v>92</v>
      </c>
      <c r="E79" s="5">
        <v>100</v>
      </c>
      <c r="F79" s="18" t="s">
        <v>39</v>
      </c>
      <c r="G79" s="18">
        <v>43568</v>
      </c>
      <c r="H79" s="85"/>
      <c r="I79" s="68"/>
      <c r="P79" s="136"/>
    </row>
    <row r="80" spans="2:16" customFormat="1">
      <c r="B80" s="62">
        <f t="shared" si="2"/>
        <v>4</v>
      </c>
      <c r="C80" s="62" t="s">
        <v>3</v>
      </c>
      <c r="D80" s="20" t="s">
        <v>120</v>
      </c>
      <c r="E80" s="5">
        <v>100</v>
      </c>
      <c r="F80" s="18" t="s">
        <v>39</v>
      </c>
      <c r="G80" s="18">
        <v>43568</v>
      </c>
      <c r="H80" s="85"/>
      <c r="I80" s="68"/>
      <c r="P80" s="136"/>
    </row>
    <row r="81" spans="2:16" customFormat="1">
      <c r="B81" s="62">
        <f t="shared" si="2"/>
        <v>4</v>
      </c>
      <c r="C81" s="62" t="s">
        <v>3</v>
      </c>
      <c r="D81" s="20" t="s">
        <v>24</v>
      </c>
      <c r="E81" s="5">
        <v>100</v>
      </c>
      <c r="F81" s="18" t="s">
        <v>39</v>
      </c>
      <c r="G81" s="18">
        <v>43568</v>
      </c>
      <c r="H81" s="85"/>
      <c r="I81" s="68"/>
      <c r="P81" s="136"/>
    </row>
    <row r="82" spans="2:16" customFormat="1">
      <c r="B82" s="62">
        <f t="shared" si="2"/>
        <v>4</v>
      </c>
      <c r="C82" s="62" t="s">
        <v>3</v>
      </c>
      <c r="D82" s="20" t="s">
        <v>121</v>
      </c>
      <c r="E82" s="5">
        <v>100</v>
      </c>
      <c r="F82" s="18" t="s">
        <v>39</v>
      </c>
      <c r="G82" s="18">
        <v>43568</v>
      </c>
      <c r="H82" s="85"/>
      <c r="I82" s="68"/>
      <c r="P82" s="136"/>
    </row>
    <row r="83" spans="2:16" customFormat="1">
      <c r="B83" s="62">
        <f t="shared" si="2"/>
        <v>4</v>
      </c>
      <c r="C83" s="62" t="s">
        <v>3</v>
      </c>
      <c r="D83" s="20" t="s">
        <v>80</v>
      </c>
      <c r="E83" s="5">
        <v>100</v>
      </c>
      <c r="F83" s="18" t="s">
        <v>441</v>
      </c>
      <c r="G83" s="18">
        <v>43571</v>
      </c>
      <c r="H83" s="85"/>
      <c r="I83" s="68"/>
      <c r="P83" s="136"/>
    </row>
    <row r="84" spans="2:16" customFormat="1">
      <c r="B84" s="62">
        <f t="shared" si="2"/>
        <v>4</v>
      </c>
      <c r="C84" s="62" t="s">
        <v>3</v>
      </c>
      <c r="D84" s="20" t="s">
        <v>80</v>
      </c>
      <c r="E84" s="5">
        <v>100</v>
      </c>
      <c r="F84" s="18" t="s">
        <v>441</v>
      </c>
      <c r="G84" s="18">
        <v>43571</v>
      </c>
      <c r="H84" s="85"/>
      <c r="I84" s="68"/>
      <c r="P84" s="136"/>
    </row>
    <row r="85" spans="2:16" customFormat="1">
      <c r="B85" s="62">
        <f t="shared" si="2"/>
        <v>4</v>
      </c>
      <c r="C85" s="62" t="s">
        <v>3</v>
      </c>
      <c r="D85" s="20" t="s">
        <v>82</v>
      </c>
      <c r="E85" s="5">
        <v>100</v>
      </c>
      <c r="F85" s="18" t="s">
        <v>441</v>
      </c>
      <c r="G85" s="18">
        <v>43571</v>
      </c>
      <c r="H85" s="85"/>
      <c r="I85" s="68"/>
      <c r="P85" s="136"/>
    </row>
    <row r="86" spans="2:16" customFormat="1">
      <c r="B86" s="62">
        <f t="shared" si="2"/>
        <v>4</v>
      </c>
      <c r="C86" s="62" t="s">
        <v>3</v>
      </c>
      <c r="D86" s="20" t="s">
        <v>82</v>
      </c>
      <c r="E86" s="5">
        <v>100</v>
      </c>
      <c r="F86" s="18" t="s">
        <v>441</v>
      </c>
      <c r="G86" s="18">
        <v>43571</v>
      </c>
      <c r="H86" s="85"/>
      <c r="I86" s="68"/>
      <c r="P86" s="136"/>
    </row>
    <row r="87" spans="2:16" customFormat="1">
      <c r="B87" s="62">
        <f t="shared" si="2"/>
        <v>4</v>
      </c>
      <c r="C87" s="62" t="s">
        <v>3</v>
      </c>
      <c r="D87" s="20" t="s">
        <v>87</v>
      </c>
      <c r="E87" s="5">
        <v>100</v>
      </c>
      <c r="F87" s="18" t="s">
        <v>39</v>
      </c>
      <c r="G87" s="18">
        <v>43575</v>
      </c>
      <c r="I87" s="68"/>
      <c r="P87" s="136"/>
    </row>
    <row r="88" spans="2:16" customFormat="1">
      <c r="B88" s="62">
        <f t="shared" si="2"/>
        <v>4</v>
      </c>
      <c r="C88" s="62" t="s">
        <v>3</v>
      </c>
      <c r="D88" s="20" t="s">
        <v>517</v>
      </c>
      <c r="E88" s="5">
        <v>100</v>
      </c>
      <c r="F88" s="18" t="s">
        <v>132</v>
      </c>
      <c r="G88" s="18">
        <v>43576</v>
      </c>
      <c r="I88" s="68"/>
      <c r="P88" s="136"/>
    </row>
    <row r="89" spans="2:16" customFormat="1">
      <c r="B89" s="62">
        <f t="shared" si="2"/>
        <v>4</v>
      </c>
      <c r="C89" s="62" t="s">
        <v>3</v>
      </c>
      <c r="D89" s="20" t="s">
        <v>125</v>
      </c>
      <c r="E89" s="5">
        <v>100</v>
      </c>
      <c r="F89" s="18" t="s">
        <v>39</v>
      </c>
      <c r="G89" s="18">
        <v>43577</v>
      </c>
      <c r="I89" s="68"/>
      <c r="P89" s="136"/>
    </row>
    <row r="90" spans="2:16" customFormat="1">
      <c r="B90" s="62">
        <f t="shared" si="2"/>
        <v>4</v>
      </c>
      <c r="C90" s="62" t="s">
        <v>3</v>
      </c>
      <c r="D90" s="20" t="s">
        <v>27</v>
      </c>
      <c r="E90" s="5">
        <v>100</v>
      </c>
      <c r="F90" s="18" t="s">
        <v>441</v>
      </c>
      <c r="G90" s="18">
        <v>43579</v>
      </c>
      <c r="H90" s="67"/>
      <c r="I90" s="68"/>
      <c r="P90" s="136"/>
    </row>
    <row r="91" spans="2:16" customFormat="1">
      <c r="B91" s="62">
        <f t="shared" si="2"/>
        <v>4</v>
      </c>
      <c r="C91" s="62" t="s">
        <v>3</v>
      </c>
      <c r="D91" s="20" t="s">
        <v>88</v>
      </c>
      <c r="E91" s="5">
        <v>100</v>
      </c>
      <c r="F91" s="66" t="s">
        <v>441</v>
      </c>
      <c r="G91" s="18">
        <v>43579</v>
      </c>
      <c r="I91" s="68"/>
      <c r="P91" s="136"/>
    </row>
    <row r="92" spans="2:16" customFormat="1">
      <c r="B92" s="62">
        <f t="shared" si="2"/>
        <v>4</v>
      </c>
      <c r="C92" s="62" t="s">
        <v>3</v>
      </c>
      <c r="D92" s="20" t="s">
        <v>440</v>
      </c>
      <c r="E92" s="5">
        <v>100</v>
      </c>
      <c r="F92" s="18" t="s">
        <v>441</v>
      </c>
      <c r="G92" s="18">
        <v>43581</v>
      </c>
      <c r="I92" s="68"/>
      <c r="P92" s="136"/>
    </row>
    <row r="93" spans="2:16" customFormat="1">
      <c r="B93" s="62">
        <f t="shared" si="2"/>
        <v>5</v>
      </c>
      <c r="C93" s="62" t="s">
        <v>4</v>
      </c>
      <c r="D93" s="20" t="s">
        <v>81</v>
      </c>
      <c r="E93" s="5">
        <v>100</v>
      </c>
      <c r="F93" s="18" t="s">
        <v>132</v>
      </c>
      <c r="G93" s="18">
        <v>43587</v>
      </c>
      <c r="I93" s="68"/>
      <c r="P93" s="136"/>
    </row>
    <row r="94" spans="2:16" customFormat="1">
      <c r="B94" s="62">
        <f t="shared" si="2"/>
        <v>5</v>
      </c>
      <c r="C94" s="62" t="s">
        <v>4</v>
      </c>
      <c r="D94" s="20" t="s">
        <v>19</v>
      </c>
      <c r="E94" s="5">
        <v>100</v>
      </c>
      <c r="F94" s="18" t="s">
        <v>132</v>
      </c>
      <c r="G94" s="18">
        <v>43587</v>
      </c>
      <c r="I94" s="68"/>
      <c r="P94" s="136"/>
    </row>
    <row r="95" spans="2:16" customFormat="1">
      <c r="B95" s="62">
        <f t="shared" si="2"/>
        <v>5</v>
      </c>
      <c r="C95" s="62" t="s">
        <v>4</v>
      </c>
      <c r="D95" s="20" t="s">
        <v>103</v>
      </c>
      <c r="E95" s="5">
        <v>100</v>
      </c>
      <c r="F95" s="18" t="s">
        <v>39</v>
      </c>
      <c r="G95" s="18">
        <v>43592</v>
      </c>
      <c r="I95" s="68"/>
      <c r="P95" s="136"/>
    </row>
    <row r="96" spans="2:16" customFormat="1">
      <c r="B96" s="62">
        <f t="shared" si="2"/>
        <v>5</v>
      </c>
      <c r="C96" s="62" t="s">
        <v>4</v>
      </c>
      <c r="D96" s="20" t="s">
        <v>86</v>
      </c>
      <c r="E96" s="5">
        <v>100</v>
      </c>
      <c r="F96" s="18" t="s">
        <v>39</v>
      </c>
      <c r="G96" s="18">
        <v>43592</v>
      </c>
      <c r="I96" s="68"/>
      <c r="P96" s="136"/>
    </row>
    <row r="97" spans="2:16" customFormat="1">
      <c r="B97" s="62">
        <v>5</v>
      </c>
      <c r="C97" s="62" t="s">
        <v>4</v>
      </c>
      <c r="D97" s="20" t="s">
        <v>15</v>
      </c>
      <c r="E97" s="5">
        <v>100</v>
      </c>
      <c r="F97" s="18" t="s">
        <v>132</v>
      </c>
      <c r="G97" s="18">
        <v>43595</v>
      </c>
      <c r="I97" s="68"/>
      <c r="P97" s="136"/>
    </row>
    <row r="98" spans="2:16" customFormat="1">
      <c r="B98" s="62">
        <f t="shared" ref="B98:B111" si="3">MONTH(G98)</f>
        <v>5</v>
      </c>
      <c r="C98" s="62" t="s">
        <v>4</v>
      </c>
      <c r="D98" s="20" t="s">
        <v>110</v>
      </c>
      <c r="E98" s="5">
        <v>100</v>
      </c>
      <c r="F98" s="18" t="s">
        <v>132</v>
      </c>
      <c r="G98" s="18">
        <v>43595</v>
      </c>
      <c r="I98" s="68"/>
      <c r="P98" s="136"/>
    </row>
    <row r="99" spans="2:16" customFormat="1">
      <c r="B99" s="62">
        <f t="shared" si="3"/>
        <v>5</v>
      </c>
      <c r="C99" s="62" t="s">
        <v>4</v>
      </c>
      <c r="D99" s="20" t="s">
        <v>119</v>
      </c>
      <c r="E99" s="5">
        <v>100</v>
      </c>
      <c r="F99" s="18" t="s">
        <v>132</v>
      </c>
      <c r="G99" s="18">
        <v>43595</v>
      </c>
      <c r="I99" s="68"/>
      <c r="P99" s="136"/>
    </row>
    <row r="100" spans="2:16" customFormat="1">
      <c r="B100" s="62">
        <f t="shared" si="3"/>
        <v>5</v>
      </c>
      <c r="C100" s="62" t="s">
        <v>4</v>
      </c>
      <c r="D100" s="20" t="s">
        <v>90</v>
      </c>
      <c r="E100" s="5">
        <v>100</v>
      </c>
      <c r="F100" s="18" t="s">
        <v>132</v>
      </c>
      <c r="G100" s="18">
        <v>43595</v>
      </c>
      <c r="I100" s="68"/>
      <c r="P100" s="136"/>
    </row>
    <row r="101" spans="2:16" customFormat="1">
      <c r="B101" s="62">
        <f t="shared" si="3"/>
        <v>5</v>
      </c>
      <c r="C101" s="62" t="s">
        <v>4</v>
      </c>
      <c r="D101" s="20" t="s">
        <v>125</v>
      </c>
      <c r="E101" s="5">
        <v>100</v>
      </c>
      <c r="F101" s="18" t="s">
        <v>132</v>
      </c>
      <c r="G101" s="18">
        <v>43595</v>
      </c>
      <c r="I101" s="68"/>
      <c r="P101" s="136"/>
    </row>
    <row r="102" spans="2:16" customFormat="1">
      <c r="B102" s="62">
        <f t="shared" si="3"/>
        <v>5</v>
      </c>
      <c r="C102" s="62" t="s">
        <v>4</v>
      </c>
      <c r="D102" s="20" t="s">
        <v>91</v>
      </c>
      <c r="E102" s="5">
        <v>100</v>
      </c>
      <c r="F102" s="18" t="s">
        <v>132</v>
      </c>
      <c r="G102" s="18">
        <v>43595</v>
      </c>
      <c r="I102" s="68"/>
      <c r="P102" s="136"/>
    </row>
    <row r="103" spans="2:16" customFormat="1">
      <c r="B103" s="62">
        <f t="shared" si="3"/>
        <v>5</v>
      </c>
      <c r="C103" s="62" t="s">
        <v>4</v>
      </c>
      <c r="D103" s="20" t="s">
        <v>27</v>
      </c>
      <c r="E103" s="5">
        <v>100</v>
      </c>
      <c r="F103" s="18" t="s">
        <v>132</v>
      </c>
      <c r="G103" s="18">
        <v>43595</v>
      </c>
      <c r="I103" s="68"/>
      <c r="P103" s="136"/>
    </row>
    <row r="104" spans="2:16" customFormat="1">
      <c r="B104" s="62">
        <f t="shared" si="3"/>
        <v>5</v>
      </c>
      <c r="C104" s="62" t="s">
        <v>4</v>
      </c>
      <c r="D104" s="20" t="s">
        <v>111</v>
      </c>
      <c r="E104" s="5">
        <v>100</v>
      </c>
      <c r="F104" s="18" t="s">
        <v>132</v>
      </c>
      <c r="G104" s="18">
        <v>43595</v>
      </c>
      <c r="I104" s="68"/>
      <c r="P104" s="136"/>
    </row>
    <row r="105" spans="2:16" customFormat="1">
      <c r="B105" s="62">
        <f t="shared" si="3"/>
        <v>5</v>
      </c>
      <c r="C105" s="62" t="s">
        <v>4</v>
      </c>
      <c r="D105" s="20" t="s">
        <v>20</v>
      </c>
      <c r="E105" s="5">
        <v>100</v>
      </c>
      <c r="F105" s="18" t="s">
        <v>132</v>
      </c>
      <c r="G105" s="18">
        <v>43595</v>
      </c>
      <c r="I105" s="68"/>
      <c r="P105" s="136"/>
    </row>
    <row r="106" spans="2:16" customFormat="1">
      <c r="B106" s="62">
        <f t="shared" si="3"/>
        <v>5</v>
      </c>
      <c r="C106" s="62" t="s">
        <v>4</v>
      </c>
      <c r="D106" s="20" t="s">
        <v>78</v>
      </c>
      <c r="E106" s="5">
        <v>100</v>
      </c>
      <c r="F106" s="18" t="s">
        <v>132</v>
      </c>
      <c r="G106" s="18">
        <v>43595</v>
      </c>
      <c r="I106" s="68"/>
      <c r="P106" s="136"/>
    </row>
    <row r="107" spans="2:16" customFormat="1">
      <c r="B107" s="62">
        <f t="shared" si="3"/>
        <v>5</v>
      </c>
      <c r="C107" s="62" t="s">
        <v>4</v>
      </c>
      <c r="D107" s="20" t="s">
        <v>22</v>
      </c>
      <c r="E107" s="5">
        <v>100</v>
      </c>
      <c r="F107" s="18" t="s">
        <v>132</v>
      </c>
      <c r="G107" s="18">
        <v>43595</v>
      </c>
      <c r="I107" s="68"/>
      <c r="P107" s="136"/>
    </row>
    <row r="108" spans="2:16" customFormat="1">
      <c r="B108" s="62">
        <f t="shared" si="3"/>
        <v>5</v>
      </c>
      <c r="C108" s="62" t="s">
        <v>4</v>
      </c>
      <c r="D108" s="20" t="s">
        <v>92</v>
      </c>
      <c r="E108" s="5">
        <v>100</v>
      </c>
      <c r="F108" s="18" t="s">
        <v>132</v>
      </c>
      <c r="G108" s="18">
        <v>43595</v>
      </c>
      <c r="I108" s="68"/>
      <c r="P108" s="136"/>
    </row>
    <row r="109" spans="2:16" customFormat="1">
      <c r="B109" s="62">
        <f t="shared" si="3"/>
        <v>5</v>
      </c>
      <c r="C109" s="62" t="s">
        <v>4</v>
      </c>
      <c r="D109" s="20" t="s">
        <v>23</v>
      </c>
      <c r="E109" s="5">
        <v>100</v>
      </c>
      <c r="F109" s="18" t="s">
        <v>132</v>
      </c>
      <c r="G109" s="66">
        <v>43595</v>
      </c>
      <c r="I109" s="68"/>
      <c r="P109" s="136"/>
    </row>
    <row r="110" spans="2:16" customFormat="1">
      <c r="B110" s="62">
        <f t="shared" si="3"/>
        <v>5</v>
      </c>
      <c r="C110" s="62" t="s">
        <v>4</v>
      </c>
      <c r="D110" s="20" t="s">
        <v>24</v>
      </c>
      <c r="E110" s="5">
        <v>100</v>
      </c>
      <c r="F110" s="18" t="s">
        <v>132</v>
      </c>
      <c r="G110" s="18">
        <v>43595</v>
      </c>
      <c r="I110" s="68"/>
      <c r="P110" s="136"/>
    </row>
    <row r="111" spans="2:16" customFormat="1">
      <c r="B111" s="62">
        <f t="shared" si="3"/>
        <v>5</v>
      </c>
      <c r="C111" s="62" t="s">
        <v>4</v>
      </c>
      <c r="D111" s="20" t="s">
        <v>87</v>
      </c>
      <c r="E111" s="5">
        <v>100</v>
      </c>
      <c r="F111" s="18" t="s">
        <v>132</v>
      </c>
      <c r="G111" s="18">
        <v>43595</v>
      </c>
      <c r="I111" s="68"/>
      <c r="P111" s="136"/>
    </row>
    <row r="112" spans="2:16" customFormat="1">
      <c r="B112" s="62">
        <v>5</v>
      </c>
      <c r="C112" s="62" t="s">
        <v>516</v>
      </c>
      <c r="D112" s="20" t="s">
        <v>440</v>
      </c>
      <c r="E112" s="5">
        <v>100</v>
      </c>
      <c r="F112" s="18" t="s">
        <v>132</v>
      </c>
      <c r="G112" s="18">
        <v>43595</v>
      </c>
      <c r="I112" s="68"/>
      <c r="P112" s="136"/>
    </row>
    <row r="113" spans="2:16" customFormat="1">
      <c r="B113" s="62">
        <f>MONTH(G113)</f>
        <v>5</v>
      </c>
      <c r="C113" s="62" t="s">
        <v>4</v>
      </c>
      <c r="D113" s="4" t="s">
        <v>88</v>
      </c>
      <c r="E113" s="5">
        <v>100</v>
      </c>
      <c r="F113" s="18" t="s">
        <v>132</v>
      </c>
      <c r="G113" s="18">
        <v>43595</v>
      </c>
      <c r="H113" s="67"/>
      <c r="I113" s="68"/>
      <c r="P113" s="136"/>
    </row>
    <row r="114" spans="2:16" customFormat="1">
      <c r="B114" s="62">
        <f>MONTH(G114)</f>
        <v>5</v>
      </c>
      <c r="C114" s="62" t="s">
        <v>4</v>
      </c>
      <c r="D114" s="20" t="s">
        <v>121</v>
      </c>
      <c r="E114" s="5">
        <v>100</v>
      </c>
      <c r="F114" s="18" t="s">
        <v>132</v>
      </c>
      <c r="G114" s="18">
        <v>43595</v>
      </c>
      <c r="I114" s="68"/>
      <c r="P114" s="136"/>
    </row>
    <row r="115" spans="2:16" customFormat="1">
      <c r="B115" s="62">
        <v>5</v>
      </c>
      <c r="C115" s="62" t="s">
        <v>4</v>
      </c>
      <c r="D115" s="20" t="s">
        <v>517</v>
      </c>
      <c r="E115" s="5">
        <v>100</v>
      </c>
      <c r="F115" s="18" t="s">
        <v>132</v>
      </c>
      <c r="G115" s="18">
        <v>43595</v>
      </c>
      <c r="I115" s="68"/>
      <c r="P115" s="136"/>
    </row>
    <row r="116" spans="2:16" customFormat="1">
      <c r="B116" s="62">
        <v>6</v>
      </c>
      <c r="C116" s="62" t="s">
        <v>5</v>
      </c>
      <c r="D116" s="20" t="s">
        <v>15</v>
      </c>
      <c r="E116" s="5">
        <v>100</v>
      </c>
      <c r="F116" s="18" t="s">
        <v>132</v>
      </c>
      <c r="G116" s="18">
        <v>43626</v>
      </c>
      <c r="I116" s="68"/>
      <c r="P116" s="136"/>
    </row>
    <row r="117" spans="2:16" customFormat="1">
      <c r="B117" s="62">
        <f>MONTH(G117)</f>
        <v>6</v>
      </c>
      <c r="C117" s="62" t="s">
        <v>5</v>
      </c>
      <c r="D117" s="20" t="s">
        <v>110</v>
      </c>
      <c r="E117" s="5">
        <v>100</v>
      </c>
      <c r="F117" s="18" t="s">
        <v>132</v>
      </c>
      <c r="G117" s="18">
        <v>43626</v>
      </c>
      <c r="I117" s="68"/>
      <c r="P117" s="136"/>
    </row>
    <row r="118" spans="2:16" customFormat="1">
      <c r="B118" s="62">
        <v>6</v>
      </c>
      <c r="C118" s="62" t="s">
        <v>5</v>
      </c>
      <c r="D118" s="20" t="s">
        <v>81</v>
      </c>
      <c r="E118" s="5">
        <v>100</v>
      </c>
      <c r="F118" s="18" t="s">
        <v>132</v>
      </c>
      <c r="G118" s="18">
        <v>43626</v>
      </c>
      <c r="I118" s="68"/>
      <c r="P118" s="136"/>
    </row>
    <row r="119" spans="2:16" customFormat="1">
      <c r="B119" s="62">
        <f>MONTH(G119)</f>
        <v>6</v>
      </c>
      <c r="C119" s="62" t="s">
        <v>5</v>
      </c>
      <c r="D119" s="4" t="s">
        <v>103</v>
      </c>
      <c r="E119" s="5">
        <v>92</v>
      </c>
      <c r="F119" s="18" t="s">
        <v>132</v>
      </c>
      <c r="G119" s="18">
        <v>43626</v>
      </c>
      <c r="I119" s="68"/>
      <c r="P119" s="136"/>
    </row>
    <row r="120" spans="2:16" customFormat="1">
      <c r="B120" s="62">
        <f>MONTH(G120)</f>
        <v>6</v>
      </c>
      <c r="C120" s="62" t="s">
        <v>5</v>
      </c>
      <c r="D120" s="20" t="s">
        <v>466</v>
      </c>
      <c r="E120" s="30">
        <v>100</v>
      </c>
      <c r="F120" s="18" t="s">
        <v>132</v>
      </c>
      <c r="G120" s="18">
        <v>43626</v>
      </c>
      <c r="I120" s="68"/>
      <c r="P120" s="136"/>
    </row>
    <row r="121" spans="2:16" customFormat="1">
      <c r="B121" s="62">
        <f>MONTH(G121)</f>
        <v>6</v>
      </c>
      <c r="C121" s="62" t="s">
        <v>5</v>
      </c>
      <c r="D121" s="20" t="s">
        <v>90</v>
      </c>
      <c r="E121" s="5">
        <v>100</v>
      </c>
      <c r="F121" s="18" t="s">
        <v>132</v>
      </c>
      <c r="G121" s="18">
        <v>43626</v>
      </c>
      <c r="I121" s="68"/>
      <c r="P121" s="136"/>
    </row>
    <row r="122" spans="2:16" customFormat="1">
      <c r="B122" s="62">
        <f>MONTH(G122)</f>
        <v>6</v>
      </c>
      <c r="C122" s="62" t="s">
        <v>5</v>
      </c>
      <c r="D122" s="20" t="s">
        <v>91</v>
      </c>
      <c r="E122" s="5">
        <v>100</v>
      </c>
      <c r="F122" s="18" t="s">
        <v>132</v>
      </c>
      <c r="G122" s="18">
        <v>43626</v>
      </c>
      <c r="I122" s="68"/>
      <c r="P122" s="136"/>
    </row>
    <row r="123" spans="2:16" customFormat="1">
      <c r="B123" s="62">
        <v>6</v>
      </c>
      <c r="C123" s="62" t="s">
        <v>5</v>
      </c>
      <c r="D123" s="20" t="s">
        <v>19</v>
      </c>
      <c r="E123" s="5">
        <v>100</v>
      </c>
      <c r="F123" s="18" t="s">
        <v>132</v>
      </c>
      <c r="G123" s="18">
        <v>43626</v>
      </c>
      <c r="I123" s="68"/>
      <c r="P123" s="136"/>
    </row>
    <row r="124" spans="2:16" customFormat="1">
      <c r="B124" s="62">
        <f t="shared" ref="B124:B136" si="4">MONTH(G124)</f>
        <v>6</v>
      </c>
      <c r="C124" s="62" t="s">
        <v>5</v>
      </c>
      <c r="D124" s="20" t="s">
        <v>27</v>
      </c>
      <c r="E124" s="5">
        <v>100</v>
      </c>
      <c r="F124" s="18" t="s">
        <v>132</v>
      </c>
      <c r="G124" s="18">
        <v>43626</v>
      </c>
      <c r="I124" s="70"/>
      <c r="P124" s="136"/>
    </row>
    <row r="125" spans="2:16" customFormat="1">
      <c r="B125" s="62">
        <f t="shared" si="4"/>
        <v>6</v>
      </c>
      <c r="C125" s="62" t="s">
        <v>5</v>
      </c>
      <c r="D125" s="20" t="s">
        <v>523</v>
      </c>
      <c r="E125" s="5">
        <v>100</v>
      </c>
      <c r="F125" s="18" t="s">
        <v>132</v>
      </c>
      <c r="G125" s="18">
        <v>43626</v>
      </c>
      <c r="I125" s="68"/>
      <c r="P125" s="136"/>
    </row>
    <row r="126" spans="2:16" customFormat="1">
      <c r="B126" s="62">
        <f t="shared" si="4"/>
        <v>6</v>
      </c>
      <c r="C126" s="62" t="s">
        <v>5</v>
      </c>
      <c r="D126" s="20" t="s">
        <v>111</v>
      </c>
      <c r="E126" s="5">
        <v>100</v>
      </c>
      <c r="F126" s="18" t="s">
        <v>132</v>
      </c>
      <c r="G126" s="18">
        <v>43626</v>
      </c>
      <c r="I126" s="70"/>
      <c r="P126" s="136"/>
    </row>
    <row r="127" spans="2:16" customFormat="1">
      <c r="B127" s="62">
        <f t="shared" si="4"/>
        <v>6</v>
      </c>
      <c r="C127" s="62" t="s">
        <v>5</v>
      </c>
      <c r="D127" s="20" t="s">
        <v>20</v>
      </c>
      <c r="E127" s="5">
        <v>100</v>
      </c>
      <c r="F127" s="18" t="s">
        <v>132</v>
      </c>
      <c r="G127" s="18">
        <v>43626</v>
      </c>
      <c r="I127" s="68"/>
      <c r="P127" s="136"/>
    </row>
    <row r="128" spans="2:16" customFormat="1">
      <c r="B128" s="62">
        <f t="shared" si="4"/>
        <v>6</v>
      </c>
      <c r="C128" s="62" t="s">
        <v>5</v>
      </c>
      <c r="D128" s="20" t="s">
        <v>86</v>
      </c>
      <c r="E128" s="5">
        <v>100</v>
      </c>
      <c r="F128" s="18" t="s">
        <v>132</v>
      </c>
      <c r="G128" s="18">
        <v>43626</v>
      </c>
      <c r="I128" s="68"/>
      <c r="P128" s="136"/>
    </row>
    <row r="129" spans="2:16" customFormat="1">
      <c r="B129" s="62">
        <f t="shared" si="4"/>
        <v>6</v>
      </c>
      <c r="C129" s="62" t="s">
        <v>5</v>
      </c>
      <c r="D129" s="20" t="s">
        <v>78</v>
      </c>
      <c r="E129" s="5">
        <v>100</v>
      </c>
      <c r="F129" s="18" t="s">
        <v>132</v>
      </c>
      <c r="G129" s="18">
        <v>43626</v>
      </c>
      <c r="I129" s="68"/>
      <c r="P129" s="136"/>
    </row>
    <row r="130" spans="2:16" customFormat="1">
      <c r="B130" s="62">
        <f t="shared" si="4"/>
        <v>6</v>
      </c>
      <c r="C130" s="62" t="s">
        <v>5</v>
      </c>
      <c r="D130" s="20" t="s">
        <v>22</v>
      </c>
      <c r="E130" s="5">
        <v>100</v>
      </c>
      <c r="F130" s="18" t="s">
        <v>132</v>
      </c>
      <c r="G130" s="18">
        <v>43626</v>
      </c>
      <c r="I130" s="68"/>
      <c r="P130" s="136"/>
    </row>
    <row r="131" spans="2:16" customFormat="1">
      <c r="B131" s="62">
        <f t="shared" si="4"/>
        <v>6</v>
      </c>
      <c r="C131" s="62" t="s">
        <v>5</v>
      </c>
      <c r="D131" s="20" t="s">
        <v>92</v>
      </c>
      <c r="E131" s="5">
        <v>100</v>
      </c>
      <c r="F131" s="18" t="s">
        <v>132</v>
      </c>
      <c r="G131" s="18">
        <v>43626</v>
      </c>
      <c r="I131" s="68"/>
      <c r="P131" s="136"/>
    </row>
    <row r="132" spans="2:16" customFormat="1">
      <c r="B132" s="62">
        <f t="shared" si="4"/>
        <v>6</v>
      </c>
      <c r="C132" s="62" t="s">
        <v>5</v>
      </c>
      <c r="D132" s="20" t="s">
        <v>120</v>
      </c>
      <c r="E132" s="5">
        <v>100</v>
      </c>
      <c r="F132" s="18" t="s">
        <v>132</v>
      </c>
      <c r="G132" s="18">
        <v>43626</v>
      </c>
      <c r="I132" s="68"/>
      <c r="P132" s="136"/>
    </row>
    <row r="133" spans="2:16" customFormat="1">
      <c r="B133" s="62">
        <f t="shared" si="4"/>
        <v>6</v>
      </c>
      <c r="C133" s="62" t="s">
        <v>5</v>
      </c>
      <c r="D133" s="20" t="s">
        <v>524</v>
      </c>
      <c r="E133" s="5">
        <v>100</v>
      </c>
      <c r="F133" s="18" t="s">
        <v>132</v>
      </c>
      <c r="G133" s="18">
        <v>43626</v>
      </c>
      <c r="I133" s="68"/>
      <c r="P133" s="136"/>
    </row>
    <row r="134" spans="2:16" customFormat="1">
      <c r="B134" s="62">
        <f t="shared" si="4"/>
        <v>6</v>
      </c>
      <c r="C134" s="62" t="s">
        <v>5</v>
      </c>
      <c r="D134" s="20" t="s">
        <v>23</v>
      </c>
      <c r="E134" s="5">
        <v>100</v>
      </c>
      <c r="F134" s="18" t="s">
        <v>132</v>
      </c>
      <c r="G134" s="66">
        <v>43626</v>
      </c>
      <c r="I134" s="68"/>
      <c r="P134" s="136"/>
    </row>
    <row r="135" spans="2:16" customFormat="1">
      <c r="B135" s="62">
        <f t="shared" si="4"/>
        <v>6</v>
      </c>
      <c r="C135" s="62" t="s">
        <v>5</v>
      </c>
      <c r="D135" s="20" t="s">
        <v>24</v>
      </c>
      <c r="E135" s="5">
        <v>100</v>
      </c>
      <c r="F135" s="18" t="s">
        <v>132</v>
      </c>
      <c r="G135" s="18">
        <v>43626</v>
      </c>
      <c r="I135" s="68"/>
      <c r="P135" s="136"/>
    </row>
    <row r="136" spans="2:16" customFormat="1">
      <c r="B136" s="62">
        <f t="shared" si="4"/>
        <v>6</v>
      </c>
      <c r="C136" s="62" t="s">
        <v>5</v>
      </c>
      <c r="D136" s="20" t="s">
        <v>87</v>
      </c>
      <c r="E136" s="5">
        <v>100</v>
      </c>
      <c r="F136" s="18" t="s">
        <v>132</v>
      </c>
      <c r="G136" s="18">
        <v>43626</v>
      </c>
      <c r="I136" s="68"/>
      <c r="P136" s="136"/>
    </row>
    <row r="137" spans="2:16" customFormat="1">
      <c r="B137" s="62">
        <v>6</v>
      </c>
      <c r="C137" s="62" t="s">
        <v>5</v>
      </c>
      <c r="D137" s="20" t="s">
        <v>440</v>
      </c>
      <c r="E137" s="5">
        <v>100</v>
      </c>
      <c r="F137" s="18" t="s">
        <v>132</v>
      </c>
      <c r="G137" s="18">
        <v>43626</v>
      </c>
      <c r="I137" s="68"/>
      <c r="P137" s="136"/>
    </row>
    <row r="138" spans="2:16" customFormat="1">
      <c r="B138" s="62">
        <f>MONTH(G138)</f>
        <v>6</v>
      </c>
      <c r="C138" s="62" t="s">
        <v>5</v>
      </c>
      <c r="D138" s="4" t="s">
        <v>88</v>
      </c>
      <c r="E138" s="5">
        <v>100</v>
      </c>
      <c r="F138" s="18" t="s">
        <v>132</v>
      </c>
      <c r="G138" s="18">
        <v>43626</v>
      </c>
      <c r="I138" s="68"/>
      <c r="P138" s="136"/>
    </row>
    <row r="139" spans="2:16" customFormat="1">
      <c r="B139" s="62">
        <f>MONTH(G139)</f>
        <v>6</v>
      </c>
      <c r="C139" s="62" t="s">
        <v>5</v>
      </c>
      <c r="D139" s="20" t="s">
        <v>121</v>
      </c>
      <c r="E139" s="5">
        <v>100</v>
      </c>
      <c r="F139" s="18" t="s">
        <v>132</v>
      </c>
      <c r="G139" s="18">
        <v>43626</v>
      </c>
      <c r="I139" s="68"/>
      <c r="P139" s="136"/>
    </row>
    <row r="140" spans="2:16" customFormat="1">
      <c r="B140" s="62">
        <v>6</v>
      </c>
      <c r="C140" s="62" t="s">
        <v>5</v>
      </c>
      <c r="D140" s="20" t="s">
        <v>517</v>
      </c>
      <c r="E140" s="5">
        <v>100</v>
      </c>
      <c r="F140" s="18" t="s">
        <v>132</v>
      </c>
      <c r="G140" s="18">
        <v>43626</v>
      </c>
      <c r="I140" s="68"/>
      <c r="P140" s="136"/>
    </row>
    <row r="141" spans="2:16" customFormat="1">
      <c r="B141" s="62">
        <v>7</v>
      </c>
      <c r="C141" s="62" t="s">
        <v>6</v>
      </c>
      <c r="D141" s="20" t="s">
        <v>19</v>
      </c>
      <c r="E141" s="5">
        <v>100</v>
      </c>
      <c r="F141" s="18" t="s">
        <v>132</v>
      </c>
      <c r="G141" s="18">
        <v>43647</v>
      </c>
      <c r="I141" s="70"/>
      <c r="P141" s="136"/>
    </row>
    <row r="142" spans="2:16" customFormat="1">
      <c r="B142" s="62">
        <f>MONTH(G142)</f>
        <v>7</v>
      </c>
      <c r="C142" s="62" t="s">
        <v>6</v>
      </c>
      <c r="D142" s="20" t="s">
        <v>525</v>
      </c>
      <c r="E142" s="30">
        <v>700</v>
      </c>
      <c r="F142" s="18" t="s">
        <v>39</v>
      </c>
      <c r="G142" s="18">
        <v>43656</v>
      </c>
      <c r="I142" s="68" t="s">
        <v>530</v>
      </c>
      <c r="P142" s="136"/>
    </row>
    <row r="143" spans="2:16" customFormat="1">
      <c r="B143" s="62">
        <f>MONTH(G143)</f>
        <v>7</v>
      </c>
      <c r="C143" s="62" t="s">
        <v>6</v>
      </c>
      <c r="D143" s="20" t="s">
        <v>518</v>
      </c>
      <c r="E143" s="5">
        <v>50</v>
      </c>
      <c r="F143" s="18" t="s">
        <v>132</v>
      </c>
      <c r="G143" s="18">
        <v>43656</v>
      </c>
      <c r="I143" s="68"/>
      <c r="P143" s="136"/>
    </row>
    <row r="144" spans="2:16" customFormat="1">
      <c r="B144" s="62">
        <v>7</v>
      </c>
      <c r="C144" s="62" t="s">
        <v>6</v>
      </c>
      <c r="D144" s="20" t="s">
        <v>15</v>
      </c>
      <c r="E144" s="5">
        <v>100</v>
      </c>
      <c r="F144" s="18" t="s">
        <v>132</v>
      </c>
      <c r="G144" s="18">
        <v>43656</v>
      </c>
      <c r="I144" s="68"/>
      <c r="P144" s="136"/>
    </row>
    <row r="145" spans="2:16" customFormat="1">
      <c r="B145" s="62">
        <f>MONTH(G145)</f>
        <v>7</v>
      </c>
      <c r="C145" s="62" t="s">
        <v>6</v>
      </c>
      <c r="D145" s="20" t="s">
        <v>110</v>
      </c>
      <c r="E145" s="5">
        <v>100</v>
      </c>
      <c r="F145" s="18" t="s">
        <v>132</v>
      </c>
      <c r="G145" s="18">
        <v>43656</v>
      </c>
      <c r="I145" s="68"/>
      <c r="P145" s="136"/>
    </row>
    <row r="146" spans="2:16" customFormat="1">
      <c r="B146" s="62">
        <v>7</v>
      </c>
      <c r="C146" s="62" t="s">
        <v>6</v>
      </c>
      <c r="D146" s="20" t="s">
        <v>81</v>
      </c>
      <c r="E146" s="5">
        <v>100</v>
      </c>
      <c r="F146" s="18" t="s">
        <v>132</v>
      </c>
      <c r="G146" s="18">
        <v>43656</v>
      </c>
      <c r="I146" s="68"/>
      <c r="P146" s="136"/>
    </row>
    <row r="147" spans="2:16" customFormat="1">
      <c r="B147" s="62">
        <f t="shared" ref="B147:B156" si="5">MONTH(G147)</f>
        <v>7</v>
      </c>
      <c r="C147" s="62" t="s">
        <v>6</v>
      </c>
      <c r="D147" s="20" t="s">
        <v>103</v>
      </c>
      <c r="E147" s="5">
        <v>50</v>
      </c>
      <c r="F147" s="18" t="s">
        <v>132</v>
      </c>
      <c r="G147" s="18">
        <v>43656</v>
      </c>
      <c r="I147" s="68"/>
      <c r="P147" s="136"/>
    </row>
    <row r="148" spans="2:16" customFormat="1">
      <c r="B148" s="62">
        <f t="shared" si="5"/>
        <v>7</v>
      </c>
      <c r="C148" s="62" t="s">
        <v>6</v>
      </c>
      <c r="D148" s="20" t="s">
        <v>90</v>
      </c>
      <c r="E148" s="5">
        <v>100</v>
      </c>
      <c r="F148" s="18" t="s">
        <v>132</v>
      </c>
      <c r="G148" s="18">
        <v>43656</v>
      </c>
      <c r="I148" s="68"/>
      <c r="P148" s="136"/>
    </row>
    <row r="149" spans="2:16" customFormat="1">
      <c r="B149" s="62">
        <f t="shared" si="5"/>
        <v>7</v>
      </c>
      <c r="C149" s="62" t="s">
        <v>6</v>
      </c>
      <c r="D149" s="20" t="s">
        <v>91</v>
      </c>
      <c r="E149" s="5">
        <v>100</v>
      </c>
      <c r="F149" s="18" t="s">
        <v>132</v>
      </c>
      <c r="G149" s="18">
        <v>43656</v>
      </c>
      <c r="I149" s="68"/>
      <c r="P149" s="136"/>
    </row>
    <row r="150" spans="2:16" customFormat="1">
      <c r="B150" s="62">
        <f t="shared" si="5"/>
        <v>7</v>
      </c>
      <c r="C150" s="62" t="s">
        <v>6</v>
      </c>
      <c r="D150" s="20" t="s">
        <v>515</v>
      </c>
      <c r="E150" s="5">
        <v>100</v>
      </c>
      <c r="F150" s="18" t="s">
        <v>132</v>
      </c>
      <c r="G150" s="18">
        <v>43656</v>
      </c>
      <c r="I150" s="68"/>
      <c r="P150" s="136"/>
    </row>
    <row r="151" spans="2:16" customFormat="1">
      <c r="B151" s="62">
        <f t="shared" si="5"/>
        <v>7</v>
      </c>
      <c r="C151" s="62" t="s">
        <v>6</v>
      </c>
      <c r="D151" s="20" t="s">
        <v>111</v>
      </c>
      <c r="E151" s="5">
        <v>100</v>
      </c>
      <c r="F151" s="18" t="s">
        <v>132</v>
      </c>
      <c r="G151" s="18">
        <v>43656</v>
      </c>
      <c r="I151" s="68"/>
      <c r="P151" s="136"/>
    </row>
    <row r="152" spans="2:16" customFormat="1">
      <c r="B152" s="62">
        <f t="shared" si="5"/>
        <v>7</v>
      </c>
      <c r="C152" s="62" t="s">
        <v>6</v>
      </c>
      <c r="D152" s="20" t="s">
        <v>86</v>
      </c>
      <c r="E152" s="5">
        <v>100</v>
      </c>
      <c r="F152" s="18" t="s">
        <v>132</v>
      </c>
      <c r="G152" s="18">
        <v>43656</v>
      </c>
      <c r="I152" s="68"/>
      <c r="P152" s="136"/>
    </row>
    <row r="153" spans="2:16" customFormat="1">
      <c r="B153" s="62">
        <f t="shared" si="5"/>
        <v>7</v>
      </c>
      <c r="C153" s="62" t="s">
        <v>6</v>
      </c>
      <c r="D153" s="20" t="s">
        <v>78</v>
      </c>
      <c r="E153" s="5">
        <v>100</v>
      </c>
      <c r="F153" s="18" t="s">
        <v>132</v>
      </c>
      <c r="G153" s="18">
        <v>43656</v>
      </c>
      <c r="I153" s="68"/>
      <c r="P153" s="136"/>
    </row>
    <row r="154" spans="2:16" customFormat="1">
      <c r="B154" s="62">
        <f t="shared" si="5"/>
        <v>7</v>
      </c>
      <c r="C154" s="62" t="s">
        <v>6</v>
      </c>
      <c r="D154" s="20" t="s">
        <v>23</v>
      </c>
      <c r="E154" s="5">
        <v>100</v>
      </c>
      <c r="F154" s="18" t="s">
        <v>132</v>
      </c>
      <c r="G154" s="66">
        <v>43656</v>
      </c>
      <c r="I154" s="68"/>
      <c r="P154" s="136"/>
    </row>
    <row r="155" spans="2:16" customFormat="1">
      <c r="B155" s="62">
        <f t="shared" si="5"/>
        <v>7</v>
      </c>
      <c r="C155" s="62" t="s">
        <v>6</v>
      </c>
      <c r="D155" s="20" t="s">
        <v>24</v>
      </c>
      <c r="E155" s="5">
        <v>50</v>
      </c>
      <c r="F155" s="18" t="s">
        <v>132</v>
      </c>
      <c r="G155" s="18">
        <v>43656</v>
      </c>
      <c r="I155" s="68"/>
      <c r="P155" s="136"/>
    </row>
    <row r="156" spans="2:16" customFormat="1">
      <c r="B156" s="62">
        <f t="shared" si="5"/>
        <v>7</v>
      </c>
      <c r="C156" s="62" t="s">
        <v>6</v>
      </c>
      <c r="D156" s="20" t="s">
        <v>87</v>
      </c>
      <c r="E156" s="5">
        <v>100</v>
      </c>
      <c r="F156" s="18" t="s">
        <v>132</v>
      </c>
      <c r="G156" s="18">
        <v>43656</v>
      </c>
      <c r="I156" s="68"/>
      <c r="P156" s="136"/>
    </row>
    <row r="157" spans="2:16" customFormat="1">
      <c r="B157" s="62">
        <v>7</v>
      </c>
      <c r="C157" s="62" t="s">
        <v>6</v>
      </c>
      <c r="D157" s="20" t="s">
        <v>440</v>
      </c>
      <c r="E157" s="5">
        <v>100</v>
      </c>
      <c r="F157" s="18" t="s">
        <v>132</v>
      </c>
      <c r="G157" s="18">
        <v>43656</v>
      </c>
      <c r="I157" s="68"/>
      <c r="P157" s="136"/>
    </row>
    <row r="158" spans="2:16" customFormat="1">
      <c r="B158" s="62">
        <f>MONTH(G158)</f>
        <v>7</v>
      </c>
      <c r="C158" s="62" t="s">
        <v>6</v>
      </c>
      <c r="D158" s="20" t="s">
        <v>121</v>
      </c>
      <c r="E158" s="5">
        <v>100</v>
      </c>
      <c r="F158" s="18" t="s">
        <v>132</v>
      </c>
      <c r="G158" s="18">
        <v>43656</v>
      </c>
      <c r="I158" s="68"/>
      <c r="P158" s="136"/>
    </row>
    <row r="159" spans="2:16" customFormat="1">
      <c r="B159" s="62">
        <v>7</v>
      </c>
      <c r="C159" s="62" t="s">
        <v>6</v>
      </c>
      <c r="D159" s="20" t="s">
        <v>517</v>
      </c>
      <c r="E159" s="5">
        <v>100</v>
      </c>
      <c r="F159" s="18" t="s">
        <v>132</v>
      </c>
      <c r="G159" s="18">
        <v>43656</v>
      </c>
      <c r="I159" s="68"/>
      <c r="P159" s="136"/>
    </row>
    <row r="160" spans="2:16" customFormat="1">
      <c r="B160" s="62">
        <v>8</v>
      </c>
      <c r="C160" s="62" t="s">
        <v>10</v>
      </c>
      <c r="D160" s="20" t="s">
        <v>517</v>
      </c>
      <c r="E160" s="5">
        <v>100</v>
      </c>
      <c r="F160" s="18" t="s">
        <v>132</v>
      </c>
      <c r="G160" s="18">
        <v>43656</v>
      </c>
      <c r="I160" s="68"/>
      <c r="P160" s="136"/>
    </row>
    <row r="161" spans="2:16" customFormat="1">
      <c r="B161" s="62">
        <v>8</v>
      </c>
      <c r="C161" s="62" t="s">
        <v>10</v>
      </c>
      <c r="D161" s="20" t="s">
        <v>19</v>
      </c>
      <c r="E161" s="5">
        <v>100</v>
      </c>
      <c r="F161" s="18" t="s">
        <v>132</v>
      </c>
      <c r="G161" s="18">
        <v>43685</v>
      </c>
      <c r="I161" s="68"/>
      <c r="P161" s="136"/>
    </row>
    <row r="162" spans="2:16" customFormat="1">
      <c r="B162" s="62">
        <v>8</v>
      </c>
      <c r="C162" s="62" t="s">
        <v>10</v>
      </c>
      <c r="D162" s="20" t="s">
        <v>81</v>
      </c>
      <c r="E162" s="5">
        <v>100</v>
      </c>
      <c r="F162" s="18" t="s">
        <v>132</v>
      </c>
      <c r="G162" s="18">
        <v>43687</v>
      </c>
      <c r="I162" s="68"/>
      <c r="P162" s="136"/>
    </row>
    <row r="163" spans="2:16" customFormat="1">
      <c r="B163" s="62">
        <f t="shared" ref="B163:B168" si="6">MONTH(G163)</f>
        <v>8</v>
      </c>
      <c r="C163" s="62" t="s">
        <v>10</v>
      </c>
      <c r="D163" s="4" t="s">
        <v>90</v>
      </c>
      <c r="E163" s="5">
        <v>100</v>
      </c>
      <c r="F163" s="18" t="s">
        <v>132</v>
      </c>
      <c r="G163" s="18">
        <v>43687</v>
      </c>
      <c r="I163" s="68"/>
      <c r="P163" s="136"/>
    </row>
    <row r="164" spans="2:16" customFormat="1">
      <c r="B164" s="62">
        <f t="shared" si="6"/>
        <v>8</v>
      </c>
      <c r="C164" s="62" t="s">
        <v>10</v>
      </c>
      <c r="D164" s="20" t="s">
        <v>91</v>
      </c>
      <c r="E164" s="5">
        <v>100</v>
      </c>
      <c r="F164" s="18" t="s">
        <v>132</v>
      </c>
      <c r="G164" s="18">
        <v>43687</v>
      </c>
      <c r="I164" s="68"/>
      <c r="P164" s="136"/>
    </row>
    <row r="165" spans="2:16" customFormat="1">
      <c r="B165" s="62">
        <f t="shared" si="6"/>
        <v>8</v>
      </c>
      <c r="C165" s="62" t="s">
        <v>522</v>
      </c>
      <c r="D165" s="20" t="s">
        <v>515</v>
      </c>
      <c r="E165" s="5">
        <v>100</v>
      </c>
      <c r="F165" s="18" t="s">
        <v>132</v>
      </c>
      <c r="G165" s="18">
        <v>43687</v>
      </c>
      <c r="I165" s="68"/>
      <c r="P165" s="136"/>
    </row>
    <row r="166" spans="2:16" customFormat="1">
      <c r="B166" s="62">
        <f t="shared" si="6"/>
        <v>8</v>
      </c>
      <c r="C166" s="62" t="s">
        <v>10</v>
      </c>
      <c r="D166" s="20" t="s">
        <v>111</v>
      </c>
      <c r="E166" s="5">
        <v>100</v>
      </c>
      <c r="F166" s="18" t="s">
        <v>132</v>
      </c>
      <c r="G166" s="18">
        <v>43687</v>
      </c>
      <c r="I166" s="68"/>
      <c r="P166" s="136"/>
    </row>
    <row r="167" spans="2:16" customFormat="1">
      <c r="B167" s="62">
        <f t="shared" si="6"/>
        <v>8</v>
      </c>
      <c r="C167" s="62" t="s">
        <v>10</v>
      </c>
      <c r="D167" s="20" t="s">
        <v>23</v>
      </c>
      <c r="E167" s="5">
        <v>600</v>
      </c>
      <c r="F167" s="18" t="s">
        <v>132</v>
      </c>
      <c r="G167" s="66">
        <v>43687</v>
      </c>
      <c r="I167" s="68"/>
      <c r="P167" s="136"/>
    </row>
    <row r="168" spans="2:16" customFormat="1">
      <c r="B168" s="62">
        <f t="shared" si="6"/>
        <v>8</v>
      </c>
      <c r="C168" s="62" t="s">
        <v>10</v>
      </c>
      <c r="D168" s="20" t="s">
        <v>87</v>
      </c>
      <c r="E168" s="5">
        <v>100</v>
      </c>
      <c r="F168" s="18" t="s">
        <v>132</v>
      </c>
      <c r="G168" s="18">
        <v>43687</v>
      </c>
      <c r="I168" s="68"/>
      <c r="P168" s="136"/>
    </row>
    <row r="169" spans="2:16" customFormat="1">
      <c r="B169" s="62">
        <v>8</v>
      </c>
      <c r="C169" s="62" t="s">
        <v>10</v>
      </c>
      <c r="D169" s="20" t="s">
        <v>440</v>
      </c>
      <c r="E169" s="5">
        <v>100</v>
      </c>
      <c r="F169" s="18" t="s">
        <v>132</v>
      </c>
      <c r="G169" s="18">
        <v>43687</v>
      </c>
      <c r="I169" s="68"/>
      <c r="P169" s="136"/>
    </row>
    <row r="170" spans="2:16">
      <c r="B170" s="62">
        <f t="shared" ref="B170:B232" si="7">MONTH(G170)</f>
        <v>1</v>
      </c>
      <c r="C170" s="62"/>
      <c r="D170" s="20"/>
      <c r="E170" s="30"/>
      <c r="F170" s="66"/>
      <c r="G170" s="66"/>
    </row>
    <row r="171" spans="2:16">
      <c r="B171" s="62">
        <f t="shared" si="7"/>
        <v>1</v>
      </c>
      <c r="C171" s="62"/>
      <c r="D171" s="20"/>
      <c r="E171" s="30"/>
      <c r="F171" s="66"/>
      <c r="G171" s="66"/>
    </row>
    <row r="172" spans="2:16">
      <c r="B172" s="62">
        <f t="shared" si="7"/>
        <v>1</v>
      </c>
      <c r="C172" s="62"/>
      <c r="D172" s="20"/>
      <c r="E172" s="30"/>
      <c r="F172" s="66"/>
      <c r="G172" s="66"/>
    </row>
    <row r="173" spans="2:16">
      <c r="B173" s="62">
        <f t="shared" si="7"/>
        <v>1</v>
      </c>
      <c r="C173" s="62"/>
      <c r="D173" s="20"/>
      <c r="E173" s="30"/>
      <c r="F173" s="66"/>
      <c r="G173" s="66"/>
    </row>
    <row r="174" spans="2:16">
      <c r="B174" s="62">
        <f t="shared" si="7"/>
        <v>1</v>
      </c>
      <c r="C174" s="62"/>
      <c r="D174" s="20"/>
      <c r="E174" s="30"/>
      <c r="F174" s="66"/>
      <c r="G174" s="66"/>
    </row>
    <row r="175" spans="2:16">
      <c r="B175" s="62">
        <f t="shared" si="7"/>
        <v>1</v>
      </c>
      <c r="C175" s="62"/>
      <c r="D175" s="20"/>
      <c r="E175" s="30"/>
      <c r="F175" s="66"/>
      <c r="G175" s="66"/>
    </row>
    <row r="176" spans="2:16">
      <c r="B176" s="62">
        <f t="shared" si="7"/>
        <v>1</v>
      </c>
      <c r="C176" s="62"/>
      <c r="D176" s="20"/>
      <c r="E176" s="30"/>
      <c r="F176" s="66"/>
      <c r="G176" s="66"/>
    </row>
    <row r="177" spans="2:7">
      <c r="B177" s="62">
        <f t="shared" si="7"/>
        <v>1</v>
      </c>
      <c r="C177" s="62"/>
      <c r="D177" s="20"/>
      <c r="E177" s="30"/>
      <c r="F177" s="66"/>
      <c r="G177" s="66"/>
    </row>
    <row r="178" spans="2:7">
      <c r="B178" s="62">
        <f t="shared" si="7"/>
        <v>1</v>
      </c>
      <c r="C178" s="62"/>
      <c r="D178" s="20"/>
      <c r="E178" s="30"/>
      <c r="F178" s="66"/>
      <c r="G178" s="66"/>
    </row>
    <row r="179" spans="2:7">
      <c r="B179" s="62">
        <f t="shared" si="7"/>
        <v>1</v>
      </c>
      <c r="C179" s="62"/>
      <c r="D179" s="20"/>
      <c r="E179" s="30"/>
      <c r="F179" s="66"/>
      <c r="G179" s="66"/>
    </row>
    <row r="180" spans="2:7">
      <c r="B180" s="62">
        <f t="shared" si="7"/>
        <v>1</v>
      </c>
      <c r="C180" s="62"/>
      <c r="D180" s="20"/>
      <c r="E180" s="30"/>
      <c r="F180" s="66"/>
      <c r="G180" s="66"/>
    </row>
    <row r="181" spans="2:7">
      <c r="B181" s="62">
        <f t="shared" si="7"/>
        <v>1</v>
      </c>
      <c r="C181" s="62"/>
      <c r="D181" s="20"/>
      <c r="E181" s="30"/>
      <c r="F181" s="66"/>
      <c r="G181" s="66"/>
    </row>
    <row r="182" spans="2:7">
      <c r="B182" s="62">
        <f t="shared" si="7"/>
        <v>1</v>
      </c>
      <c r="C182" s="62"/>
      <c r="D182" s="20"/>
      <c r="E182" s="30"/>
      <c r="F182" s="66"/>
      <c r="G182" s="66"/>
    </row>
    <row r="183" spans="2:7">
      <c r="B183" s="62">
        <f t="shared" si="7"/>
        <v>1</v>
      </c>
      <c r="C183" s="62"/>
      <c r="D183" s="20"/>
      <c r="E183" s="30"/>
      <c r="F183" s="66"/>
      <c r="G183" s="66"/>
    </row>
    <row r="184" spans="2:7">
      <c r="B184" s="62">
        <f t="shared" si="7"/>
        <v>1</v>
      </c>
      <c r="C184" s="62"/>
      <c r="D184" s="20"/>
      <c r="E184" s="30"/>
      <c r="F184" s="66"/>
      <c r="G184" s="66"/>
    </row>
    <row r="185" spans="2:7">
      <c r="B185" s="62">
        <f t="shared" si="7"/>
        <v>1</v>
      </c>
      <c r="C185" s="62"/>
      <c r="D185" s="20"/>
      <c r="E185" s="30"/>
      <c r="F185" s="66"/>
      <c r="G185" s="66"/>
    </row>
    <row r="186" spans="2:7">
      <c r="B186" s="62">
        <f t="shared" si="7"/>
        <v>1</v>
      </c>
      <c r="C186" s="62"/>
      <c r="D186" s="20"/>
      <c r="E186" s="30"/>
      <c r="F186" s="66"/>
      <c r="G186" s="66"/>
    </row>
    <row r="187" spans="2:7">
      <c r="B187" s="62">
        <f t="shared" si="7"/>
        <v>1</v>
      </c>
      <c r="C187" s="62"/>
      <c r="D187" s="20"/>
      <c r="E187" s="30"/>
      <c r="F187" s="66"/>
      <c r="G187" s="66"/>
    </row>
    <row r="188" spans="2:7">
      <c r="B188" s="62">
        <f t="shared" si="7"/>
        <v>1</v>
      </c>
      <c r="C188" s="62"/>
      <c r="D188" s="20"/>
      <c r="E188" s="30"/>
      <c r="F188" s="66"/>
      <c r="G188" s="66"/>
    </row>
    <row r="189" spans="2:7">
      <c r="B189" s="62">
        <f t="shared" si="7"/>
        <v>1</v>
      </c>
      <c r="C189" s="62"/>
      <c r="D189" s="20"/>
      <c r="E189" s="30"/>
      <c r="F189" s="66"/>
      <c r="G189" s="66"/>
    </row>
    <row r="190" spans="2:7">
      <c r="B190" s="62">
        <f t="shared" si="7"/>
        <v>1</v>
      </c>
      <c r="C190" s="62"/>
      <c r="D190" s="20"/>
      <c r="E190" s="30"/>
      <c r="F190" s="66"/>
      <c r="G190" s="66"/>
    </row>
    <row r="191" spans="2:7">
      <c r="B191" s="62">
        <f t="shared" si="7"/>
        <v>1</v>
      </c>
      <c r="C191" s="62"/>
      <c r="D191" s="20"/>
      <c r="E191" s="30"/>
      <c r="F191" s="66"/>
      <c r="G191" s="66"/>
    </row>
    <row r="192" spans="2:7">
      <c r="B192" s="62">
        <f t="shared" si="7"/>
        <v>1</v>
      </c>
      <c r="C192" s="62"/>
      <c r="D192" s="20"/>
      <c r="E192" s="30"/>
      <c r="F192" s="66"/>
      <c r="G192" s="66"/>
    </row>
    <row r="193" spans="2:7">
      <c r="B193" s="62">
        <f t="shared" si="7"/>
        <v>1</v>
      </c>
      <c r="C193" s="62"/>
      <c r="D193" s="20"/>
      <c r="E193" s="30"/>
      <c r="F193" s="66"/>
      <c r="G193" s="66"/>
    </row>
    <row r="194" spans="2:7">
      <c r="B194" s="62">
        <f t="shared" si="7"/>
        <v>1</v>
      </c>
      <c r="C194" s="62"/>
      <c r="D194" s="20"/>
      <c r="E194" s="30"/>
      <c r="F194" s="66"/>
      <c r="G194" s="66"/>
    </row>
    <row r="195" spans="2:7">
      <c r="B195" s="62">
        <f t="shared" si="7"/>
        <v>1</v>
      </c>
      <c r="C195" s="62"/>
      <c r="D195" s="20"/>
      <c r="E195" s="30"/>
      <c r="F195" s="66"/>
      <c r="G195" s="66"/>
    </row>
    <row r="196" spans="2:7">
      <c r="B196" s="62">
        <f t="shared" si="7"/>
        <v>1</v>
      </c>
      <c r="C196" s="62"/>
      <c r="D196" s="20"/>
      <c r="E196" s="30"/>
      <c r="F196" s="66"/>
      <c r="G196" s="66"/>
    </row>
    <row r="197" spans="2:7">
      <c r="B197" s="62">
        <f t="shared" si="7"/>
        <v>1</v>
      </c>
      <c r="C197" s="62"/>
      <c r="D197" s="20"/>
      <c r="E197" s="30"/>
      <c r="F197" s="66"/>
      <c r="G197" s="66"/>
    </row>
    <row r="198" spans="2:7">
      <c r="B198" s="62">
        <f t="shared" si="7"/>
        <v>1</v>
      </c>
      <c r="C198" s="62"/>
      <c r="D198" s="20"/>
      <c r="E198" s="30"/>
      <c r="F198" s="66"/>
      <c r="G198" s="66"/>
    </row>
    <row r="199" spans="2:7">
      <c r="B199" s="62">
        <f t="shared" si="7"/>
        <v>1</v>
      </c>
      <c r="C199" s="62"/>
      <c r="D199" s="20"/>
      <c r="E199" s="30"/>
      <c r="F199" s="66"/>
      <c r="G199" s="66"/>
    </row>
    <row r="200" spans="2:7">
      <c r="B200" s="62">
        <f t="shared" si="7"/>
        <v>1</v>
      </c>
      <c r="C200" s="62"/>
      <c r="D200" s="20"/>
      <c r="E200" s="30"/>
      <c r="F200" s="66"/>
      <c r="G200" s="66"/>
    </row>
    <row r="201" spans="2:7">
      <c r="B201" s="62">
        <f t="shared" si="7"/>
        <v>1</v>
      </c>
      <c r="C201" s="62"/>
      <c r="D201" s="20"/>
      <c r="E201" s="30"/>
      <c r="F201" s="66"/>
      <c r="G201" s="66"/>
    </row>
    <row r="202" spans="2:7">
      <c r="B202" s="62">
        <f t="shared" si="7"/>
        <v>1</v>
      </c>
      <c r="C202" s="62"/>
      <c r="D202" s="20"/>
      <c r="E202" s="30"/>
      <c r="F202" s="66"/>
      <c r="G202" s="66"/>
    </row>
    <row r="203" spans="2:7">
      <c r="B203" s="62">
        <f t="shared" si="7"/>
        <v>1</v>
      </c>
      <c r="C203" s="62"/>
      <c r="D203" s="20"/>
      <c r="E203" s="30"/>
      <c r="F203" s="66"/>
      <c r="G203" s="66"/>
    </row>
    <row r="204" spans="2:7">
      <c r="B204" s="62">
        <f t="shared" si="7"/>
        <v>1</v>
      </c>
      <c r="C204" s="62"/>
      <c r="D204" s="20"/>
      <c r="E204" s="30"/>
      <c r="F204" s="66"/>
      <c r="G204" s="66"/>
    </row>
    <row r="205" spans="2:7">
      <c r="B205" s="62">
        <f t="shared" si="7"/>
        <v>1</v>
      </c>
      <c r="C205" s="62"/>
      <c r="D205" s="20"/>
      <c r="E205" s="30"/>
      <c r="F205" s="66"/>
      <c r="G205" s="66"/>
    </row>
    <row r="206" spans="2:7">
      <c r="B206" s="62">
        <f t="shared" si="7"/>
        <v>1</v>
      </c>
      <c r="C206" s="62"/>
      <c r="D206" s="20"/>
      <c r="E206" s="30"/>
      <c r="F206" s="66"/>
      <c r="G206" s="66"/>
    </row>
    <row r="207" spans="2:7">
      <c r="B207" s="62">
        <f t="shared" si="7"/>
        <v>1</v>
      </c>
      <c r="C207" s="62"/>
      <c r="D207" s="20"/>
      <c r="E207" s="30"/>
      <c r="F207" s="66"/>
      <c r="G207" s="66"/>
    </row>
    <row r="208" spans="2:7">
      <c r="B208" s="62">
        <f t="shared" si="7"/>
        <v>1</v>
      </c>
      <c r="C208" s="62"/>
      <c r="D208" s="20"/>
      <c r="E208" s="30"/>
      <c r="F208" s="66"/>
      <c r="G208" s="66"/>
    </row>
    <row r="209" spans="2:9">
      <c r="B209" s="62">
        <f t="shared" si="7"/>
        <v>1</v>
      </c>
      <c r="C209" s="62"/>
      <c r="D209" s="20"/>
      <c r="E209" s="30"/>
      <c r="F209" s="66"/>
      <c r="G209" s="66"/>
    </row>
    <row r="210" spans="2:9">
      <c r="B210" s="62">
        <f t="shared" si="7"/>
        <v>1</v>
      </c>
      <c r="C210" s="62"/>
      <c r="D210" s="20"/>
      <c r="E210" s="30"/>
      <c r="F210" s="66"/>
      <c r="G210" s="66"/>
    </row>
    <row r="211" spans="2:9">
      <c r="B211" s="62">
        <f t="shared" si="7"/>
        <v>1</v>
      </c>
      <c r="C211" s="62"/>
      <c r="D211" s="20"/>
      <c r="E211" s="30"/>
      <c r="F211" s="66"/>
      <c r="G211" s="66"/>
      <c r="I211" s="131" t="s">
        <v>95</v>
      </c>
    </row>
    <row r="212" spans="2:9">
      <c r="B212" s="62">
        <f t="shared" si="7"/>
        <v>1</v>
      </c>
      <c r="C212" s="62"/>
      <c r="D212" s="20"/>
      <c r="E212" s="30"/>
      <c r="F212" s="66"/>
      <c r="G212" s="66"/>
    </row>
    <row r="213" spans="2:9">
      <c r="B213" s="62">
        <f t="shared" si="7"/>
        <v>1</v>
      </c>
      <c r="C213" s="62"/>
      <c r="D213" s="20"/>
      <c r="E213" s="30"/>
      <c r="F213" s="66"/>
      <c r="G213" s="66"/>
    </row>
    <row r="214" spans="2:9">
      <c r="B214" s="62">
        <f t="shared" si="7"/>
        <v>1</v>
      </c>
      <c r="C214" s="62"/>
      <c r="D214" s="20"/>
      <c r="E214" s="30"/>
      <c r="F214" s="66"/>
      <c r="G214" s="66"/>
    </row>
    <row r="215" spans="2:9">
      <c r="B215" s="62">
        <f t="shared" si="7"/>
        <v>1</v>
      </c>
      <c r="C215" s="62"/>
      <c r="D215" s="20"/>
      <c r="E215" s="30"/>
      <c r="F215" s="66"/>
      <c r="G215" s="66"/>
    </row>
    <row r="216" spans="2:9">
      <c r="B216" s="62">
        <f t="shared" si="7"/>
        <v>1</v>
      </c>
      <c r="C216" s="62"/>
      <c r="D216" s="20"/>
      <c r="E216" s="30"/>
      <c r="F216" s="66"/>
      <c r="G216" s="66"/>
    </row>
    <row r="217" spans="2:9">
      <c r="B217" s="62">
        <f t="shared" si="7"/>
        <v>1</v>
      </c>
      <c r="C217" s="62"/>
      <c r="D217" s="20"/>
      <c r="E217" s="30"/>
      <c r="F217" s="66"/>
      <c r="G217" s="66"/>
    </row>
    <row r="218" spans="2:9">
      <c r="B218" s="62">
        <f t="shared" si="7"/>
        <v>1</v>
      </c>
      <c r="C218" s="62"/>
      <c r="D218" s="20"/>
      <c r="E218" s="30"/>
      <c r="F218" s="66"/>
      <c r="G218" s="66"/>
    </row>
    <row r="219" spans="2:9">
      <c r="B219" s="62">
        <f t="shared" si="7"/>
        <v>1</v>
      </c>
      <c r="C219" s="62"/>
      <c r="D219" s="20"/>
      <c r="E219" s="30"/>
      <c r="F219" s="66"/>
      <c r="G219" s="66"/>
    </row>
    <row r="220" spans="2:9">
      <c r="B220" s="62">
        <f t="shared" si="7"/>
        <v>1</v>
      </c>
      <c r="C220" s="62"/>
      <c r="D220" s="20"/>
      <c r="E220" s="30"/>
      <c r="F220" s="66"/>
      <c r="G220" s="66"/>
    </row>
    <row r="221" spans="2:9">
      <c r="B221" s="62">
        <f t="shared" si="7"/>
        <v>1</v>
      </c>
      <c r="C221" s="62"/>
      <c r="D221" s="20"/>
      <c r="E221" s="30"/>
      <c r="F221" s="66"/>
      <c r="G221" s="66"/>
    </row>
    <row r="222" spans="2:9">
      <c r="B222" s="62">
        <f t="shared" si="7"/>
        <v>1</v>
      </c>
      <c r="C222" s="62"/>
      <c r="D222" s="20"/>
      <c r="E222" s="30"/>
      <c r="F222" s="66"/>
      <c r="G222" s="66"/>
    </row>
    <row r="223" spans="2:9">
      <c r="B223" s="62">
        <f t="shared" si="7"/>
        <v>1</v>
      </c>
      <c r="C223" s="62"/>
      <c r="D223" s="20"/>
      <c r="E223" s="30"/>
      <c r="F223" s="66"/>
      <c r="G223" s="66"/>
    </row>
    <row r="224" spans="2:9">
      <c r="B224" s="62">
        <f t="shared" si="7"/>
        <v>1</v>
      </c>
      <c r="C224" s="62"/>
      <c r="D224" s="20"/>
      <c r="E224" s="30"/>
      <c r="F224" s="66"/>
      <c r="G224" s="66"/>
    </row>
    <row r="225" spans="2:7">
      <c r="B225" s="62">
        <f t="shared" si="7"/>
        <v>1</v>
      </c>
      <c r="C225" s="62"/>
      <c r="D225" s="20"/>
      <c r="E225" s="30"/>
      <c r="F225" s="66"/>
      <c r="G225" s="66"/>
    </row>
    <row r="226" spans="2:7">
      <c r="B226" s="62">
        <f t="shared" si="7"/>
        <v>1</v>
      </c>
      <c r="C226" s="62"/>
      <c r="D226" s="20"/>
      <c r="E226" s="30"/>
      <c r="F226" s="66"/>
      <c r="G226" s="66"/>
    </row>
    <row r="227" spans="2:7">
      <c r="B227" s="62">
        <f t="shared" si="7"/>
        <v>1</v>
      </c>
      <c r="C227" s="62"/>
      <c r="D227" s="20"/>
      <c r="E227" s="30"/>
      <c r="F227" s="66"/>
      <c r="G227" s="66"/>
    </row>
    <row r="228" spans="2:7">
      <c r="B228" s="62">
        <f t="shared" si="7"/>
        <v>1</v>
      </c>
      <c r="C228" s="62"/>
      <c r="D228" s="20"/>
      <c r="E228" s="30"/>
      <c r="F228" s="66"/>
      <c r="G228" s="66"/>
    </row>
    <row r="229" spans="2:7">
      <c r="B229" s="62">
        <f t="shared" si="7"/>
        <v>1</v>
      </c>
      <c r="C229" s="62"/>
      <c r="D229" s="20"/>
      <c r="E229" s="30"/>
      <c r="F229" s="66"/>
      <c r="G229" s="66"/>
    </row>
    <row r="230" spans="2:7">
      <c r="B230" s="62">
        <f t="shared" si="7"/>
        <v>1</v>
      </c>
      <c r="C230" s="62"/>
      <c r="D230" s="20"/>
      <c r="E230" s="30"/>
      <c r="F230" s="66"/>
      <c r="G230" s="66"/>
    </row>
    <row r="231" spans="2:7">
      <c r="B231" s="62">
        <f t="shared" si="7"/>
        <v>1</v>
      </c>
      <c r="C231" s="62"/>
      <c r="D231" s="20"/>
      <c r="E231" s="30"/>
      <c r="F231" s="66"/>
      <c r="G231" s="66"/>
    </row>
    <row r="232" spans="2:7">
      <c r="B232" s="62">
        <f t="shared" si="7"/>
        <v>1</v>
      </c>
      <c r="C232" s="62"/>
      <c r="D232" s="20"/>
      <c r="E232" s="30"/>
      <c r="F232" s="66"/>
      <c r="G232" s="66"/>
    </row>
    <row r="233" spans="2:7">
      <c r="B233" s="62">
        <f t="shared" ref="B233:B296" si="8">MONTH(G233)</f>
        <v>1</v>
      </c>
      <c r="C233" s="62"/>
      <c r="D233" s="20"/>
      <c r="E233" s="30"/>
      <c r="F233" s="66"/>
      <c r="G233" s="66"/>
    </row>
    <row r="234" spans="2:7">
      <c r="B234" s="62">
        <f t="shared" si="8"/>
        <v>1</v>
      </c>
      <c r="C234" s="62"/>
      <c r="D234" s="20"/>
      <c r="E234" s="30"/>
      <c r="F234" s="66"/>
      <c r="G234" s="66"/>
    </row>
    <row r="235" spans="2:7">
      <c r="B235" s="62">
        <f t="shared" si="8"/>
        <v>1</v>
      </c>
      <c r="C235" s="62"/>
      <c r="D235" s="20"/>
      <c r="E235" s="30"/>
      <c r="F235" s="66"/>
      <c r="G235" s="66"/>
    </row>
    <row r="236" spans="2:7">
      <c r="B236" s="62">
        <f t="shared" si="8"/>
        <v>1</v>
      </c>
      <c r="C236" s="62"/>
      <c r="D236" s="20"/>
      <c r="E236" s="30"/>
      <c r="F236" s="66"/>
      <c r="G236" s="66"/>
    </row>
    <row r="237" spans="2:7">
      <c r="B237" s="62">
        <f t="shared" si="8"/>
        <v>1</v>
      </c>
      <c r="C237" s="62"/>
      <c r="D237" s="20"/>
      <c r="E237" s="30"/>
      <c r="F237" s="66"/>
      <c r="G237" s="66"/>
    </row>
    <row r="238" spans="2:7">
      <c r="B238" s="62">
        <f t="shared" si="8"/>
        <v>1</v>
      </c>
      <c r="C238" s="62"/>
      <c r="D238" s="20"/>
      <c r="E238" s="30"/>
      <c r="F238" s="66"/>
      <c r="G238" s="66"/>
    </row>
    <row r="239" spans="2:7">
      <c r="B239" s="62">
        <f t="shared" si="8"/>
        <v>1</v>
      </c>
      <c r="C239" s="62"/>
      <c r="D239" s="20"/>
      <c r="E239" s="30"/>
      <c r="F239" s="66"/>
      <c r="G239" s="66"/>
    </row>
    <row r="240" spans="2:7">
      <c r="B240" s="62">
        <f t="shared" si="8"/>
        <v>1</v>
      </c>
      <c r="C240" s="62"/>
      <c r="D240" s="20"/>
      <c r="E240" s="30"/>
      <c r="F240" s="66"/>
      <c r="G240" s="66"/>
    </row>
    <row r="241" spans="2:7">
      <c r="B241" s="62">
        <f t="shared" si="8"/>
        <v>1</v>
      </c>
      <c r="C241" s="62"/>
      <c r="D241" s="20"/>
      <c r="E241" s="30"/>
      <c r="F241" s="66"/>
      <c r="G241" s="66"/>
    </row>
    <row r="242" spans="2:7">
      <c r="B242" s="62">
        <f t="shared" si="8"/>
        <v>1</v>
      </c>
      <c r="C242" s="62"/>
      <c r="D242" s="20"/>
      <c r="E242" s="30"/>
      <c r="F242" s="66"/>
      <c r="G242" s="66"/>
    </row>
    <row r="243" spans="2:7">
      <c r="B243" s="62">
        <f t="shared" si="8"/>
        <v>1</v>
      </c>
      <c r="C243" s="62"/>
      <c r="D243" s="20"/>
      <c r="E243" s="30"/>
      <c r="F243" s="66"/>
      <c r="G243" s="66"/>
    </row>
    <row r="244" spans="2:7">
      <c r="B244" s="62">
        <f t="shared" si="8"/>
        <v>1</v>
      </c>
      <c r="C244" s="62"/>
      <c r="D244" s="20"/>
      <c r="E244" s="30"/>
      <c r="F244" s="66"/>
      <c r="G244" s="66"/>
    </row>
    <row r="245" spans="2:7">
      <c r="B245" s="62">
        <f t="shared" si="8"/>
        <v>1</v>
      </c>
      <c r="C245" s="62"/>
      <c r="D245" s="20"/>
      <c r="E245" s="30"/>
      <c r="F245" s="66"/>
      <c r="G245" s="66"/>
    </row>
    <row r="246" spans="2:7">
      <c r="B246" s="62">
        <f t="shared" si="8"/>
        <v>1</v>
      </c>
      <c r="C246" s="62"/>
      <c r="D246" s="20"/>
      <c r="E246" s="30"/>
      <c r="F246" s="66"/>
      <c r="G246" s="66"/>
    </row>
    <row r="247" spans="2:7">
      <c r="B247" s="62">
        <f t="shared" si="8"/>
        <v>1</v>
      </c>
      <c r="C247" s="62"/>
      <c r="D247" s="20"/>
      <c r="E247" s="30"/>
      <c r="F247" s="66"/>
      <c r="G247" s="66"/>
    </row>
    <row r="248" spans="2:7">
      <c r="B248" s="62">
        <f t="shared" si="8"/>
        <v>1</v>
      </c>
      <c r="C248" s="62"/>
      <c r="D248" s="20"/>
      <c r="E248" s="30"/>
      <c r="F248" s="66"/>
      <c r="G248" s="66"/>
    </row>
    <row r="249" spans="2:7">
      <c r="B249" s="62">
        <f t="shared" si="8"/>
        <v>1</v>
      </c>
      <c r="C249" s="62"/>
      <c r="D249" s="20"/>
      <c r="E249" s="30"/>
      <c r="F249" s="66"/>
      <c r="G249" s="66"/>
    </row>
    <row r="250" spans="2:7">
      <c r="B250" s="62">
        <f t="shared" si="8"/>
        <v>1</v>
      </c>
      <c r="C250" s="62"/>
      <c r="D250" s="20"/>
      <c r="E250" s="30"/>
      <c r="F250" s="66"/>
      <c r="G250" s="66"/>
    </row>
    <row r="251" spans="2:7">
      <c r="B251" s="62">
        <f t="shared" si="8"/>
        <v>1</v>
      </c>
      <c r="C251" s="62"/>
      <c r="D251" s="20"/>
      <c r="E251" s="30"/>
      <c r="F251" s="66"/>
      <c r="G251" s="66"/>
    </row>
    <row r="252" spans="2:7">
      <c r="B252" s="62">
        <f t="shared" si="8"/>
        <v>1</v>
      </c>
      <c r="C252" s="62"/>
      <c r="D252" s="20"/>
      <c r="E252" s="30"/>
      <c r="F252" s="66"/>
      <c r="G252" s="66"/>
    </row>
    <row r="253" spans="2:7">
      <c r="B253" s="62">
        <f t="shared" si="8"/>
        <v>1</v>
      </c>
      <c r="C253" s="62"/>
      <c r="D253" s="20"/>
      <c r="E253" s="30"/>
      <c r="F253" s="66"/>
      <c r="G253" s="66"/>
    </row>
    <row r="254" spans="2:7">
      <c r="B254" s="62">
        <f t="shared" si="8"/>
        <v>1</v>
      </c>
      <c r="C254" s="62"/>
      <c r="D254" s="20"/>
      <c r="E254" s="30"/>
      <c r="F254" s="66"/>
      <c r="G254" s="66"/>
    </row>
    <row r="255" spans="2:7">
      <c r="B255" s="62">
        <f t="shared" si="8"/>
        <v>1</v>
      </c>
      <c r="C255" s="62"/>
      <c r="D255" s="20"/>
      <c r="E255" s="30"/>
      <c r="F255" s="66"/>
      <c r="G255" s="66"/>
    </row>
    <row r="256" spans="2:7">
      <c r="B256" s="62">
        <f t="shared" si="8"/>
        <v>1</v>
      </c>
      <c r="C256" s="62"/>
      <c r="D256" s="20"/>
      <c r="E256" s="30"/>
      <c r="F256" s="66"/>
      <c r="G256" s="66"/>
    </row>
    <row r="257" spans="2:7">
      <c r="B257" s="62">
        <f t="shared" si="8"/>
        <v>1</v>
      </c>
      <c r="C257" s="62"/>
      <c r="D257" s="20"/>
      <c r="E257" s="30"/>
      <c r="F257" s="66"/>
      <c r="G257" s="66"/>
    </row>
    <row r="258" spans="2:7">
      <c r="B258" s="62">
        <f t="shared" si="8"/>
        <v>1</v>
      </c>
      <c r="C258" s="62"/>
      <c r="D258" s="20"/>
      <c r="E258" s="30"/>
      <c r="F258" s="66"/>
      <c r="G258" s="66"/>
    </row>
    <row r="259" spans="2:7">
      <c r="B259" s="62">
        <f t="shared" si="8"/>
        <v>1</v>
      </c>
      <c r="C259" s="62"/>
      <c r="D259" s="20"/>
      <c r="E259" s="30"/>
      <c r="F259" s="66"/>
      <c r="G259" s="66"/>
    </row>
    <row r="260" spans="2:7">
      <c r="B260" s="62">
        <f t="shared" si="8"/>
        <v>1</v>
      </c>
      <c r="C260" s="62"/>
      <c r="D260" s="20"/>
      <c r="E260" s="30"/>
      <c r="F260" s="66"/>
      <c r="G260" s="66"/>
    </row>
    <row r="261" spans="2:7">
      <c r="B261" s="62">
        <f t="shared" si="8"/>
        <v>1</v>
      </c>
      <c r="C261" s="62"/>
      <c r="D261" s="20"/>
      <c r="E261" s="30"/>
      <c r="F261" s="66"/>
      <c r="G261" s="66"/>
    </row>
    <row r="262" spans="2:7">
      <c r="B262" s="62">
        <f t="shared" si="8"/>
        <v>1</v>
      </c>
      <c r="C262" s="62"/>
      <c r="D262" s="20"/>
      <c r="E262" s="30"/>
      <c r="F262" s="66"/>
      <c r="G262" s="66"/>
    </row>
    <row r="263" spans="2:7">
      <c r="B263" s="62">
        <f t="shared" si="8"/>
        <v>1</v>
      </c>
      <c r="C263" s="62"/>
      <c r="D263" s="20"/>
      <c r="E263" s="30"/>
      <c r="F263" s="66"/>
      <c r="G263" s="66"/>
    </row>
    <row r="264" spans="2:7">
      <c r="B264" s="62">
        <f t="shared" si="8"/>
        <v>1</v>
      </c>
      <c r="C264" s="62"/>
      <c r="D264" s="20"/>
      <c r="E264" s="30"/>
      <c r="F264" s="66"/>
      <c r="G264" s="66"/>
    </row>
    <row r="265" spans="2:7">
      <c r="B265" s="62">
        <f t="shared" si="8"/>
        <v>1</v>
      </c>
      <c r="C265" s="62"/>
      <c r="D265" s="20"/>
      <c r="E265" s="30"/>
      <c r="F265" s="66"/>
      <c r="G265" s="66"/>
    </row>
    <row r="266" spans="2:7">
      <c r="B266" s="62">
        <f t="shared" si="8"/>
        <v>1</v>
      </c>
      <c r="C266" s="62"/>
      <c r="D266" s="20"/>
      <c r="E266" s="30"/>
      <c r="F266" s="66"/>
      <c r="G266" s="66"/>
    </row>
    <row r="267" spans="2:7">
      <c r="B267" s="62">
        <f t="shared" si="8"/>
        <v>1</v>
      </c>
      <c r="C267" s="62"/>
      <c r="D267" s="20"/>
      <c r="E267" s="30"/>
      <c r="F267" s="66"/>
      <c r="G267" s="66"/>
    </row>
    <row r="268" spans="2:7">
      <c r="B268" s="62">
        <f t="shared" si="8"/>
        <v>1</v>
      </c>
      <c r="C268" s="62"/>
      <c r="D268" s="20"/>
      <c r="E268" s="30"/>
      <c r="F268" s="66"/>
      <c r="G268" s="66"/>
    </row>
    <row r="269" spans="2:7">
      <c r="B269" s="62">
        <f t="shared" si="8"/>
        <v>1</v>
      </c>
      <c r="C269" s="62"/>
      <c r="D269" s="20"/>
      <c r="E269" s="30"/>
      <c r="F269" s="66"/>
      <c r="G269" s="66"/>
    </row>
    <row r="270" spans="2:7">
      <c r="B270" s="62">
        <f t="shared" si="8"/>
        <v>1</v>
      </c>
      <c r="C270" s="62"/>
      <c r="D270" s="20"/>
      <c r="E270" s="30"/>
      <c r="F270" s="66"/>
      <c r="G270" s="66"/>
    </row>
    <row r="271" spans="2:7">
      <c r="B271" s="62">
        <f t="shared" si="8"/>
        <v>1</v>
      </c>
      <c r="C271" s="62"/>
      <c r="D271" s="20"/>
      <c r="E271" s="30"/>
      <c r="F271" s="66"/>
      <c r="G271" s="66"/>
    </row>
    <row r="272" spans="2:7">
      <c r="B272" s="62">
        <f t="shared" si="8"/>
        <v>1</v>
      </c>
      <c r="C272" s="62"/>
      <c r="D272" s="20"/>
      <c r="E272" s="30"/>
      <c r="F272" s="66"/>
      <c r="G272" s="66"/>
    </row>
    <row r="273" spans="2:7">
      <c r="B273" s="62">
        <f t="shared" si="8"/>
        <v>1</v>
      </c>
      <c r="C273" s="62"/>
      <c r="D273" s="20"/>
      <c r="E273" s="30"/>
      <c r="F273" s="66"/>
      <c r="G273" s="66"/>
    </row>
    <row r="274" spans="2:7">
      <c r="B274" s="62">
        <f t="shared" si="8"/>
        <v>1</v>
      </c>
      <c r="C274" s="62"/>
      <c r="D274" s="20"/>
      <c r="E274" s="30"/>
      <c r="F274" s="66"/>
      <c r="G274" s="66"/>
    </row>
    <row r="275" spans="2:7">
      <c r="B275" s="62">
        <f t="shared" si="8"/>
        <v>1</v>
      </c>
      <c r="C275" s="62"/>
      <c r="D275" s="20"/>
      <c r="E275" s="30"/>
      <c r="F275" s="66"/>
      <c r="G275" s="66"/>
    </row>
    <row r="276" spans="2:7">
      <c r="B276" s="62">
        <f t="shared" si="8"/>
        <v>1</v>
      </c>
      <c r="C276" s="62"/>
      <c r="D276" s="20"/>
      <c r="E276" s="30"/>
      <c r="F276" s="66"/>
      <c r="G276" s="66"/>
    </row>
    <row r="277" spans="2:7">
      <c r="B277" s="62">
        <f t="shared" si="8"/>
        <v>1</v>
      </c>
      <c r="C277" s="62"/>
      <c r="D277" s="20"/>
      <c r="E277" s="30"/>
      <c r="F277" s="66"/>
      <c r="G277" s="66"/>
    </row>
    <row r="278" spans="2:7">
      <c r="B278" s="62">
        <f t="shared" si="8"/>
        <v>1</v>
      </c>
      <c r="C278" s="62"/>
      <c r="D278" s="20"/>
      <c r="E278" s="30"/>
      <c r="F278" s="66"/>
      <c r="G278" s="66"/>
    </row>
    <row r="279" spans="2:7">
      <c r="B279" s="62">
        <f t="shared" si="8"/>
        <v>1</v>
      </c>
      <c r="C279" s="62"/>
      <c r="D279" s="20"/>
      <c r="E279" s="30"/>
      <c r="F279" s="66"/>
      <c r="G279" s="66"/>
    </row>
    <row r="280" spans="2:7">
      <c r="B280" s="62">
        <f t="shared" si="8"/>
        <v>1</v>
      </c>
      <c r="C280" s="62"/>
      <c r="D280" s="20"/>
      <c r="E280" s="30"/>
      <c r="F280" s="66"/>
      <c r="G280" s="66"/>
    </row>
    <row r="281" spans="2:7">
      <c r="B281" s="62">
        <f t="shared" si="8"/>
        <v>1</v>
      </c>
      <c r="C281" s="62"/>
      <c r="D281" s="20"/>
      <c r="E281" s="30"/>
      <c r="F281" s="66"/>
      <c r="G281" s="66"/>
    </row>
    <row r="282" spans="2:7">
      <c r="B282" s="62">
        <f t="shared" si="8"/>
        <v>1</v>
      </c>
      <c r="C282" s="62"/>
      <c r="D282" s="20"/>
      <c r="E282" s="30"/>
      <c r="F282" s="66"/>
      <c r="G282" s="66"/>
    </row>
    <row r="283" spans="2:7">
      <c r="B283" s="62">
        <f t="shared" si="8"/>
        <v>1</v>
      </c>
      <c r="C283" s="62"/>
      <c r="D283" s="20"/>
      <c r="E283" s="30"/>
      <c r="F283" s="66"/>
      <c r="G283" s="66"/>
    </row>
    <row r="284" spans="2:7">
      <c r="B284" s="62">
        <f t="shared" si="8"/>
        <v>1</v>
      </c>
      <c r="C284" s="62"/>
      <c r="D284" s="20"/>
      <c r="E284" s="30"/>
      <c r="F284" s="66"/>
      <c r="G284" s="66"/>
    </row>
    <row r="285" spans="2:7">
      <c r="B285" s="62">
        <f t="shared" si="8"/>
        <v>1</v>
      </c>
      <c r="C285" s="62"/>
      <c r="D285" s="20"/>
      <c r="E285" s="30"/>
      <c r="F285" s="66"/>
      <c r="G285" s="66"/>
    </row>
    <row r="286" spans="2:7">
      <c r="B286" s="62">
        <f t="shared" si="8"/>
        <v>1</v>
      </c>
      <c r="C286" s="62"/>
      <c r="D286" s="20"/>
      <c r="E286" s="30"/>
      <c r="F286" s="66"/>
      <c r="G286" s="66"/>
    </row>
    <row r="287" spans="2:7">
      <c r="B287" s="62">
        <f t="shared" si="8"/>
        <v>1</v>
      </c>
      <c r="C287" s="62"/>
      <c r="D287" s="20"/>
      <c r="E287" s="30"/>
      <c r="F287" s="66"/>
      <c r="G287" s="66"/>
    </row>
    <row r="288" spans="2:7">
      <c r="B288" s="62">
        <f t="shared" si="8"/>
        <v>1</v>
      </c>
      <c r="C288" s="62"/>
      <c r="D288" s="20"/>
      <c r="E288" s="132"/>
      <c r="F288" s="66"/>
      <c r="G288" s="66"/>
    </row>
    <row r="289" spans="2:7">
      <c r="B289" s="62">
        <f t="shared" si="8"/>
        <v>1</v>
      </c>
      <c r="C289" s="62"/>
      <c r="D289" s="20"/>
      <c r="E289" s="132"/>
      <c r="F289" s="66"/>
      <c r="G289" s="66"/>
    </row>
    <row r="290" spans="2:7">
      <c r="B290" s="62">
        <f t="shared" si="8"/>
        <v>1</v>
      </c>
      <c r="C290" s="62"/>
      <c r="D290" s="20"/>
      <c r="E290" s="30"/>
      <c r="F290" s="66"/>
      <c r="G290" s="66"/>
    </row>
    <row r="291" spans="2:7">
      <c r="B291" s="62">
        <f t="shared" si="8"/>
        <v>1</v>
      </c>
      <c r="C291" s="62"/>
      <c r="D291" s="20"/>
      <c r="E291" s="30"/>
      <c r="F291" s="66"/>
      <c r="G291" s="66"/>
    </row>
    <row r="292" spans="2:7">
      <c r="B292" s="62">
        <f t="shared" si="8"/>
        <v>1</v>
      </c>
      <c r="C292" s="62"/>
      <c r="D292" s="20"/>
      <c r="E292" s="30"/>
      <c r="F292" s="66"/>
      <c r="G292" s="66"/>
    </row>
    <row r="293" spans="2:7">
      <c r="B293" s="62">
        <f t="shared" si="8"/>
        <v>1</v>
      </c>
      <c r="C293" s="62"/>
      <c r="D293" s="20"/>
      <c r="E293" s="30"/>
      <c r="F293" s="66"/>
      <c r="G293" s="66"/>
    </row>
    <row r="294" spans="2:7">
      <c r="B294" s="62">
        <f t="shared" si="8"/>
        <v>1</v>
      </c>
      <c r="C294" s="62"/>
      <c r="D294" s="20"/>
      <c r="E294" s="30"/>
      <c r="F294" s="66"/>
      <c r="G294" s="66"/>
    </row>
    <row r="295" spans="2:7">
      <c r="B295" s="62">
        <f t="shared" si="8"/>
        <v>1</v>
      </c>
      <c r="C295" s="62"/>
      <c r="D295" s="20"/>
      <c r="E295" s="30"/>
      <c r="F295" s="66"/>
      <c r="G295" s="66"/>
    </row>
    <row r="296" spans="2:7">
      <c r="B296" s="62">
        <f t="shared" si="8"/>
        <v>1</v>
      </c>
      <c r="C296" s="62"/>
      <c r="D296" s="20"/>
      <c r="E296" s="30"/>
      <c r="F296" s="66"/>
      <c r="G296" s="66"/>
    </row>
    <row r="297" spans="2:7">
      <c r="B297" s="62">
        <f t="shared" ref="B297:B360" si="9">MONTH(G297)</f>
        <v>1</v>
      </c>
      <c r="C297" s="62"/>
      <c r="D297" s="20"/>
      <c r="E297" s="30"/>
      <c r="F297" s="66"/>
      <c r="G297" s="66"/>
    </row>
    <row r="298" spans="2:7">
      <c r="B298" s="62">
        <f t="shared" si="9"/>
        <v>1</v>
      </c>
      <c r="C298" s="62"/>
      <c r="D298" s="20"/>
      <c r="E298" s="30"/>
      <c r="F298" s="66"/>
      <c r="G298" s="66"/>
    </row>
    <row r="299" spans="2:7">
      <c r="B299" s="62">
        <f t="shared" si="9"/>
        <v>1</v>
      </c>
      <c r="C299" s="62"/>
      <c r="D299" s="20"/>
      <c r="E299" s="30"/>
      <c r="F299" s="66"/>
      <c r="G299" s="66"/>
    </row>
    <row r="300" spans="2:7">
      <c r="B300" s="62">
        <f t="shared" si="9"/>
        <v>1</v>
      </c>
      <c r="C300" s="62"/>
      <c r="D300" s="20"/>
      <c r="E300" s="30"/>
      <c r="F300" s="66"/>
      <c r="G300" s="66"/>
    </row>
    <row r="301" spans="2:7">
      <c r="B301" s="62">
        <f t="shared" si="9"/>
        <v>1</v>
      </c>
      <c r="C301" s="62"/>
      <c r="D301" s="20"/>
      <c r="E301" s="30"/>
      <c r="F301" s="66"/>
      <c r="G301" s="66"/>
    </row>
    <row r="302" spans="2:7">
      <c r="B302" s="62">
        <f t="shared" si="9"/>
        <v>1</v>
      </c>
      <c r="C302" s="62"/>
      <c r="D302" s="20"/>
      <c r="E302" s="30"/>
      <c r="F302" s="66"/>
      <c r="G302" s="66"/>
    </row>
    <row r="303" spans="2:7">
      <c r="B303" s="62">
        <f t="shared" si="9"/>
        <v>1</v>
      </c>
      <c r="C303" s="62"/>
      <c r="D303" s="20"/>
      <c r="E303" s="30"/>
      <c r="F303" s="66"/>
      <c r="G303" s="66"/>
    </row>
    <row r="304" spans="2:7">
      <c r="B304" s="62">
        <f t="shared" si="9"/>
        <v>1</v>
      </c>
      <c r="C304" s="62"/>
      <c r="D304" s="20"/>
      <c r="E304" s="30"/>
      <c r="F304" s="66"/>
      <c r="G304" s="66"/>
    </row>
    <row r="305" spans="2:9">
      <c r="B305" s="62">
        <f t="shared" si="9"/>
        <v>1</v>
      </c>
      <c r="C305" s="62"/>
      <c r="D305" s="20"/>
      <c r="E305" s="30"/>
      <c r="F305" s="66"/>
      <c r="G305" s="66"/>
    </row>
    <row r="306" spans="2:9">
      <c r="B306" s="62">
        <f t="shared" si="9"/>
        <v>1</v>
      </c>
      <c r="C306" s="62"/>
      <c r="D306" s="20"/>
      <c r="E306" s="30"/>
      <c r="F306" s="66"/>
      <c r="G306" s="66"/>
    </row>
    <row r="307" spans="2:9">
      <c r="B307" s="62">
        <f t="shared" si="9"/>
        <v>1</v>
      </c>
      <c r="C307" s="62"/>
      <c r="D307" s="20"/>
      <c r="E307" s="132"/>
      <c r="F307" s="66"/>
      <c r="G307" s="66"/>
      <c r="I307" s="131" t="s">
        <v>104</v>
      </c>
    </row>
    <row r="308" spans="2:9">
      <c r="B308" s="62">
        <f t="shared" si="9"/>
        <v>1</v>
      </c>
      <c r="C308" s="62"/>
      <c r="D308" s="20"/>
      <c r="E308" s="30"/>
      <c r="F308" s="66"/>
      <c r="G308" s="66"/>
    </row>
    <row r="309" spans="2:9">
      <c r="B309" s="62">
        <f t="shared" si="9"/>
        <v>1</v>
      </c>
      <c r="C309" s="62"/>
      <c r="D309" s="20"/>
      <c r="E309" s="30"/>
      <c r="F309" s="66"/>
      <c r="G309" s="66"/>
    </row>
    <row r="310" spans="2:9">
      <c r="B310" s="62">
        <f t="shared" si="9"/>
        <v>1</v>
      </c>
      <c r="C310" s="62"/>
      <c r="D310" s="20"/>
      <c r="E310" s="30"/>
      <c r="F310" s="66"/>
      <c r="G310" s="66"/>
    </row>
    <row r="311" spans="2:9">
      <c r="B311" s="62">
        <f t="shared" si="9"/>
        <v>1</v>
      </c>
      <c r="C311" s="62"/>
      <c r="D311" s="20"/>
      <c r="E311" s="30"/>
      <c r="F311" s="66"/>
      <c r="G311" s="66"/>
    </row>
    <row r="312" spans="2:9">
      <c r="B312" s="62">
        <f t="shared" si="9"/>
        <v>1</v>
      </c>
      <c r="C312" s="62"/>
      <c r="D312" s="20"/>
      <c r="E312" s="30"/>
      <c r="F312" s="66"/>
      <c r="G312" s="66"/>
    </row>
    <row r="313" spans="2:9">
      <c r="B313" s="62">
        <f t="shared" si="9"/>
        <v>1</v>
      </c>
      <c r="C313" s="62"/>
      <c r="D313" s="20"/>
      <c r="E313" s="30"/>
      <c r="F313" s="66"/>
      <c r="G313" s="66"/>
    </row>
    <row r="314" spans="2:9">
      <c r="B314" s="62">
        <f t="shared" si="9"/>
        <v>1</v>
      </c>
      <c r="C314" s="62"/>
      <c r="D314" s="20"/>
      <c r="E314" s="30"/>
      <c r="F314" s="66"/>
      <c r="G314" s="66"/>
    </row>
    <row r="315" spans="2:9">
      <c r="B315" s="62">
        <f t="shared" si="9"/>
        <v>1</v>
      </c>
      <c r="C315" s="62"/>
      <c r="D315" s="20"/>
      <c r="E315" s="30"/>
      <c r="F315" s="66"/>
      <c r="G315" s="66"/>
    </row>
    <row r="316" spans="2:9">
      <c r="B316" s="62">
        <f t="shared" si="9"/>
        <v>1</v>
      </c>
      <c r="C316" s="62"/>
      <c r="D316" s="20"/>
      <c r="E316" s="30"/>
      <c r="F316" s="66"/>
      <c r="G316" s="66"/>
    </row>
    <row r="317" spans="2:9">
      <c r="B317" s="62">
        <f t="shared" si="9"/>
        <v>1</v>
      </c>
      <c r="C317" s="62"/>
      <c r="D317" s="20"/>
      <c r="E317" s="30"/>
      <c r="F317" s="66"/>
      <c r="G317" s="66"/>
    </row>
    <row r="318" spans="2:9">
      <c r="B318" s="62">
        <f t="shared" si="9"/>
        <v>1</v>
      </c>
      <c r="C318" s="62"/>
      <c r="D318" s="20"/>
      <c r="E318" s="30"/>
      <c r="F318" s="66"/>
      <c r="G318" s="66"/>
    </row>
    <row r="319" spans="2:9">
      <c r="B319" s="62">
        <f t="shared" si="9"/>
        <v>1</v>
      </c>
      <c r="C319" s="62"/>
      <c r="D319" s="20"/>
      <c r="E319" s="30"/>
      <c r="F319" s="66"/>
      <c r="G319" s="66"/>
    </row>
    <row r="320" spans="2:9">
      <c r="B320" s="62">
        <f t="shared" si="9"/>
        <v>1</v>
      </c>
      <c r="C320" s="62"/>
      <c r="D320" s="20"/>
      <c r="E320" s="30"/>
      <c r="F320" s="66"/>
      <c r="G320" s="66"/>
    </row>
    <row r="321" spans="2:7">
      <c r="B321" s="62">
        <f t="shared" si="9"/>
        <v>1</v>
      </c>
      <c r="C321" s="62"/>
      <c r="D321" s="20"/>
      <c r="E321" s="30"/>
      <c r="F321" s="66"/>
      <c r="G321" s="66"/>
    </row>
    <row r="322" spans="2:7">
      <c r="B322" s="62">
        <f t="shared" si="9"/>
        <v>1</v>
      </c>
      <c r="C322" s="62"/>
      <c r="D322" s="20"/>
      <c r="E322" s="30"/>
      <c r="F322" s="66"/>
      <c r="G322" s="66"/>
    </row>
    <row r="323" spans="2:7">
      <c r="B323" s="62">
        <f t="shared" si="9"/>
        <v>1</v>
      </c>
      <c r="C323" s="62"/>
      <c r="D323" s="20"/>
      <c r="E323" s="30"/>
      <c r="F323" s="66"/>
      <c r="G323" s="66"/>
    </row>
    <row r="324" spans="2:7">
      <c r="B324" s="62">
        <f t="shared" si="9"/>
        <v>1</v>
      </c>
      <c r="C324" s="62"/>
      <c r="D324" s="20"/>
      <c r="E324" s="30"/>
      <c r="F324" s="66"/>
      <c r="G324" s="66"/>
    </row>
    <row r="325" spans="2:7">
      <c r="B325" s="62">
        <f t="shared" si="9"/>
        <v>1</v>
      </c>
      <c r="C325" s="62"/>
      <c r="D325" s="20"/>
      <c r="E325" s="30"/>
      <c r="F325" s="66"/>
      <c r="G325" s="66"/>
    </row>
    <row r="326" spans="2:7">
      <c r="B326" s="62">
        <f t="shared" si="9"/>
        <v>1</v>
      </c>
      <c r="C326" s="62"/>
      <c r="D326" s="20"/>
      <c r="E326" s="30"/>
      <c r="F326" s="66"/>
      <c r="G326" s="66"/>
    </row>
    <row r="327" spans="2:7">
      <c r="B327" s="62">
        <f t="shared" si="9"/>
        <v>1</v>
      </c>
      <c r="C327" s="62"/>
      <c r="D327" s="20"/>
      <c r="E327" s="30"/>
      <c r="F327" s="66"/>
      <c r="G327" s="66"/>
    </row>
    <row r="328" spans="2:7">
      <c r="B328" s="62">
        <f t="shared" si="9"/>
        <v>1</v>
      </c>
      <c r="C328" s="62"/>
      <c r="D328" s="20"/>
      <c r="E328" s="30"/>
      <c r="F328" s="66"/>
      <c r="G328" s="66"/>
    </row>
    <row r="329" spans="2:7">
      <c r="B329" s="62">
        <f t="shared" si="9"/>
        <v>1</v>
      </c>
      <c r="C329" s="62"/>
      <c r="D329" s="20"/>
      <c r="E329" s="30"/>
      <c r="F329" s="66"/>
      <c r="G329" s="66"/>
    </row>
    <row r="330" spans="2:7">
      <c r="B330" s="62">
        <f t="shared" si="9"/>
        <v>1</v>
      </c>
      <c r="C330" s="62"/>
      <c r="D330" s="20"/>
      <c r="E330" s="30"/>
      <c r="F330" s="66"/>
      <c r="G330" s="66"/>
    </row>
    <row r="331" spans="2:7">
      <c r="B331" s="62">
        <f t="shared" si="9"/>
        <v>1</v>
      </c>
      <c r="C331" s="62"/>
      <c r="D331" s="20"/>
      <c r="E331" s="30"/>
      <c r="F331" s="66"/>
      <c r="G331" s="66"/>
    </row>
    <row r="332" spans="2:7">
      <c r="B332" s="62">
        <f t="shared" si="9"/>
        <v>1</v>
      </c>
      <c r="C332" s="62"/>
      <c r="D332" s="20"/>
      <c r="E332" s="30"/>
      <c r="F332" s="66"/>
      <c r="G332" s="66"/>
    </row>
    <row r="333" spans="2:7">
      <c r="B333" s="62">
        <f t="shared" si="9"/>
        <v>1</v>
      </c>
      <c r="C333" s="62"/>
      <c r="D333" s="20"/>
      <c r="E333" s="30"/>
      <c r="F333" s="66"/>
      <c r="G333" s="66"/>
    </row>
    <row r="334" spans="2:7">
      <c r="B334" s="62">
        <f t="shared" si="9"/>
        <v>1</v>
      </c>
      <c r="C334" s="62"/>
      <c r="D334" s="20"/>
      <c r="E334" s="30"/>
      <c r="F334" s="66"/>
      <c r="G334" s="66"/>
    </row>
    <row r="335" spans="2:7">
      <c r="B335" s="62">
        <f t="shared" si="9"/>
        <v>1</v>
      </c>
      <c r="C335" s="62"/>
      <c r="D335" s="20"/>
      <c r="E335" s="30"/>
      <c r="F335" s="66"/>
      <c r="G335" s="66"/>
    </row>
    <row r="336" spans="2:7">
      <c r="B336" s="62">
        <f t="shared" si="9"/>
        <v>1</v>
      </c>
      <c r="C336" s="62"/>
      <c r="D336" s="20"/>
      <c r="E336" s="30"/>
      <c r="F336" s="66"/>
      <c r="G336" s="66"/>
    </row>
    <row r="337" spans="2:7">
      <c r="B337" s="62">
        <f t="shared" si="9"/>
        <v>1</v>
      </c>
      <c r="C337" s="62"/>
      <c r="D337" s="20"/>
      <c r="E337" s="30"/>
      <c r="F337" s="66"/>
      <c r="G337" s="66"/>
    </row>
    <row r="338" spans="2:7">
      <c r="B338" s="62">
        <f t="shared" si="9"/>
        <v>1</v>
      </c>
      <c r="C338" s="62"/>
      <c r="D338" s="20"/>
      <c r="E338" s="30"/>
      <c r="F338" s="66"/>
      <c r="G338" s="66"/>
    </row>
    <row r="339" spans="2:7">
      <c r="B339" s="62">
        <f t="shared" si="9"/>
        <v>1</v>
      </c>
      <c r="C339" s="62"/>
      <c r="D339" s="20"/>
      <c r="E339" s="30"/>
      <c r="F339" s="66"/>
      <c r="G339" s="66"/>
    </row>
    <row r="340" spans="2:7">
      <c r="B340" s="62">
        <f t="shared" si="9"/>
        <v>1</v>
      </c>
      <c r="C340" s="62"/>
      <c r="D340" s="20"/>
      <c r="E340" s="30"/>
      <c r="F340" s="66"/>
      <c r="G340" s="66"/>
    </row>
    <row r="341" spans="2:7">
      <c r="B341" s="62">
        <f t="shared" si="9"/>
        <v>1</v>
      </c>
      <c r="C341" s="62"/>
      <c r="D341" s="20"/>
      <c r="E341" s="30"/>
      <c r="F341" s="66"/>
      <c r="G341" s="66"/>
    </row>
    <row r="342" spans="2:7">
      <c r="B342" s="62">
        <f t="shared" si="9"/>
        <v>1</v>
      </c>
      <c r="C342" s="62"/>
      <c r="D342" s="20"/>
      <c r="E342" s="30"/>
      <c r="F342" s="66"/>
      <c r="G342" s="66"/>
    </row>
    <row r="343" spans="2:7">
      <c r="B343" s="62">
        <f t="shared" si="9"/>
        <v>1</v>
      </c>
      <c r="C343" s="62"/>
      <c r="D343" s="20"/>
      <c r="E343" s="30"/>
      <c r="F343" s="66"/>
      <c r="G343" s="66"/>
    </row>
    <row r="344" spans="2:7">
      <c r="B344" s="62">
        <f t="shared" si="9"/>
        <v>1</v>
      </c>
      <c r="C344" s="62"/>
      <c r="D344" s="20"/>
      <c r="E344" s="30"/>
      <c r="F344" s="66"/>
      <c r="G344" s="66"/>
    </row>
    <row r="345" spans="2:7">
      <c r="B345" s="62">
        <f t="shared" si="9"/>
        <v>1</v>
      </c>
      <c r="C345" s="62"/>
      <c r="D345" s="20"/>
      <c r="E345" s="30"/>
      <c r="F345" s="66"/>
      <c r="G345" s="66"/>
    </row>
    <row r="346" spans="2:7">
      <c r="B346" s="62">
        <f t="shared" si="9"/>
        <v>1</v>
      </c>
      <c r="C346" s="62"/>
      <c r="D346" s="20"/>
      <c r="E346" s="30"/>
      <c r="F346" s="66"/>
      <c r="G346" s="66"/>
    </row>
    <row r="347" spans="2:7">
      <c r="B347" s="62">
        <f t="shared" si="9"/>
        <v>1</v>
      </c>
      <c r="C347" s="62"/>
      <c r="D347" s="20"/>
      <c r="E347" s="30"/>
      <c r="F347" s="66"/>
      <c r="G347" s="66"/>
    </row>
    <row r="348" spans="2:7">
      <c r="B348" s="62">
        <f t="shared" si="9"/>
        <v>1</v>
      </c>
      <c r="C348" s="62"/>
      <c r="D348" s="20"/>
      <c r="E348" s="30"/>
      <c r="F348" s="66"/>
      <c r="G348" s="66"/>
    </row>
    <row r="349" spans="2:7">
      <c r="B349" s="62">
        <f t="shared" si="9"/>
        <v>1</v>
      </c>
      <c r="C349" s="62"/>
      <c r="D349" s="20"/>
      <c r="E349" s="30"/>
      <c r="F349" s="66"/>
      <c r="G349" s="66"/>
    </row>
    <row r="350" spans="2:7">
      <c r="B350" s="62">
        <f t="shared" si="9"/>
        <v>1</v>
      </c>
      <c r="C350" s="62"/>
      <c r="D350" s="20"/>
      <c r="E350" s="30"/>
      <c r="F350" s="66"/>
      <c r="G350" s="66"/>
    </row>
    <row r="351" spans="2:7">
      <c r="B351" s="62">
        <f t="shared" si="9"/>
        <v>1</v>
      </c>
      <c r="C351" s="62"/>
      <c r="D351" s="20"/>
      <c r="E351" s="30"/>
      <c r="F351" s="66"/>
      <c r="G351" s="66"/>
    </row>
    <row r="352" spans="2:7">
      <c r="B352" s="62">
        <f t="shared" si="9"/>
        <v>1</v>
      </c>
      <c r="C352" s="62"/>
      <c r="D352" s="20"/>
      <c r="E352" s="30"/>
      <c r="F352" s="66"/>
      <c r="G352" s="66"/>
    </row>
    <row r="353" spans="2:7">
      <c r="B353" s="62">
        <f t="shared" si="9"/>
        <v>1</v>
      </c>
      <c r="C353" s="62"/>
      <c r="D353" s="20"/>
      <c r="E353" s="30"/>
      <c r="F353" s="66"/>
      <c r="G353" s="66"/>
    </row>
    <row r="354" spans="2:7">
      <c r="B354" s="62">
        <f t="shared" si="9"/>
        <v>1</v>
      </c>
      <c r="C354" s="62"/>
      <c r="D354" s="20"/>
      <c r="E354" s="30"/>
      <c r="F354" s="66"/>
      <c r="G354" s="66"/>
    </row>
    <row r="355" spans="2:7">
      <c r="B355" s="62">
        <f t="shared" si="9"/>
        <v>1</v>
      </c>
      <c r="C355" s="62"/>
      <c r="D355" s="20"/>
      <c r="E355" s="30"/>
      <c r="F355" s="66"/>
      <c r="G355" s="66"/>
    </row>
    <row r="356" spans="2:7">
      <c r="B356" s="62">
        <f t="shared" si="9"/>
        <v>1</v>
      </c>
      <c r="C356" s="62"/>
      <c r="D356" s="20"/>
      <c r="E356" s="30"/>
      <c r="F356" s="66"/>
      <c r="G356" s="66"/>
    </row>
    <row r="357" spans="2:7">
      <c r="B357" s="62">
        <f t="shared" si="9"/>
        <v>1</v>
      </c>
      <c r="C357" s="62"/>
      <c r="D357" s="20"/>
      <c r="E357" s="30"/>
      <c r="F357" s="66"/>
      <c r="G357" s="66"/>
    </row>
    <row r="358" spans="2:7">
      <c r="B358" s="62">
        <f t="shared" si="9"/>
        <v>1</v>
      </c>
      <c r="C358" s="62"/>
      <c r="D358" s="20"/>
      <c r="E358" s="30"/>
      <c r="F358" s="66"/>
      <c r="G358" s="66"/>
    </row>
    <row r="359" spans="2:7">
      <c r="B359" s="62">
        <f t="shared" si="9"/>
        <v>1</v>
      </c>
      <c r="C359" s="62"/>
      <c r="D359" s="20"/>
      <c r="E359" s="30"/>
      <c r="F359" s="66"/>
      <c r="G359" s="66"/>
    </row>
    <row r="360" spans="2:7">
      <c r="B360" s="62">
        <f t="shared" si="9"/>
        <v>1</v>
      </c>
      <c r="C360" s="62"/>
      <c r="D360" s="20"/>
      <c r="E360" s="30"/>
      <c r="F360" s="66"/>
      <c r="G360" s="66"/>
    </row>
    <row r="361" spans="2:7">
      <c r="B361" s="62">
        <f t="shared" ref="B361:B424" si="10">MONTH(G361)</f>
        <v>1</v>
      </c>
      <c r="C361" s="62"/>
      <c r="D361" s="20"/>
      <c r="E361" s="30"/>
      <c r="F361" s="66"/>
      <c r="G361" s="66"/>
    </row>
    <row r="362" spans="2:7">
      <c r="B362" s="62">
        <f t="shared" si="10"/>
        <v>1</v>
      </c>
      <c r="C362" s="62"/>
      <c r="D362" s="20"/>
      <c r="E362" s="30"/>
      <c r="F362" s="66"/>
      <c r="G362" s="66"/>
    </row>
    <row r="363" spans="2:7">
      <c r="B363" s="62">
        <f t="shared" si="10"/>
        <v>1</v>
      </c>
      <c r="C363" s="62"/>
      <c r="D363" s="20"/>
      <c r="E363" s="30"/>
      <c r="F363" s="66"/>
      <c r="G363" s="66"/>
    </row>
    <row r="364" spans="2:7">
      <c r="B364" s="62">
        <f t="shared" si="10"/>
        <v>1</v>
      </c>
      <c r="C364" s="62"/>
      <c r="D364" s="20"/>
      <c r="E364" s="30"/>
      <c r="F364" s="66"/>
      <c r="G364" s="66"/>
    </row>
    <row r="365" spans="2:7">
      <c r="B365" s="62">
        <f t="shared" si="10"/>
        <v>1</v>
      </c>
      <c r="C365" s="62"/>
      <c r="D365" s="20"/>
      <c r="E365" s="30"/>
      <c r="F365" s="66"/>
      <c r="G365" s="66"/>
    </row>
    <row r="366" spans="2:7">
      <c r="B366" s="62">
        <f t="shared" si="10"/>
        <v>1</v>
      </c>
      <c r="C366" s="62"/>
      <c r="D366" s="20"/>
      <c r="E366" s="30"/>
      <c r="F366" s="66"/>
      <c r="G366" s="66"/>
    </row>
    <row r="367" spans="2:7">
      <c r="B367" s="62">
        <f t="shared" si="10"/>
        <v>1</v>
      </c>
      <c r="C367" s="62"/>
      <c r="D367" s="20"/>
      <c r="E367" s="30"/>
      <c r="F367" s="66"/>
      <c r="G367" s="66"/>
    </row>
    <row r="368" spans="2:7">
      <c r="B368" s="62">
        <f t="shared" si="10"/>
        <v>1</v>
      </c>
      <c r="C368" s="62"/>
      <c r="D368" s="20"/>
      <c r="E368" s="30"/>
      <c r="F368" s="66"/>
      <c r="G368" s="66"/>
    </row>
    <row r="369" spans="2:7">
      <c r="B369" s="62">
        <f t="shared" si="10"/>
        <v>1</v>
      </c>
      <c r="C369" s="62"/>
      <c r="D369" s="20"/>
      <c r="E369" s="30"/>
      <c r="F369" s="66"/>
      <c r="G369" s="66"/>
    </row>
    <row r="370" spans="2:7">
      <c r="B370" s="62">
        <f t="shared" si="10"/>
        <v>1</v>
      </c>
      <c r="C370" s="62"/>
      <c r="D370" s="20"/>
      <c r="E370" s="30"/>
      <c r="F370" s="66"/>
      <c r="G370" s="66"/>
    </row>
    <row r="371" spans="2:7">
      <c r="B371" s="62">
        <f t="shared" si="10"/>
        <v>1</v>
      </c>
      <c r="C371" s="62"/>
      <c r="D371" s="20"/>
      <c r="E371" s="30"/>
      <c r="F371" s="66"/>
      <c r="G371" s="66"/>
    </row>
    <row r="372" spans="2:7">
      <c r="B372" s="62">
        <f t="shared" si="10"/>
        <v>1</v>
      </c>
      <c r="C372" s="62"/>
      <c r="D372" s="20"/>
      <c r="E372" s="30"/>
      <c r="F372" s="66"/>
      <c r="G372" s="66"/>
    </row>
    <row r="373" spans="2:7">
      <c r="B373" s="62">
        <f t="shared" si="10"/>
        <v>1</v>
      </c>
      <c r="C373" s="62"/>
      <c r="D373" s="20"/>
      <c r="E373" s="30"/>
      <c r="F373" s="66"/>
      <c r="G373" s="66"/>
    </row>
    <row r="374" spans="2:7">
      <c r="B374" s="62">
        <f t="shared" si="10"/>
        <v>1</v>
      </c>
      <c r="C374" s="62"/>
      <c r="D374" s="20"/>
      <c r="E374" s="30"/>
      <c r="F374" s="66"/>
      <c r="G374" s="66"/>
    </row>
    <row r="375" spans="2:7">
      <c r="B375" s="62">
        <f t="shared" si="10"/>
        <v>1</v>
      </c>
      <c r="C375" s="62"/>
      <c r="D375" s="20"/>
      <c r="E375" s="30"/>
      <c r="F375" s="66"/>
      <c r="G375" s="66"/>
    </row>
    <row r="376" spans="2:7">
      <c r="B376" s="62">
        <f t="shared" si="10"/>
        <v>1</v>
      </c>
      <c r="C376" s="62"/>
      <c r="D376" s="20"/>
      <c r="E376" s="30"/>
      <c r="F376" s="66"/>
      <c r="G376" s="66"/>
    </row>
    <row r="377" spans="2:7">
      <c r="B377" s="62">
        <f t="shared" si="10"/>
        <v>1</v>
      </c>
      <c r="C377" s="62"/>
      <c r="D377" s="20"/>
      <c r="E377" s="30"/>
      <c r="F377" s="66"/>
      <c r="G377" s="66"/>
    </row>
    <row r="378" spans="2:7">
      <c r="B378" s="62">
        <f t="shared" si="10"/>
        <v>1</v>
      </c>
      <c r="C378" s="62"/>
      <c r="D378" s="20"/>
      <c r="E378" s="30"/>
      <c r="F378" s="66"/>
      <c r="G378" s="66"/>
    </row>
    <row r="379" spans="2:7">
      <c r="B379" s="62">
        <f t="shared" si="10"/>
        <v>1</v>
      </c>
      <c r="C379" s="62"/>
      <c r="D379" s="20"/>
      <c r="E379" s="30"/>
      <c r="F379" s="66"/>
      <c r="G379" s="66"/>
    </row>
    <row r="380" spans="2:7">
      <c r="B380" s="62">
        <f t="shared" si="10"/>
        <v>1</v>
      </c>
      <c r="C380" s="62"/>
      <c r="D380" s="20"/>
      <c r="E380" s="30"/>
      <c r="F380" s="66"/>
      <c r="G380" s="66"/>
    </row>
    <row r="381" spans="2:7">
      <c r="B381" s="62">
        <f t="shared" si="10"/>
        <v>1</v>
      </c>
      <c r="C381" s="62"/>
      <c r="D381" s="20"/>
      <c r="E381" s="30"/>
      <c r="F381" s="66"/>
      <c r="G381" s="66"/>
    </row>
    <row r="382" spans="2:7">
      <c r="B382" s="62">
        <f t="shared" si="10"/>
        <v>1</v>
      </c>
      <c r="C382" s="62"/>
      <c r="D382" s="20"/>
      <c r="E382" s="30"/>
      <c r="F382" s="66"/>
      <c r="G382" s="66"/>
    </row>
    <row r="383" spans="2:7">
      <c r="B383" s="62">
        <f t="shared" si="10"/>
        <v>1</v>
      </c>
      <c r="C383" s="62"/>
      <c r="D383" s="20"/>
      <c r="E383" s="30"/>
      <c r="F383" s="66"/>
      <c r="G383" s="66"/>
    </row>
    <row r="384" spans="2:7">
      <c r="B384" s="62">
        <f t="shared" si="10"/>
        <v>1</v>
      </c>
      <c r="C384" s="62"/>
      <c r="D384" s="20"/>
      <c r="E384" s="30"/>
      <c r="F384" s="66"/>
      <c r="G384" s="66"/>
    </row>
    <row r="385" spans="2:7">
      <c r="B385" s="62">
        <f t="shared" si="10"/>
        <v>1</v>
      </c>
      <c r="C385" s="62"/>
      <c r="D385" s="20"/>
      <c r="E385" s="30"/>
      <c r="F385" s="66"/>
      <c r="G385" s="66"/>
    </row>
    <row r="386" spans="2:7">
      <c r="B386" s="62">
        <f t="shared" si="10"/>
        <v>1</v>
      </c>
      <c r="C386" s="62"/>
      <c r="D386" s="20"/>
      <c r="E386" s="30"/>
      <c r="F386" s="66"/>
      <c r="G386" s="66"/>
    </row>
    <row r="387" spans="2:7">
      <c r="B387" s="62">
        <f t="shared" si="10"/>
        <v>1</v>
      </c>
      <c r="C387" s="62"/>
      <c r="D387" s="20"/>
      <c r="E387" s="30"/>
      <c r="F387" s="66"/>
      <c r="G387" s="66"/>
    </row>
    <row r="388" spans="2:7">
      <c r="B388" s="62">
        <f t="shared" si="10"/>
        <v>1</v>
      </c>
      <c r="C388" s="62"/>
      <c r="D388" s="20"/>
      <c r="E388" s="30"/>
      <c r="F388" s="66"/>
      <c r="G388" s="66"/>
    </row>
    <row r="389" spans="2:7">
      <c r="B389" s="62">
        <f t="shared" si="10"/>
        <v>1</v>
      </c>
      <c r="C389" s="62"/>
      <c r="D389" s="20"/>
      <c r="E389" s="30"/>
      <c r="F389" s="66"/>
      <c r="G389" s="66"/>
    </row>
    <row r="390" spans="2:7">
      <c r="B390" s="62">
        <f t="shared" si="10"/>
        <v>1</v>
      </c>
      <c r="C390" s="62"/>
      <c r="D390" s="20"/>
      <c r="E390" s="30"/>
      <c r="F390" s="66"/>
      <c r="G390" s="66"/>
    </row>
    <row r="391" spans="2:7">
      <c r="B391" s="62">
        <f t="shared" si="10"/>
        <v>1</v>
      </c>
      <c r="C391" s="62"/>
      <c r="D391" s="20"/>
      <c r="E391" s="30"/>
      <c r="F391" s="66"/>
      <c r="G391" s="66"/>
    </row>
    <row r="392" spans="2:7">
      <c r="B392" s="62">
        <f t="shared" si="10"/>
        <v>1</v>
      </c>
      <c r="C392" s="62"/>
      <c r="D392" s="20"/>
      <c r="E392" s="30"/>
      <c r="F392" s="66"/>
      <c r="G392" s="66"/>
    </row>
    <row r="393" spans="2:7">
      <c r="B393" s="62">
        <f t="shared" si="10"/>
        <v>1</v>
      </c>
      <c r="C393" s="62"/>
      <c r="D393" s="20"/>
      <c r="E393" s="30"/>
      <c r="F393" s="66"/>
      <c r="G393" s="66"/>
    </row>
    <row r="394" spans="2:7">
      <c r="B394" s="62">
        <f t="shared" si="10"/>
        <v>1</v>
      </c>
      <c r="C394" s="62"/>
      <c r="D394" s="20"/>
      <c r="E394" s="30"/>
      <c r="F394" s="66"/>
      <c r="G394" s="66"/>
    </row>
    <row r="395" spans="2:7">
      <c r="B395" s="62">
        <f t="shared" si="10"/>
        <v>1</v>
      </c>
      <c r="C395" s="62"/>
      <c r="D395" s="20"/>
      <c r="E395" s="30"/>
      <c r="F395" s="66"/>
      <c r="G395" s="66"/>
    </row>
    <row r="396" spans="2:7">
      <c r="B396" s="62">
        <f t="shared" si="10"/>
        <v>1</v>
      </c>
      <c r="C396" s="62"/>
      <c r="D396" s="20"/>
      <c r="E396" s="30"/>
      <c r="F396" s="66"/>
      <c r="G396" s="66"/>
    </row>
    <row r="397" spans="2:7">
      <c r="B397" s="62">
        <f t="shared" si="10"/>
        <v>1</v>
      </c>
      <c r="C397" s="62"/>
      <c r="D397" s="20"/>
      <c r="E397" s="30"/>
      <c r="F397" s="66"/>
      <c r="G397" s="66"/>
    </row>
    <row r="398" spans="2:7">
      <c r="B398" s="62">
        <f t="shared" si="10"/>
        <v>1</v>
      </c>
      <c r="C398" s="62"/>
      <c r="D398" s="20"/>
      <c r="E398" s="30"/>
      <c r="F398" s="66"/>
      <c r="G398" s="66"/>
    </row>
    <row r="399" spans="2:7">
      <c r="B399" s="62">
        <f t="shared" si="10"/>
        <v>1</v>
      </c>
      <c r="C399" s="62"/>
      <c r="D399" s="20"/>
      <c r="E399" s="30"/>
      <c r="F399" s="66"/>
      <c r="G399" s="66"/>
    </row>
    <row r="400" spans="2:7">
      <c r="B400" s="62">
        <f t="shared" si="10"/>
        <v>1</v>
      </c>
      <c r="C400" s="62"/>
      <c r="D400" s="20"/>
      <c r="E400" s="30"/>
      <c r="F400" s="66"/>
      <c r="G400" s="66"/>
    </row>
    <row r="401" spans="2:7">
      <c r="B401" s="62">
        <f t="shared" si="10"/>
        <v>1</v>
      </c>
      <c r="C401" s="62"/>
      <c r="D401" s="20"/>
      <c r="E401" s="30"/>
      <c r="F401" s="66"/>
      <c r="G401" s="66"/>
    </row>
    <row r="402" spans="2:7">
      <c r="B402" s="62">
        <f t="shared" si="10"/>
        <v>1</v>
      </c>
      <c r="C402" s="62"/>
      <c r="D402" s="20"/>
      <c r="E402" s="30"/>
      <c r="F402" s="66"/>
      <c r="G402" s="66"/>
    </row>
    <row r="403" spans="2:7">
      <c r="B403" s="62">
        <f t="shared" si="10"/>
        <v>1</v>
      </c>
      <c r="C403" s="62"/>
      <c r="D403" s="20"/>
      <c r="E403" s="30"/>
      <c r="F403" s="66"/>
      <c r="G403" s="66"/>
    </row>
    <row r="404" spans="2:7">
      <c r="B404" s="62">
        <f t="shared" si="10"/>
        <v>1</v>
      </c>
      <c r="C404" s="62"/>
      <c r="D404" s="20"/>
      <c r="E404" s="30"/>
      <c r="F404" s="66"/>
      <c r="G404" s="66"/>
    </row>
    <row r="405" spans="2:7">
      <c r="B405" s="62">
        <f t="shared" si="10"/>
        <v>1</v>
      </c>
      <c r="C405" s="62"/>
      <c r="D405" s="20"/>
      <c r="E405" s="30"/>
      <c r="F405" s="66"/>
      <c r="G405" s="66"/>
    </row>
    <row r="406" spans="2:7">
      <c r="B406" s="62">
        <f t="shared" si="10"/>
        <v>1</v>
      </c>
      <c r="C406" s="62"/>
      <c r="D406" s="20"/>
      <c r="E406" s="30"/>
      <c r="F406" s="66"/>
      <c r="G406" s="66"/>
    </row>
    <row r="407" spans="2:7">
      <c r="B407" s="62">
        <f t="shared" si="10"/>
        <v>1</v>
      </c>
      <c r="C407" s="62"/>
      <c r="D407" s="20"/>
      <c r="E407" s="30"/>
      <c r="F407" s="66"/>
      <c r="G407" s="66"/>
    </row>
    <row r="408" spans="2:7">
      <c r="B408" s="62">
        <f t="shared" si="10"/>
        <v>1</v>
      </c>
      <c r="C408" s="62"/>
      <c r="D408" s="20"/>
      <c r="E408" s="30"/>
      <c r="F408" s="66"/>
      <c r="G408" s="66"/>
    </row>
    <row r="409" spans="2:7">
      <c r="B409" s="62">
        <f t="shared" si="10"/>
        <v>1</v>
      </c>
      <c r="C409" s="62"/>
      <c r="D409" s="20"/>
      <c r="E409" s="30"/>
      <c r="F409" s="66"/>
      <c r="G409" s="66"/>
    </row>
    <row r="410" spans="2:7">
      <c r="B410" s="62">
        <f t="shared" si="10"/>
        <v>1</v>
      </c>
      <c r="C410" s="62"/>
      <c r="D410" s="20"/>
      <c r="E410" s="30"/>
      <c r="F410" s="66"/>
      <c r="G410" s="66"/>
    </row>
    <row r="411" spans="2:7">
      <c r="B411" s="62">
        <f t="shared" si="10"/>
        <v>1</v>
      </c>
      <c r="C411" s="62"/>
      <c r="D411" s="20"/>
      <c r="E411" s="30"/>
      <c r="F411" s="66"/>
      <c r="G411" s="66"/>
    </row>
    <row r="412" spans="2:7">
      <c r="B412" s="62">
        <f t="shared" si="10"/>
        <v>1</v>
      </c>
      <c r="C412" s="62"/>
      <c r="D412" s="20"/>
      <c r="E412" s="30"/>
      <c r="F412" s="66"/>
      <c r="G412" s="66"/>
    </row>
    <row r="413" spans="2:7">
      <c r="B413" s="62">
        <f t="shared" si="10"/>
        <v>1</v>
      </c>
      <c r="C413" s="62"/>
      <c r="D413" s="20"/>
      <c r="E413" s="30"/>
      <c r="F413" s="66"/>
      <c r="G413" s="66"/>
    </row>
    <row r="414" spans="2:7">
      <c r="B414" s="62">
        <f t="shared" si="10"/>
        <v>1</v>
      </c>
      <c r="C414" s="62"/>
      <c r="D414" s="20"/>
      <c r="E414" s="30"/>
      <c r="F414" s="66"/>
      <c r="G414" s="66"/>
    </row>
    <row r="415" spans="2:7">
      <c r="B415" s="62">
        <f t="shared" si="10"/>
        <v>1</v>
      </c>
      <c r="C415" s="62"/>
      <c r="D415" s="20"/>
      <c r="E415" s="30"/>
      <c r="F415" s="66"/>
      <c r="G415" s="66"/>
    </row>
    <row r="416" spans="2:7">
      <c r="B416" s="62">
        <f t="shared" si="10"/>
        <v>1</v>
      </c>
      <c r="C416" s="62"/>
      <c r="D416" s="20"/>
      <c r="E416" s="30"/>
      <c r="F416" s="66"/>
      <c r="G416" s="66"/>
    </row>
    <row r="417" spans="2:7">
      <c r="B417" s="62">
        <f t="shared" si="10"/>
        <v>1</v>
      </c>
      <c r="C417" s="62"/>
      <c r="D417" s="20"/>
      <c r="E417" s="30"/>
      <c r="F417" s="66"/>
      <c r="G417" s="66"/>
    </row>
    <row r="418" spans="2:7">
      <c r="B418" s="62">
        <f t="shared" si="10"/>
        <v>1</v>
      </c>
      <c r="C418" s="62"/>
      <c r="D418" s="20"/>
      <c r="E418" s="30"/>
      <c r="F418" s="66"/>
      <c r="G418" s="66"/>
    </row>
    <row r="419" spans="2:7">
      <c r="B419" s="62">
        <f t="shared" si="10"/>
        <v>1</v>
      </c>
      <c r="C419" s="62"/>
      <c r="D419" s="20"/>
      <c r="E419" s="30"/>
      <c r="F419" s="66"/>
      <c r="G419" s="66"/>
    </row>
    <row r="420" spans="2:7">
      <c r="B420" s="62">
        <f t="shared" si="10"/>
        <v>1</v>
      </c>
      <c r="C420" s="62"/>
      <c r="D420" s="20"/>
      <c r="E420" s="30"/>
      <c r="F420" s="66"/>
      <c r="G420" s="66"/>
    </row>
    <row r="421" spans="2:7">
      <c r="B421" s="62">
        <f t="shared" si="10"/>
        <v>1</v>
      </c>
      <c r="C421" s="62"/>
      <c r="D421" s="20"/>
      <c r="E421" s="30"/>
      <c r="F421" s="66"/>
      <c r="G421" s="66"/>
    </row>
    <row r="422" spans="2:7">
      <c r="B422" s="62">
        <f t="shared" si="10"/>
        <v>1</v>
      </c>
      <c r="C422" s="62"/>
      <c r="D422" s="20"/>
      <c r="E422" s="30"/>
      <c r="F422" s="66"/>
      <c r="G422" s="66"/>
    </row>
    <row r="423" spans="2:7">
      <c r="B423" s="62">
        <f t="shared" si="10"/>
        <v>1</v>
      </c>
      <c r="C423" s="62"/>
      <c r="D423" s="20"/>
      <c r="E423" s="30"/>
      <c r="F423" s="66"/>
      <c r="G423" s="66"/>
    </row>
    <row r="424" spans="2:7">
      <c r="B424" s="62">
        <f t="shared" si="10"/>
        <v>1</v>
      </c>
      <c r="C424" s="62"/>
      <c r="D424" s="20"/>
      <c r="E424" s="30"/>
      <c r="F424" s="66"/>
      <c r="G424" s="66"/>
    </row>
    <row r="425" spans="2:7">
      <c r="B425" s="62">
        <f t="shared" ref="B425:B467" si="11">MONTH(G425)</f>
        <v>1</v>
      </c>
      <c r="C425" s="62"/>
      <c r="D425" s="20"/>
      <c r="E425" s="30"/>
      <c r="F425" s="66"/>
      <c r="G425" s="66"/>
    </row>
    <row r="426" spans="2:7">
      <c r="B426" s="62">
        <f t="shared" si="11"/>
        <v>1</v>
      </c>
      <c r="C426" s="62"/>
      <c r="D426" s="20"/>
      <c r="E426" s="30"/>
      <c r="F426" s="66"/>
      <c r="G426" s="66"/>
    </row>
    <row r="427" spans="2:7">
      <c r="B427" s="62">
        <f t="shared" si="11"/>
        <v>1</v>
      </c>
      <c r="C427" s="62"/>
      <c r="D427" s="20"/>
      <c r="E427" s="30"/>
      <c r="F427" s="66"/>
      <c r="G427" s="66"/>
    </row>
    <row r="428" spans="2:7">
      <c r="B428" s="62">
        <f t="shared" si="11"/>
        <v>1</v>
      </c>
      <c r="C428" s="62"/>
      <c r="D428" s="20"/>
      <c r="E428" s="30"/>
      <c r="F428" s="66"/>
      <c r="G428" s="66"/>
    </row>
    <row r="429" spans="2:7">
      <c r="B429" s="62">
        <f t="shared" si="11"/>
        <v>1</v>
      </c>
      <c r="C429" s="62"/>
      <c r="D429" s="20"/>
      <c r="E429" s="30"/>
      <c r="F429" s="66"/>
      <c r="G429" s="66"/>
    </row>
    <row r="430" spans="2:7">
      <c r="B430" s="62">
        <f t="shared" si="11"/>
        <v>1</v>
      </c>
      <c r="C430" s="62"/>
      <c r="D430" s="20"/>
      <c r="E430" s="30"/>
      <c r="F430" s="66"/>
      <c r="G430" s="66"/>
    </row>
    <row r="431" spans="2:7">
      <c r="B431" s="62">
        <f t="shared" si="11"/>
        <v>1</v>
      </c>
      <c r="C431" s="62"/>
      <c r="D431" s="20"/>
      <c r="E431" s="30"/>
      <c r="F431" s="66"/>
      <c r="G431" s="66"/>
    </row>
    <row r="432" spans="2:7">
      <c r="B432" s="62">
        <f t="shared" si="11"/>
        <v>1</v>
      </c>
      <c r="C432" s="62"/>
      <c r="D432" s="20"/>
      <c r="E432" s="30"/>
      <c r="F432" s="66"/>
      <c r="G432" s="66"/>
    </row>
    <row r="433" spans="2:7">
      <c r="B433" s="62">
        <f t="shared" si="11"/>
        <v>1</v>
      </c>
      <c r="C433" s="62"/>
      <c r="D433" s="20"/>
      <c r="E433" s="30"/>
      <c r="F433" s="66"/>
      <c r="G433" s="66"/>
    </row>
    <row r="434" spans="2:7">
      <c r="B434" s="62">
        <f t="shared" si="11"/>
        <v>1</v>
      </c>
      <c r="C434" s="62"/>
      <c r="D434" s="20"/>
      <c r="E434" s="30"/>
      <c r="F434" s="66"/>
      <c r="G434" s="66"/>
    </row>
    <row r="435" spans="2:7">
      <c r="B435" s="62">
        <f t="shared" si="11"/>
        <v>1</v>
      </c>
      <c r="C435" s="62"/>
      <c r="D435" s="20"/>
      <c r="E435" s="30"/>
      <c r="F435" s="66"/>
      <c r="G435" s="66"/>
    </row>
    <row r="436" spans="2:7">
      <c r="B436" s="62">
        <f t="shared" si="11"/>
        <v>1</v>
      </c>
      <c r="C436" s="62"/>
      <c r="D436" s="20"/>
      <c r="E436" s="30"/>
      <c r="F436" s="66"/>
      <c r="G436" s="66"/>
    </row>
    <row r="437" spans="2:7">
      <c r="B437" s="62">
        <f t="shared" si="11"/>
        <v>1</v>
      </c>
      <c r="C437" s="62"/>
      <c r="D437" s="20"/>
      <c r="E437" s="30"/>
      <c r="F437" s="66"/>
      <c r="G437" s="66"/>
    </row>
    <row r="438" spans="2:7">
      <c r="B438" s="62">
        <f t="shared" si="11"/>
        <v>1</v>
      </c>
      <c r="C438" s="62"/>
      <c r="D438" s="20"/>
      <c r="E438" s="30"/>
      <c r="F438" s="66"/>
      <c r="G438" s="66"/>
    </row>
    <row r="439" spans="2:7">
      <c r="B439" s="62">
        <f t="shared" si="11"/>
        <v>1</v>
      </c>
      <c r="C439" s="62"/>
      <c r="D439" s="20"/>
      <c r="E439" s="30"/>
      <c r="F439" s="66"/>
      <c r="G439" s="66"/>
    </row>
    <row r="440" spans="2:7">
      <c r="B440" s="62">
        <f t="shared" si="11"/>
        <v>1</v>
      </c>
      <c r="C440" s="62"/>
      <c r="D440" s="20"/>
      <c r="E440" s="30"/>
      <c r="F440" s="66"/>
      <c r="G440" s="66"/>
    </row>
    <row r="441" spans="2:7">
      <c r="B441" s="62">
        <f t="shared" si="11"/>
        <v>1</v>
      </c>
      <c r="C441" s="62"/>
      <c r="D441" s="20"/>
      <c r="E441" s="30"/>
      <c r="F441" s="66"/>
      <c r="G441" s="66"/>
    </row>
    <row r="442" spans="2:7">
      <c r="B442" s="62">
        <f t="shared" si="11"/>
        <v>1</v>
      </c>
      <c r="C442" s="62"/>
      <c r="D442" s="20"/>
      <c r="E442" s="30"/>
      <c r="F442" s="66"/>
      <c r="G442" s="66"/>
    </row>
    <row r="443" spans="2:7">
      <c r="B443" s="62">
        <f t="shared" si="11"/>
        <v>1</v>
      </c>
      <c r="C443" s="62"/>
      <c r="D443" s="20"/>
      <c r="E443" s="30"/>
      <c r="F443" s="66"/>
      <c r="G443" s="66"/>
    </row>
    <row r="444" spans="2:7">
      <c r="B444" s="62">
        <f t="shared" si="11"/>
        <v>1</v>
      </c>
      <c r="C444" s="62"/>
      <c r="D444" s="20"/>
      <c r="E444" s="30"/>
      <c r="F444" s="66"/>
      <c r="G444" s="66"/>
    </row>
    <row r="445" spans="2:7">
      <c r="B445" s="62">
        <f t="shared" si="11"/>
        <v>1</v>
      </c>
      <c r="C445" s="62"/>
      <c r="D445" s="20"/>
      <c r="E445" s="30"/>
      <c r="F445" s="66"/>
      <c r="G445" s="66"/>
    </row>
    <row r="446" spans="2:7">
      <c r="B446" s="62">
        <f t="shared" si="11"/>
        <v>1</v>
      </c>
      <c r="C446" s="62"/>
      <c r="D446" s="20"/>
      <c r="E446" s="30"/>
      <c r="F446" s="66"/>
      <c r="G446" s="66"/>
    </row>
    <row r="447" spans="2:7">
      <c r="B447" s="62">
        <f t="shared" si="11"/>
        <v>1</v>
      </c>
      <c r="C447" s="62"/>
      <c r="D447" s="20"/>
      <c r="E447" s="30"/>
      <c r="F447" s="66"/>
      <c r="G447" s="66"/>
    </row>
    <row r="448" spans="2:7">
      <c r="B448" s="62">
        <f t="shared" si="11"/>
        <v>1</v>
      </c>
      <c r="C448" s="62"/>
      <c r="D448" s="20"/>
      <c r="E448" s="30"/>
      <c r="F448" s="66"/>
      <c r="G448" s="66"/>
    </row>
    <row r="449" spans="2:7">
      <c r="B449" s="62">
        <f t="shared" si="11"/>
        <v>1</v>
      </c>
      <c r="C449" s="62"/>
      <c r="D449" s="20"/>
      <c r="E449" s="30"/>
      <c r="F449" s="66"/>
      <c r="G449" s="66"/>
    </row>
    <row r="450" spans="2:7">
      <c r="B450" s="62">
        <f t="shared" si="11"/>
        <v>1</v>
      </c>
      <c r="C450" s="62"/>
      <c r="D450" s="20"/>
      <c r="E450" s="30"/>
      <c r="F450" s="66"/>
      <c r="G450" s="66"/>
    </row>
    <row r="451" spans="2:7">
      <c r="B451" s="62">
        <f t="shared" si="11"/>
        <v>1</v>
      </c>
      <c r="C451" s="62"/>
      <c r="D451" s="20"/>
      <c r="E451" s="30"/>
      <c r="F451" s="66"/>
      <c r="G451" s="66"/>
    </row>
    <row r="452" spans="2:7">
      <c r="B452" s="62">
        <f t="shared" si="11"/>
        <v>1</v>
      </c>
      <c r="C452" s="62"/>
      <c r="D452" s="20"/>
      <c r="E452" s="30"/>
      <c r="F452" s="66"/>
      <c r="G452" s="66"/>
    </row>
    <row r="453" spans="2:7">
      <c r="B453" s="62">
        <f t="shared" si="11"/>
        <v>1</v>
      </c>
      <c r="C453" s="62"/>
      <c r="D453" s="20"/>
      <c r="E453" s="30"/>
      <c r="F453" s="66"/>
      <c r="G453" s="66"/>
    </row>
    <row r="454" spans="2:7">
      <c r="B454" s="62">
        <f t="shared" si="11"/>
        <v>1</v>
      </c>
      <c r="C454" s="62"/>
      <c r="D454" s="20"/>
      <c r="E454" s="30"/>
      <c r="F454" s="66"/>
      <c r="G454" s="66"/>
    </row>
    <row r="455" spans="2:7">
      <c r="B455" s="62">
        <f t="shared" si="11"/>
        <v>1</v>
      </c>
      <c r="C455" s="62"/>
      <c r="D455" s="20"/>
      <c r="E455" s="30"/>
      <c r="F455" s="66"/>
      <c r="G455" s="66"/>
    </row>
    <row r="456" spans="2:7">
      <c r="B456" s="62">
        <f t="shared" si="11"/>
        <v>1</v>
      </c>
      <c r="C456" s="62"/>
      <c r="D456" s="20"/>
      <c r="E456" s="30"/>
      <c r="F456" s="66"/>
      <c r="G456" s="66"/>
    </row>
    <row r="457" spans="2:7">
      <c r="B457" s="62">
        <f t="shared" si="11"/>
        <v>1</v>
      </c>
      <c r="C457" s="62"/>
      <c r="D457" s="20"/>
      <c r="E457" s="30"/>
      <c r="F457" s="66"/>
      <c r="G457" s="66"/>
    </row>
    <row r="458" spans="2:7">
      <c r="B458" s="62">
        <f t="shared" si="11"/>
        <v>1</v>
      </c>
      <c r="C458" s="62"/>
      <c r="D458" s="20"/>
      <c r="E458" s="30"/>
      <c r="F458" s="66"/>
      <c r="G458" s="66"/>
    </row>
    <row r="459" spans="2:7">
      <c r="B459" s="62">
        <f t="shared" si="11"/>
        <v>1</v>
      </c>
      <c r="C459" s="62"/>
      <c r="D459" s="20"/>
      <c r="E459" s="30"/>
      <c r="F459" s="66"/>
      <c r="G459" s="66"/>
    </row>
    <row r="460" spans="2:7">
      <c r="B460" s="62">
        <f t="shared" si="11"/>
        <v>1</v>
      </c>
      <c r="C460" s="62"/>
      <c r="D460" s="20"/>
      <c r="E460" s="30"/>
      <c r="F460" s="66"/>
      <c r="G460" s="66"/>
    </row>
    <row r="461" spans="2:7">
      <c r="B461" s="62">
        <f t="shared" si="11"/>
        <v>1</v>
      </c>
      <c r="C461" s="62"/>
      <c r="D461" s="20"/>
      <c r="E461" s="30"/>
      <c r="F461" s="66"/>
      <c r="G461" s="66"/>
    </row>
    <row r="462" spans="2:7">
      <c r="B462" s="62">
        <f t="shared" si="11"/>
        <v>1</v>
      </c>
      <c r="C462" s="62"/>
      <c r="D462" s="20"/>
      <c r="E462" s="30"/>
      <c r="F462" s="66"/>
      <c r="G462" s="66"/>
    </row>
    <row r="463" spans="2:7">
      <c r="B463" s="62">
        <f t="shared" si="11"/>
        <v>1</v>
      </c>
      <c r="C463" s="62"/>
      <c r="D463" s="20"/>
      <c r="E463" s="30"/>
      <c r="F463" s="66"/>
      <c r="G463" s="66"/>
    </row>
    <row r="464" spans="2:7">
      <c r="B464" s="62">
        <f t="shared" si="11"/>
        <v>1</v>
      </c>
      <c r="C464" s="62"/>
      <c r="D464" s="20"/>
      <c r="E464" s="30"/>
      <c r="F464" s="66"/>
      <c r="G464" s="66"/>
    </row>
    <row r="465" spans="2:7">
      <c r="B465" s="62">
        <f t="shared" si="11"/>
        <v>1</v>
      </c>
      <c r="C465" s="62"/>
      <c r="D465" s="20"/>
      <c r="E465" s="30"/>
      <c r="F465" s="66"/>
      <c r="G465" s="66"/>
    </row>
    <row r="466" spans="2:7">
      <c r="B466" s="62">
        <f t="shared" si="11"/>
        <v>1</v>
      </c>
      <c r="C466" s="62"/>
      <c r="D466" s="20"/>
      <c r="E466" s="30"/>
      <c r="F466" s="66"/>
      <c r="G466" s="66"/>
    </row>
    <row r="467" spans="2:7">
      <c r="B467" s="62">
        <f t="shared" si="11"/>
        <v>1</v>
      </c>
      <c r="C467" s="62"/>
      <c r="D467" s="20"/>
      <c r="E467" s="30"/>
      <c r="F467" s="66"/>
      <c r="G467" s="66"/>
    </row>
  </sheetData>
  <autoFilter ref="B2:I2"/>
  <sortState ref="B3:G468">
    <sortCondition ref="G3:G468"/>
    <sortCondition ref="D3:D468"/>
  </sortState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2:O86"/>
  <sheetViews>
    <sheetView showGridLines="0" workbookViewId="0">
      <pane ySplit="2" topLeftCell="A47" activePane="bottomLeft" state="frozen"/>
      <selection pane="bottomLeft" activeCell="G56" sqref="G56"/>
    </sheetView>
  </sheetViews>
  <sheetFormatPr defaultRowHeight="14.25"/>
  <cols>
    <col min="2" max="2" width="4.125" customWidth="1"/>
    <col min="3" max="3" width="9.125" bestFit="1" customWidth="1"/>
    <col min="4" max="4" width="8.75" bestFit="1" customWidth="1"/>
    <col min="5" max="5" width="10.375" bestFit="1" customWidth="1"/>
    <col min="6" max="6" width="18.125" bestFit="1" customWidth="1"/>
    <col min="7" max="7" width="8.125" bestFit="1" customWidth="1"/>
    <col min="8" max="8" width="14.75" bestFit="1" customWidth="1"/>
  </cols>
  <sheetData>
    <row r="2" spans="2:13">
      <c r="B2" s="15" t="s">
        <v>29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13">
      <c r="B3" s="19">
        <v>1</v>
      </c>
      <c r="C3" s="4" t="s">
        <v>0</v>
      </c>
      <c r="D3" s="5">
        <v>2000</v>
      </c>
      <c r="E3" s="20" t="s">
        <v>7</v>
      </c>
      <c r="F3" s="20" t="s">
        <v>84</v>
      </c>
      <c r="G3" s="18"/>
      <c r="H3" s="5"/>
    </row>
    <row r="4" spans="2:13">
      <c r="B4" s="19">
        <v>1</v>
      </c>
      <c r="C4" s="4" t="s">
        <v>0</v>
      </c>
      <c r="D4" s="5">
        <v>80</v>
      </c>
      <c r="E4" s="20" t="s">
        <v>9</v>
      </c>
      <c r="F4" s="20" t="s">
        <v>123</v>
      </c>
      <c r="G4" s="18"/>
      <c r="H4" s="5"/>
    </row>
    <row r="5" spans="2:13">
      <c r="B5" s="19">
        <v>1</v>
      </c>
      <c r="C5" s="4" t="s">
        <v>0</v>
      </c>
      <c r="D5" s="5">
        <v>22</v>
      </c>
      <c r="E5" s="20" t="s">
        <v>9</v>
      </c>
      <c r="F5" s="20" t="s">
        <v>93</v>
      </c>
      <c r="G5" s="18"/>
      <c r="H5" s="5"/>
    </row>
    <row r="6" spans="2:13">
      <c r="B6" s="19">
        <v>1</v>
      </c>
      <c r="C6" s="4" t="s">
        <v>0</v>
      </c>
      <c r="D6" s="78">
        <f>197.46+194.5</f>
        <v>391.96000000000004</v>
      </c>
      <c r="E6" s="20" t="s">
        <v>8</v>
      </c>
      <c r="F6" s="20" t="s">
        <v>105</v>
      </c>
      <c r="G6" s="18"/>
      <c r="H6" s="5"/>
    </row>
    <row r="7" spans="2:13">
      <c r="B7" s="19">
        <v>1</v>
      </c>
      <c r="C7" s="4" t="s">
        <v>0</v>
      </c>
      <c r="D7" s="5">
        <v>123.91</v>
      </c>
      <c r="E7" s="20" t="s">
        <v>8</v>
      </c>
      <c r="F7" s="20" t="s">
        <v>106</v>
      </c>
      <c r="G7" s="18"/>
      <c r="H7" s="5"/>
    </row>
    <row r="8" spans="2:13">
      <c r="B8" s="19">
        <v>1</v>
      </c>
      <c r="C8" s="4" t="s">
        <v>0</v>
      </c>
      <c r="D8" s="5"/>
      <c r="E8" s="20" t="s">
        <v>531</v>
      </c>
      <c r="F8" s="20" t="s">
        <v>192</v>
      </c>
      <c r="G8" s="18"/>
      <c r="H8" s="5"/>
    </row>
    <row r="9" spans="2:13">
      <c r="B9" s="19">
        <v>1</v>
      </c>
      <c r="C9" s="4" t="s">
        <v>0</v>
      </c>
      <c r="D9" s="77"/>
      <c r="E9" s="20" t="s">
        <v>98</v>
      </c>
      <c r="F9" s="20" t="s">
        <v>89</v>
      </c>
      <c r="G9" s="18"/>
      <c r="H9" s="5"/>
    </row>
    <row r="10" spans="2:13">
      <c r="B10" s="19">
        <f>B3+1</f>
        <v>2</v>
      </c>
      <c r="C10" s="4" t="s">
        <v>1</v>
      </c>
      <c r="D10" s="5">
        <v>2000</v>
      </c>
      <c r="E10" s="20" t="s">
        <v>7</v>
      </c>
      <c r="F10" s="20" t="s">
        <v>84</v>
      </c>
      <c r="G10" s="18"/>
      <c r="H10" s="5"/>
    </row>
    <row r="11" spans="2:13">
      <c r="B11" s="19">
        <f t="shared" ref="B11:B74" si="0">B4+1</f>
        <v>2</v>
      </c>
      <c r="C11" s="4" t="s">
        <v>1</v>
      </c>
      <c r="D11" s="5">
        <v>80</v>
      </c>
      <c r="E11" s="20" t="s">
        <v>9</v>
      </c>
      <c r="F11" s="20" t="s">
        <v>109</v>
      </c>
      <c r="G11" s="18"/>
      <c r="H11" s="5"/>
    </row>
    <row r="12" spans="2:13">
      <c r="B12" s="19">
        <f t="shared" si="0"/>
        <v>2</v>
      </c>
      <c r="C12" s="4" t="s">
        <v>1</v>
      </c>
      <c r="D12" s="5">
        <v>22</v>
      </c>
      <c r="E12" s="20" t="s">
        <v>9</v>
      </c>
      <c r="F12" s="20" t="s">
        <v>93</v>
      </c>
      <c r="G12" s="18"/>
      <c r="H12" s="5"/>
    </row>
    <row r="13" spans="2:13">
      <c r="B13" s="19">
        <f t="shared" si="0"/>
        <v>2</v>
      </c>
      <c r="C13" s="4" t="s">
        <v>1</v>
      </c>
      <c r="D13" s="5">
        <v>182.16</v>
      </c>
      <c r="E13" s="20" t="s">
        <v>8</v>
      </c>
      <c r="F13" s="20" t="s">
        <v>105</v>
      </c>
      <c r="G13" s="18"/>
      <c r="H13" s="5" t="s">
        <v>195</v>
      </c>
    </row>
    <row r="14" spans="2:13">
      <c r="B14" s="19">
        <f t="shared" si="0"/>
        <v>2</v>
      </c>
      <c r="C14" s="4" t="s">
        <v>1</v>
      </c>
      <c r="D14" s="5">
        <v>124.01</v>
      </c>
      <c r="E14" s="20" t="s">
        <v>8</v>
      </c>
      <c r="F14" s="20" t="s">
        <v>106</v>
      </c>
      <c r="G14" s="18"/>
      <c r="H14" s="5" t="s">
        <v>194</v>
      </c>
    </row>
    <row r="15" spans="2:13">
      <c r="B15" s="19">
        <f t="shared" si="0"/>
        <v>2</v>
      </c>
      <c r="C15" s="4" t="s">
        <v>1</v>
      </c>
      <c r="D15" s="5">
        <v>202.4</v>
      </c>
      <c r="E15" s="20" t="s">
        <v>531</v>
      </c>
      <c r="F15" s="20" t="s">
        <v>107</v>
      </c>
      <c r="G15" s="18"/>
      <c r="H15" s="5"/>
      <c r="J15" s="63"/>
      <c r="K15" s="63"/>
      <c r="L15" s="63"/>
      <c r="M15" s="63"/>
    </row>
    <row r="16" spans="2:13">
      <c r="B16" s="19">
        <f t="shared" si="0"/>
        <v>2</v>
      </c>
      <c r="C16" s="4" t="s">
        <v>1</v>
      </c>
      <c r="D16" s="5"/>
      <c r="E16" s="20" t="s">
        <v>98</v>
      </c>
      <c r="F16" s="20" t="s">
        <v>89</v>
      </c>
      <c r="G16" s="18"/>
      <c r="H16" s="5"/>
      <c r="J16" s="73"/>
      <c r="K16" s="71"/>
      <c r="L16" s="71"/>
      <c r="M16" s="71"/>
    </row>
    <row r="17" spans="2:15">
      <c r="B17" s="19">
        <f t="shared" si="0"/>
        <v>3</v>
      </c>
      <c r="C17" s="4" t="s">
        <v>108</v>
      </c>
      <c r="D17" s="5">
        <v>2000</v>
      </c>
      <c r="E17" s="20" t="s">
        <v>7</v>
      </c>
      <c r="F17" s="20" t="s">
        <v>84</v>
      </c>
      <c r="G17" s="18"/>
      <c r="H17" s="5"/>
      <c r="J17" s="73"/>
      <c r="K17" s="71"/>
      <c r="L17" s="71"/>
      <c r="M17" s="71"/>
    </row>
    <row r="18" spans="2:15">
      <c r="B18" s="19">
        <f t="shared" si="0"/>
        <v>3</v>
      </c>
      <c r="C18" s="4" t="s">
        <v>108</v>
      </c>
      <c r="D18" s="5">
        <v>80</v>
      </c>
      <c r="E18" s="20" t="s">
        <v>9</v>
      </c>
      <c r="F18" s="20" t="s">
        <v>109</v>
      </c>
      <c r="G18" s="18"/>
      <c r="H18" s="5"/>
      <c r="J18" s="73"/>
      <c r="K18" s="63"/>
      <c r="L18" s="63"/>
      <c r="M18" s="63"/>
    </row>
    <row r="19" spans="2:15">
      <c r="B19" s="19">
        <f t="shared" si="0"/>
        <v>3</v>
      </c>
      <c r="C19" s="4" t="s">
        <v>108</v>
      </c>
      <c r="D19" s="5">
        <v>22</v>
      </c>
      <c r="E19" s="20" t="s">
        <v>9</v>
      </c>
      <c r="F19" s="20" t="s">
        <v>93</v>
      </c>
      <c r="G19" s="18"/>
      <c r="H19" s="5"/>
      <c r="J19" s="73"/>
      <c r="K19" s="63"/>
      <c r="L19" s="63"/>
      <c r="M19" s="63"/>
    </row>
    <row r="20" spans="2:15">
      <c r="B20" s="19">
        <f t="shared" si="0"/>
        <v>3</v>
      </c>
      <c r="C20" s="4" t="s">
        <v>108</v>
      </c>
      <c r="D20" s="60">
        <v>167.43</v>
      </c>
      <c r="E20" s="20" t="s">
        <v>8</v>
      </c>
      <c r="F20" s="20" t="s">
        <v>105</v>
      </c>
      <c r="G20" s="43">
        <v>43576</v>
      </c>
      <c r="H20" s="5" t="s">
        <v>193</v>
      </c>
      <c r="J20" s="73"/>
      <c r="K20" s="63"/>
      <c r="L20" s="63"/>
      <c r="M20" s="63"/>
    </row>
    <row r="21" spans="2:15">
      <c r="B21" s="19">
        <f t="shared" si="0"/>
        <v>3</v>
      </c>
      <c r="C21" s="4" t="s">
        <v>108</v>
      </c>
      <c r="D21" s="5">
        <v>190</v>
      </c>
      <c r="E21" s="20" t="s">
        <v>8</v>
      </c>
      <c r="F21" s="20" t="s">
        <v>106</v>
      </c>
      <c r="G21" s="18">
        <v>43542</v>
      </c>
      <c r="H21" s="5" t="s">
        <v>193</v>
      </c>
      <c r="J21" s="73"/>
      <c r="K21" s="71"/>
      <c r="L21" s="71"/>
      <c r="M21" s="71"/>
    </row>
    <row r="22" spans="2:15">
      <c r="B22" s="19">
        <f t="shared" si="0"/>
        <v>3</v>
      </c>
      <c r="C22" s="4" t="s">
        <v>108</v>
      </c>
      <c r="D22" s="5">
        <v>202.4</v>
      </c>
      <c r="E22" s="20" t="s">
        <v>531</v>
      </c>
      <c r="F22" s="20" t="s">
        <v>107</v>
      </c>
      <c r="G22" s="18"/>
      <c r="H22" s="5"/>
      <c r="J22" s="73"/>
      <c r="K22" s="71"/>
      <c r="L22" s="71"/>
      <c r="M22" s="71"/>
    </row>
    <row r="23" spans="2:15">
      <c r="B23" s="19">
        <f t="shared" si="0"/>
        <v>3</v>
      </c>
      <c r="C23" s="4" t="s">
        <v>108</v>
      </c>
      <c r="D23" s="5"/>
      <c r="E23" s="20" t="s">
        <v>98</v>
      </c>
      <c r="F23" s="20" t="s">
        <v>89</v>
      </c>
      <c r="G23" s="18"/>
      <c r="H23" s="5"/>
      <c r="J23" s="73"/>
      <c r="K23" s="63"/>
      <c r="L23" s="71"/>
      <c r="M23" s="63"/>
    </row>
    <row r="24" spans="2:15">
      <c r="B24" s="19">
        <f t="shared" si="0"/>
        <v>4</v>
      </c>
      <c r="C24" s="4" t="s">
        <v>3</v>
      </c>
      <c r="D24" s="5">
        <v>2000</v>
      </c>
      <c r="E24" s="20" t="s">
        <v>7</v>
      </c>
      <c r="F24" s="20" t="s">
        <v>84</v>
      </c>
      <c r="G24" s="18"/>
      <c r="H24" s="5"/>
      <c r="J24" s="73"/>
      <c r="K24" s="63"/>
      <c r="L24" s="63"/>
      <c r="M24" s="63"/>
    </row>
    <row r="25" spans="2:15">
      <c r="B25" s="19">
        <f t="shared" si="0"/>
        <v>4</v>
      </c>
      <c r="C25" s="4" t="s">
        <v>3</v>
      </c>
      <c r="D25" s="5">
        <v>80</v>
      </c>
      <c r="E25" s="20" t="s">
        <v>9</v>
      </c>
      <c r="F25" s="20" t="s">
        <v>109</v>
      </c>
      <c r="G25" s="18"/>
      <c r="H25" s="5"/>
      <c r="J25" s="73"/>
      <c r="K25" s="63"/>
      <c r="L25" s="63"/>
      <c r="M25" s="63"/>
    </row>
    <row r="26" spans="2:15">
      <c r="B26" s="19">
        <f t="shared" si="0"/>
        <v>4</v>
      </c>
      <c r="C26" s="4" t="s">
        <v>3</v>
      </c>
      <c r="D26" s="5">
        <v>22</v>
      </c>
      <c r="E26" s="20" t="s">
        <v>9</v>
      </c>
      <c r="F26" s="20" t="s">
        <v>93</v>
      </c>
      <c r="G26" s="18"/>
      <c r="H26" s="5"/>
      <c r="J26" s="73"/>
      <c r="K26" s="63"/>
      <c r="L26" s="63"/>
      <c r="M26" s="63"/>
    </row>
    <row r="27" spans="2:15">
      <c r="B27" s="19">
        <f t="shared" si="0"/>
        <v>4</v>
      </c>
      <c r="C27" s="4" t="s">
        <v>3</v>
      </c>
      <c r="D27" s="5"/>
      <c r="E27" s="20" t="s">
        <v>8</v>
      </c>
      <c r="F27" s="20" t="s">
        <v>105</v>
      </c>
      <c r="G27" s="18"/>
      <c r="H27" s="5"/>
      <c r="J27" s="73"/>
      <c r="K27" s="63"/>
      <c r="L27" s="63"/>
      <c r="M27" s="63"/>
    </row>
    <row r="28" spans="2:15">
      <c r="B28" s="19">
        <f t="shared" si="0"/>
        <v>4</v>
      </c>
      <c r="C28" s="4" t="s">
        <v>3</v>
      </c>
      <c r="D28" s="5">
        <v>0</v>
      </c>
      <c r="E28" s="20" t="s">
        <v>8</v>
      </c>
      <c r="F28" s="20" t="s">
        <v>106</v>
      </c>
      <c r="G28" s="18"/>
      <c r="H28" s="5" t="s">
        <v>194</v>
      </c>
      <c r="I28">
        <v>247.46</v>
      </c>
      <c r="J28" s="73"/>
      <c r="K28" s="71"/>
      <c r="L28" s="71"/>
      <c r="M28" s="71"/>
    </row>
    <row r="29" spans="2:15" ht="15">
      <c r="B29" s="19">
        <f t="shared" si="0"/>
        <v>4</v>
      </c>
      <c r="C29" s="4" t="s">
        <v>3</v>
      </c>
      <c r="D29" s="5">
        <v>202.4</v>
      </c>
      <c r="E29" s="20" t="s">
        <v>531</v>
      </c>
      <c r="F29" s="20" t="s">
        <v>107</v>
      </c>
      <c r="G29" s="18"/>
      <c r="H29" s="5"/>
      <c r="J29" s="73"/>
      <c r="K29" s="71"/>
      <c r="L29" s="71"/>
      <c r="M29" s="71"/>
      <c r="N29" s="72"/>
      <c r="O29" s="49"/>
    </row>
    <row r="30" spans="2:15">
      <c r="B30" s="19">
        <f t="shared" si="0"/>
        <v>4</v>
      </c>
      <c r="C30" s="4" t="s">
        <v>3</v>
      </c>
      <c r="D30" s="5"/>
      <c r="E30" s="20" t="s">
        <v>98</v>
      </c>
      <c r="F30" s="20" t="s">
        <v>89</v>
      </c>
      <c r="G30" s="18"/>
      <c r="H30" s="5"/>
    </row>
    <row r="31" spans="2:15" ht="15">
      <c r="B31" s="19">
        <f t="shared" si="0"/>
        <v>5</v>
      </c>
      <c r="C31" s="4" t="s">
        <v>4</v>
      </c>
      <c r="D31" s="5">
        <v>2000</v>
      </c>
      <c r="E31" s="20" t="s">
        <v>7</v>
      </c>
      <c r="F31" s="20" t="s">
        <v>84</v>
      </c>
      <c r="G31" s="18"/>
      <c r="H31" s="5"/>
      <c r="J31" s="72"/>
      <c r="K31" s="72"/>
      <c r="L31" s="72"/>
      <c r="M31" s="72"/>
      <c r="N31" s="72"/>
      <c r="O31" s="49"/>
    </row>
    <row r="32" spans="2:15">
      <c r="B32" s="19">
        <f t="shared" si="0"/>
        <v>5</v>
      </c>
      <c r="C32" s="4" t="s">
        <v>4</v>
      </c>
      <c r="D32" s="5">
        <v>80</v>
      </c>
      <c r="E32" s="20" t="s">
        <v>9</v>
      </c>
      <c r="F32" s="20" t="s">
        <v>109</v>
      </c>
      <c r="G32" s="18"/>
      <c r="H32" s="5"/>
      <c r="J32" s="63"/>
      <c r="K32" s="71"/>
      <c r="L32" s="71"/>
      <c r="M32" s="71"/>
      <c r="N32" s="71"/>
      <c r="O32" s="49"/>
    </row>
    <row r="33" spans="2:13">
      <c r="B33" s="19">
        <f t="shared" si="0"/>
        <v>5</v>
      </c>
      <c r="C33" s="4" t="s">
        <v>4</v>
      </c>
      <c r="D33" s="5">
        <v>22</v>
      </c>
      <c r="E33" s="20" t="s">
        <v>9</v>
      </c>
      <c r="F33" s="20" t="s">
        <v>93</v>
      </c>
      <c r="G33" s="18"/>
      <c r="H33" s="5"/>
      <c r="J33" s="49"/>
      <c r="K33" s="71"/>
      <c r="L33" s="71"/>
      <c r="M33" s="71"/>
    </row>
    <row r="34" spans="2:13">
      <c r="B34" s="19">
        <f t="shared" si="0"/>
        <v>5</v>
      </c>
      <c r="C34" s="4" t="s">
        <v>4</v>
      </c>
      <c r="D34" s="5"/>
      <c r="E34" s="20" t="s">
        <v>8</v>
      </c>
      <c r="F34" s="20" t="s">
        <v>105</v>
      </c>
      <c r="G34" s="18"/>
      <c r="H34" s="5"/>
      <c r="J34" s="49"/>
      <c r="K34" s="71"/>
      <c r="L34" s="63"/>
      <c r="M34" s="63"/>
    </row>
    <row r="35" spans="2:13">
      <c r="B35" s="19">
        <f t="shared" si="0"/>
        <v>5</v>
      </c>
      <c r="C35" s="4" t="s">
        <v>4</v>
      </c>
      <c r="D35" s="5"/>
      <c r="E35" s="20" t="s">
        <v>8</v>
      </c>
      <c r="F35" s="20" t="s">
        <v>106</v>
      </c>
      <c r="G35" s="18"/>
      <c r="H35" s="5"/>
      <c r="J35" s="49"/>
      <c r="K35" s="71"/>
      <c r="L35" s="71"/>
      <c r="M35" s="71"/>
    </row>
    <row r="36" spans="2:13">
      <c r="B36" s="19">
        <f t="shared" si="0"/>
        <v>5</v>
      </c>
      <c r="C36" s="4" t="s">
        <v>4</v>
      </c>
      <c r="D36" s="5">
        <v>202.4</v>
      </c>
      <c r="E36" s="20" t="s">
        <v>531</v>
      </c>
      <c r="F36" s="20" t="s">
        <v>107</v>
      </c>
      <c r="G36" s="18"/>
      <c r="H36" s="5"/>
      <c r="J36" s="49"/>
      <c r="K36" s="71"/>
      <c r="L36" s="71"/>
      <c r="M36" s="71"/>
    </row>
    <row r="37" spans="2:13">
      <c r="B37" s="19">
        <f t="shared" si="0"/>
        <v>5</v>
      </c>
      <c r="C37" s="4" t="s">
        <v>4</v>
      </c>
      <c r="D37" s="5"/>
      <c r="E37" s="20" t="s">
        <v>98</v>
      </c>
      <c r="F37" s="20" t="s">
        <v>89</v>
      </c>
      <c r="G37" s="18"/>
      <c r="H37" s="5"/>
    </row>
    <row r="38" spans="2:13">
      <c r="B38" s="19">
        <f t="shared" si="0"/>
        <v>6</v>
      </c>
      <c r="C38" s="4" t="s">
        <v>5</v>
      </c>
      <c r="D38" s="5">
        <v>2000</v>
      </c>
      <c r="E38" s="20" t="s">
        <v>7</v>
      </c>
      <c r="F38" s="20" t="s">
        <v>84</v>
      </c>
      <c r="G38" s="18"/>
      <c r="H38" s="5"/>
    </row>
    <row r="39" spans="2:13">
      <c r="B39" s="19">
        <f t="shared" si="0"/>
        <v>6</v>
      </c>
      <c r="C39" s="4" t="s">
        <v>5</v>
      </c>
      <c r="D39" s="5">
        <v>80</v>
      </c>
      <c r="E39" s="20" t="s">
        <v>9</v>
      </c>
      <c r="F39" s="20" t="s">
        <v>109</v>
      </c>
      <c r="G39" s="18"/>
      <c r="H39" s="5"/>
    </row>
    <row r="40" spans="2:13">
      <c r="B40" s="19">
        <f t="shared" si="0"/>
        <v>6</v>
      </c>
      <c r="C40" s="4" t="s">
        <v>5</v>
      </c>
      <c r="D40" s="5">
        <v>22</v>
      </c>
      <c r="E40" s="20" t="s">
        <v>9</v>
      </c>
      <c r="F40" s="20" t="s">
        <v>93</v>
      </c>
      <c r="G40" s="18"/>
      <c r="H40" s="5"/>
    </row>
    <row r="41" spans="2:13">
      <c r="B41" s="19">
        <f t="shared" si="0"/>
        <v>6</v>
      </c>
      <c r="C41" s="4" t="s">
        <v>5</v>
      </c>
      <c r="D41" s="5"/>
      <c r="E41" s="20" t="s">
        <v>8</v>
      </c>
      <c r="F41" s="20" t="s">
        <v>105</v>
      </c>
      <c r="G41" s="18"/>
      <c r="H41" s="5"/>
    </row>
    <row r="42" spans="2:13">
      <c r="B42" s="19">
        <f t="shared" si="0"/>
        <v>6</v>
      </c>
      <c r="C42" s="4" t="s">
        <v>5</v>
      </c>
      <c r="D42" s="5"/>
      <c r="E42" s="20" t="s">
        <v>8</v>
      </c>
      <c r="F42" s="20" t="s">
        <v>106</v>
      </c>
      <c r="G42" s="18"/>
      <c r="H42" s="5"/>
    </row>
    <row r="43" spans="2:13">
      <c r="B43" s="19">
        <f t="shared" si="0"/>
        <v>6</v>
      </c>
      <c r="C43" s="4" t="s">
        <v>5</v>
      </c>
      <c r="D43" s="5">
        <v>202.4</v>
      </c>
      <c r="E43" s="20" t="s">
        <v>531</v>
      </c>
      <c r="F43" s="20" t="s">
        <v>107</v>
      </c>
      <c r="G43" s="18"/>
      <c r="H43" s="5"/>
    </row>
    <row r="44" spans="2:13">
      <c r="B44" s="19">
        <f t="shared" si="0"/>
        <v>6</v>
      </c>
      <c r="C44" s="4" t="s">
        <v>5</v>
      </c>
      <c r="D44" s="5">
        <v>50</v>
      </c>
      <c r="E44" s="20" t="s">
        <v>98</v>
      </c>
      <c r="F44" s="20" t="s">
        <v>532</v>
      </c>
      <c r="G44" s="18"/>
      <c r="H44" s="5"/>
    </row>
    <row r="45" spans="2:13">
      <c r="B45" s="19">
        <f t="shared" si="0"/>
        <v>7</v>
      </c>
      <c r="C45" s="4" t="s">
        <v>6</v>
      </c>
      <c r="D45" s="5">
        <v>2000</v>
      </c>
      <c r="E45" s="20" t="s">
        <v>7</v>
      </c>
      <c r="F45" s="20" t="s">
        <v>84</v>
      </c>
      <c r="G45" s="18"/>
      <c r="H45" s="5"/>
    </row>
    <row r="46" spans="2:13">
      <c r="B46" s="19">
        <f t="shared" si="0"/>
        <v>7</v>
      </c>
      <c r="C46" s="4" t="s">
        <v>6</v>
      </c>
      <c r="D46" s="5">
        <v>80</v>
      </c>
      <c r="E46" s="20" t="s">
        <v>9</v>
      </c>
      <c r="F46" s="20" t="s">
        <v>109</v>
      </c>
      <c r="G46" s="18"/>
      <c r="H46" s="5"/>
    </row>
    <row r="47" spans="2:13">
      <c r="B47" s="19">
        <f t="shared" si="0"/>
        <v>7</v>
      </c>
      <c r="C47" s="4" t="s">
        <v>6</v>
      </c>
      <c r="D47" s="5">
        <v>22</v>
      </c>
      <c r="E47" s="20" t="s">
        <v>9</v>
      </c>
      <c r="F47" s="20" t="s">
        <v>93</v>
      </c>
      <c r="G47" s="18"/>
      <c r="H47" s="5"/>
    </row>
    <row r="48" spans="2:13">
      <c r="B48" s="19">
        <f t="shared" si="0"/>
        <v>7</v>
      </c>
      <c r="C48" s="4" t="s">
        <v>6</v>
      </c>
      <c r="D48" s="5"/>
      <c r="E48" s="20" t="s">
        <v>8</v>
      </c>
      <c r="F48" s="20" t="s">
        <v>105</v>
      </c>
      <c r="G48" s="18"/>
      <c r="H48" s="5"/>
    </row>
    <row r="49" spans="2:14">
      <c r="B49" s="19">
        <f t="shared" si="0"/>
        <v>7</v>
      </c>
      <c r="C49" s="4" t="s">
        <v>6</v>
      </c>
      <c r="D49" s="5"/>
      <c r="E49" s="20" t="s">
        <v>8</v>
      </c>
      <c r="F49" s="20" t="s">
        <v>106</v>
      </c>
      <c r="G49" s="18"/>
      <c r="H49" s="5"/>
    </row>
    <row r="50" spans="2:14">
      <c r="B50" s="19">
        <f t="shared" si="0"/>
        <v>7</v>
      </c>
      <c r="C50" s="4" t="s">
        <v>6</v>
      </c>
      <c r="D50" s="5">
        <v>202.4</v>
      </c>
      <c r="E50" s="20" t="s">
        <v>531</v>
      </c>
      <c r="F50" s="20" t="s">
        <v>107</v>
      </c>
      <c r="G50" s="18"/>
      <c r="H50" s="5"/>
      <c r="N50" s="49"/>
    </row>
    <row r="51" spans="2:14">
      <c r="B51" s="19">
        <f t="shared" si="0"/>
        <v>7</v>
      </c>
      <c r="C51" s="4" t="s">
        <v>6</v>
      </c>
      <c r="D51" s="5"/>
      <c r="E51" s="20" t="s">
        <v>98</v>
      </c>
      <c r="F51" s="20" t="s">
        <v>89</v>
      </c>
      <c r="G51" s="18"/>
      <c r="H51" s="5"/>
      <c r="N51" s="49"/>
    </row>
    <row r="52" spans="2:14">
      <c r="B52" s="19">
        <f t="shared" si="0"/>
        <v>8</v>
      </c>
      <c r="C52" s="4" t="s">
        <v>10</v>
      </c>
      <c r="D52" s="5">
        <v>1660</v>
      </c>
      <c r="E52" s="20" t="s">
        <v>7</v>
      </c>
      <c r="F52" s="20" t="s">
        <v>84</v>
      </c>
      <c r="G52" s="18"/>
      <c r="H52" s="5"/>
      <c r="I52" s="85" t="s">
        <v>540</v>
      </c>
      <c r="N52" s="49"/>
    </row>
    <row r="53" spans="2:14">
      <c r="B53" s="19">
        <f t="shared" si="0"/>
        <v>8</v>
      </c>
      <c r="C53" s="4" t="s">
        <v>10</v>
      </c>
      <c r="D53" s="5">
        <v>80</v>
      </c>
      <c r="E53" s="20" t="s">
        <v>9</v>
      </c>
      <c r="F53" s="20" t="s">
        <v>109</v>
      </c>
      <c r="G53" s="18"/>
      <c r="H53" s="5"/>
    </row>
    <row r="54" spans="2:14">
      <c r="B54" s="19">
        <f t="shared" si="0"/>
        <v>8</v>
      </c>
      <c r="C54" s="4" t="s">
        <v>10</v>
      </c>
      <c r="D54" s="5">
        <v>22</v>
      </c>
      <c r="E54" s="20" t="s">
        <v>9</v>
      </c>
      <c r="F54" s="20" t="s">
        <v>93</v>
      </c>
      <c r="G54" s="18"/>
      <c r="H54" s="5"/>
    </row>
    <row r="55" spans="2:14">
      <c r="B55" s="19">
        <f t="shared" si="0"/>
        <v>8</v>
      </c>
      <c r="C55" s="4" t="s">
        <v>10</v>
      </c>
      <c r="D55" s="5">
        <v>217.42</v>
      </c>
      <c r="E55" s="20" t="s">
        <v>8</v>
      </c>
      <c r="F55" s="20" t="s">
        <v>105</v>
      </c>
      <c r="G55" s="18">
        <v>43696</v>
      </c>
      <c r="H55" s="5" t="s">
        <v>133</v>
      </c>
    </row>
    <row r="56" spans="2:14">
      <c r="B56" s="19">
        <f t="shared" si="0"/>
        <v>8</v>
      </c>
      <c r="C56" s="4" t="s">
        <v>10</v>
      </c>
      <c r="D56" s="5"/>
      <c r="E56" s="20" t="s">
        <v>8</v>
      </c>
      <c r="F56" s="20" t="s">
        <v>106</v>
      </c>
      <c r="G56" s="18"/>
      <c r="H56" s="5" t="s">
        <v>534</v>
      </c>
    </row>
    <row r="57" spans="2:14">
      <c r="B57" s="19">
        <f t="shared" si="0"/>
        <v>8</v>
      </c>
      <c r="C57" s="4" t="s">
        <v>10</v>
      </c>
      <c r="D57" s="5"/>
      <c r="E57" s="20" t="s">
        <v>531</v>
      </c>
      <c r="F57" s="20" t="s">
        <v>107</v>
      </c>
      <c r="G57" s="18"/>
      <c r="H57" s="5"/>
    </row>
    <row r="58" spans="2:14">
      <c r="B58" s="19">
        <f t="shared" si="0"/>
        <v>8</v>
      </c>
      <c r="C58" s="4" t="s">
        <v>10</v>
      </c>
      <c r="D58" s="5">
        <v>50</v>
      </c>
      <c r="E58" s="20" t="s">
        <v>98</v>
      </c>
      <c r="F58" s="20" t="s">
        <v>532</v>
      </c>
      <c r="G58" s="18"/>
      <c r="H58" s="5"/>
    </row>
    <row r="59" spans="2:14">
      <c r="B59" s="19">
        <f t="shared" ref="B59:B65" si="1">B52+1</f>
        <v>9</v>
      </c>
      <c r="C59" s="4" t="s">
        <v>11</v>
      </c>
      <c r="D59" s="5"/>
      <c r="E59" s="20" t="s">
        <v>7</v>
      </c>
      <c r="F59" s="20" t="s">
        <v>84</v>
      </c>
      <c r="G59" s="18"/>
      <c r="H59" s="5"/>
      <c r="K59" s="43"/>
    </row>
    <row r="60" spans="2:14">
      <c r="B60" s="19">
        <f t="shared" si="1"/>
        <v>9</v>
      </c>
      <c r="C60" s="4" t="s">
        <v>11</v>
      </c>
      <c r="D60" s="5"/>
      <c r="E60" s="20" t="s">
        <v>9</v>
      </c>
      <c r="F60" s="20" t="s">
        <v>109</v>
      </c>
      <c r="G60" s="18"/>
      <c r="H60" s="5"/>
    </row>
    <row r="61" spans="2:14">
      <c r="B61" s="19">
        <f t="shared" si="1"/>
        <v>9</v>
      </c>
      <c r="C61" s="4" t="s">
        <v>11</v>
      </c>
      <c r="D61" s="5"/>
      <c r="E61" s="20" t="s">
        <v>9</v>
      </c>
      <c r="F61" s="20" t="s">
        <v>93</v>
      </c>
      <c r="G61" s="18"/>
      <c r="H61" s="5"/>
    </row>
    <row r="62" spans="2:14">
      <c r="B62" s="19">
        <f t="shared" si="1"/>
        <v>9</v>
      </c>
      <c r="C62" s="4" t="s">
        <v>11</v>
      </c>
      <c r="D62" s="5"/>
      <c r="E62" s="20" t="s">
        <v>8</v>
      </c>
      <c r="F62" s="20" t="s">
        <v>105</v>
      </c>
      <c r="G62" s="18"/>
      <c r="H62" s="5"/>
    </row>
    <row r="63" spans="2:14">
      <c r="B63" s="19">
        <f t="shared" si="1"/>
        <v>9</v>
      </c>
      <c r="C63" s="4" t="s">
        <v>11</v>
      </c>
      <c r="D63" s="5"/>
      <c r="E63" s="20" t="s">
        <v>8</v>
      </c>
      <c r="F63" s="20" t="s">
        <v>106</v>
      </c>
      <c r="G63" s="18"/>
      <c r="H63" s="5"/>
    </row>
    <row r="64" spans="2:14">
      <c r="B64" s="19">
        <f t="shared" si="1"/>
        <v>9</v>
      </c>
      <c r="C64" s="4" t="s">
        <v>11</v>
      </c>
      <c r="D64" s="5"/>
      <c r="E64" s="20" t="s">
        <v>531</v>
      </c>
      <c r="F64" s="20" t="s">
        <v>107</v>
      </c>
      <c r="G64" s="18"/>
      <c r="H64" s="5"/>
    </row>
    <row r="65" spans="2:8">
      <c r="B65" s="19">
        <f t="shared" si="1"/>
        <v>9</v>
      </c>
      <c r="C65" s="4" t="s">
        <v>11</v>
      </c>
      <c r="D65" s="5"/>
      <c r="E65" s="20" t="s">
        <v>98</v>
      </c>
      <c r="F65" s="20" t="s">
        <v>89</v>
      </c>
      <c r="G65" s="18"/>
      <c r="H65" s="5"/>
    </row>
    <row r="66" spans="2:8">
      <c r="B66" s="19">
        <f t="shared" si="0"/>
        <v>10</v>
      </c>
      <c r="C66" s="4" t="s">
        <v>12</v>
      </c>
      <c r="D66" s="5"/>
      <c r="E66" s="20" t="s">
        <v>7</v>
      </c>
      <c r="F66" s="20" t="s">
        <v>84</v>
      </c>
      <c r="G66" s="18"/>
      <c r="H66" s="5"/>
    </row>
    <row r="67" spans="2:8">
      <c r="B67" s="19">
        <f t="shared" si="0"/>
        <v>10</v>
      </c>
      <c r="C67" s="4" t="s">
        <v>12</v>
      </c>
      <c r="D67" s="5"/>
      <c r="E67" s="20" t="s">
        <v>9</v>
      </c>
      <c r="F67" s="20" t="s">
        <v>109</v>
      </c>
      <c r="G67" s="18"/>
      <c r="H67" s="5"/>
    </row>
    <row r="68" spans="2:8">
      <c r="B68" s="19">
        <f t="shared" si="0"/>
        <v>10</v>
      </c>
      <c r="C68" s="4" t="s">
        <v>12</v>
      </c>
      <c r="D68" s="5"/>
      <c r="E68" s="20" t="s">
        <v>9</v>
      </c>
      <c r="F68" s="20" t="s">
        <v>93</v>
      </c>
      <c r="G68" s="18"/>
      <c r="H68" s="5"/>
    </row>
    <row r="69" spans="2:8">
      <c r="B69" s="19">
        <f t="shared" si="0"/>
        <v>10</v>
      </c>
      <c r="C69" s="4" t="s">
        <v>12</v>
      </c>
      <c r="D69" s="5"/>
      <c r="E69" s="20" t="s">
        <v>8</v>
      </c>
      <c r="F69" s="20" t="s">
        <v>105</v>
      </c>
      <c r="G69" s="18"/>
      <c r="H69" s="5"/>
    </row>
    <row r="70" spans="2:8">
      <c r="B70" s="19">
        <f t="shared" si="0"/>
        <v>10</v>
      </c>
      <c r="C70" s="4" t="s">
        <v>12</v>
      </c>
      <c r="D70" s="5"/>
      <c r="E70" s="20" t="s">
        <v>8</v>
      </c>
      <c r="F70" s="20" t="s">
        <v>106</v>
      </c>
      <c r="G70" s="18"/>
      <c r="H70" s="5"/>
    </row>
    <row r="71" spans="2:8">
      <c r="B71" s="19">
        <f t="shared" si="0"/>
        <v>10</v>
      </c>
      <c r="C71" s="4" t="s">
        <v>12</v>
      </c>
      <c r="D71" s="5"/>
      <c r="E71" s="20" t="s">
        <v>531</v>
      </c>
      <c r="F71" s="20" t="s">
        <v>107</v>
      </c>
      <c r="G71" s="18"/>
      <c r="H71" s="5"/>
    </row>
    <row r="72" spans="2:8">
      <c r="B72" s="19">
        <f t="shared" si="0"/>
        <v>10</v>
      </c>
      <c r="C72" s="4" t="s">
        <v>12</v>
      </c>
      <c r="D72" s="5"/>
      <c r="E72" s="20" t="s">
        <v>98</v>
      </c>
      <c r="F72" s="20" t="s">
        <v>89</v>
      </c>
      <c r="G72" s="18"/>
      <c r="H72" s="5"/>
    </row>
    <row r="73" spans="2:8">
      <c r="B73" s="19">
        <f t="shared" si="0"/>
        <v>11</v>
      </c>
      <c r="C73" s="4" t="s">
        <v>13</v>
      </c>
      <c r="D73" s="5"/>
      <c r="E73" s="20" t="s">
        <v>7</v>
      </c>
      <c r="F73" s="20" t="s">
        <v>84</v>
      </c>
      <c r="G73" s="18"/>
      <c r="H73" s="5"/>
    </row>
    <row r="74" spans="2:8">
      <c r="B74" s="19">
        <f t="shared" si="0"/>
        <v>11</v>
      </c>
      <c r="C74" s="4" t="s">
        <v>13</v>
      </c>
      <c r="D74" s="5"/>
      <c r="E74" s="20" t="s">
        <v>9</v>
      </c>
      <c r="F74" s="20" t="s">
        <v>109</v>
      </c>
      <c r="G74" s="18"/>
      <c r="H74" s="5"/>
    </row>
    <row r="75" spans="2:8">
      <c r="B75" s="19">
        <f t="shared" ref="B75:B86" si="2">B68+1</f>
        <v>11</v>
      </c>
      <c r="C75" s="4" t="s">
        <v>13</v>
      </c>
      <c r="D75" s="5"/>
      <c r="E75" s="20" t="s">
        <v>9</v>
      </c>
      <c r="F75" s="20" t="s">
        <v>93</v>
      </c>
      <c r="G75" s="18"/>
      <c r="H75" s="5"/>
    </row>
    <row r="76" spans="2:8">
      <c r="B76" s="19">
        <f t="shared" si="2"/>
        <v>11</v>
      </c>
      <c r="C76" s="4" t="s">
        <v>13</v>
      </c>
      <c r="D76" s="5"/>
      <c r="E76" s="20" t="s">
        <v>8</v>
      </c>
      <c r="F76" s="20" t="s">
        <v>105</v>
      </c>
      <c r="G76" s="18"/>
      <c r="H76" s="5"/>
    </row>
    <row r="77" spans="2:8">
      <c r="B77" s="19">
        <f t="shared" si="2"/>
        <v>11</v>
      </c>
      <c r="C77" s="4" t="s">
        <v>13</v>
      </c>
      <c r="D77" s="5"/>
      <c r="E77" s="20" t="s">
        <v>8</v>
      </c>
      <c r="F77" s="20" t="s">
        <v>106</v>
      </c>
      <c r="G77" s="18"/>
      <c r="H77" s="5"/>
    </row>
    <row r="78" spans="2:8">
      <c r="B78" s="19">
        <f t="shared" si="2"/>
        <v>11</v>
      </c>
      <c r="C78" s="4" t="s">
        <v>13</v>
      </c>
      <c r="D78" s="5"/>
      <c r="E78" s="20" t="s">
        <v>531</v>
      </c>
      <c r="F78" s="20" t="s">
        <v>107</v>
      </c>
      <c r="G78" s="18"/>
      <c r="H78" s="5"/>
    </row>
    <row r="79" spans="2:8">
      <c r="B79" s="19">
        <f t="shared" si="2"/>
        <v>11</v>
      </c>
      <c r="C79" s="4" t="s">
        <v>13</v>
      </c>
      <c r="D79" s="5"/>
      <c r="E79" s="20" t="s">
        <v>98</v>
      </c>
      <c r="F79" s="20" t="s">
        <v>89</v>
      </c>
      <c r="G79" s="18"/>
      <c r="H79" s="5"/>
    </row>
    <row r="80" spans="2:8">
      <c r="B80" s="19">
        <f t="shared" si="2"/>
        <v>12</v>
      </c>
      <c r="C80" s="4" t="s">
        <v>14</v>
      </c>
      <c r="D80" s="5"/>
      <c r="E80" s="20" t="s">
        <v>7</v>
      </c>
      <c r="F80" s="20" t="s">
        <v>84</v>
      </c>
      <c r="G80" s="18"/>
      <c r="H80" s="5"/>
    </row>
    <row r="81" spans="2:8">
      <c r="B81" s="19">
        <f t="shared" si="2"/>
        <v>12</v>
      </c>
      <c r="C81" s="4" t="s">
        <v>14</v>
      </c>
      <c r="D81" s="5"/>
      <c r="E81" s="20" t="s">
        <v>9</v>
      </c>
      <c r="F81" s="20" t="s">
        <v>109</v>
      </c>
      <c r="G81" s="18"/>
      <c r="H81" s="5"/>
    </row>
    <row r="82" spans="2:8">
      <c r="B82" s="19">
        <f t="shared" si="2"/>
        <v>12</v>
      </c>
      <c r="C82" s="4" t="s">
        <v>14</v>
      </c>
      <c r="D82" s="5"/>
      <c r="E82" s="20" t="s">
        <v>9</v>
      </c>
      <c r="F82" s="20" t="s">
        <v>93</v>
      </c>
      <c r="G82" s="18"/>
      <c r="H82" s="5"/>
    </row>
    <row r="83" spans="2:8">
      <c r="B83" s="19">
        <f t="shared" si="2"/>
        <v>12</v>
      </c>
      <c r="C83" s="4" t="s">
        <v>14</v>
      </c>
      <c r="D83" s="5"/>
      <c r="E83" s="20" t="s">
        <v>8</v>
      </c>
      <c r="F83" s="20" t="s">
        <v>105</v>
      </c>
      <c r="G83" s="18"/>
      <c r="H83" s="5"/>
    </row>
    <row r="84" spans="2:8">
      <c r="B84" s="19">
        <f t="shared" si="2"/>
        <v>12</v>
      </c>
      <c r="C84" s="4" t="s">
        <v>14</v>
      </c>
      <c r="D84" s="5"/>
      <c r="E84" s="20" t="s">
        <v>8</v>
      </c>
      <c r="F84" s="20" t="s">
        <v>106</v>
      </c>
      <c r="G84" s="18"/>
      <c r="H84" s="5"/>
    </row>
    <row r="85" spans="2:8">
      <c r="B85" s="19">
        <f t="shared" si="2"/>
        <v>12</v>
      </c>
      <c r="C85" s="4" t="s">
        <v>14</v>
      </c>
      <c r="D85" s="5"/>
      <c r="E85" s="20" t="s">
        <v>531</v>
      </c>
      <c r="F85" s="20" t="s">
        <v>107</v>
      </c>
      <c r="G85" s="18"/>
      <c r="H85" s="5"/>
    </row>
    <row r="86" spans="2:8">
      <c r="B86" s="19">
        <f t="shared" si="2"/>
        <v>12</v>
      </c>
      <c r="C86" s="4" t="s">
        <v>14</v>
      </c>
      <c r="D86" s="5"/>
      <c r="E86" s="20" t="s">
        <v>98</v>
      </c>
      <c r="F86" s="20" t="s">
        <v>89</v>
      </c>
      <c r="G86" s="18"/>
      <c r="H86" s="5"/>
    </row>
  </sheetData>
  <autoFilter ref="B2:H86"/>
  <pageMargins left="0.70866141732283472" right="0.70866141732283472" top="0.74803149606299213" bottom="0.74803149606299213" header="0.31496062992125984" footer="0.31496062992125984"/>
  <pageSetup paperSize="9" scale="9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I486"/>
  <sheetViews>
    <sheetView showGridLines="0" workbookViewId="0">
      <selection activeCell="B2" sqref="B2"/>
    </sheetView>
  </sheetViews>
  <sheetFormatPr defaultRowHeight="14.25"/>
  <cols>
    <col min="2" max="2" width="6.25" style="63" customWidth="1"/>
    <col min="3" max="3" width="9.875" style="63" customWidth="1"/>
    <col min="4" max="4" width="17.375" style="65" bestFit="1" customWidth="1"/>
    <col min="5" max="6" width="10.875" style="63" customWidth="1"/>
    <col min="7" max="7" width="9" style="63"/>
    <col min="8" max="8" width="1.75" customWidth="1"/>
    <col min="9" max="9" width="9" style="68"/>
  </cols>
  <sheetData>
    <row r="1" spans="2:7">
      <c r="D1" s="63"/>
      <c r="E1" s="71"/>
      <c r="F1" s="71"/>
    </row>
    <row r="2" spans="2:7">
      <c r="B2" s="15" t="s">
        <v>29</v>
      </c>
      <c r="C2" s="15" t="s">
        <v>30</v>
      </c>
      <c r="D2" s="16" t="s">
        <v>36</v>
      </c>
      <c r="E2" s="16" t="s">
        <v>514</v>
      </c>
      <c r="F2" s="17" t="s">
        <v>38</v>
      </c>
      <c r="G2" s="16" t="s">
        <v>33</v>
      </c>
    </row>
    <row r="3" spans="2:7">
      <c r="B3" s="62">
        <f t="shared" ref="B3:B12" si="0">IF(G3="","",MONTH(G3))</f>
        <v>4</v>
      </c>
      <c r="C3" s="62" t="s">
        <v>3</v>
      </c>
      <c r="D3" s="20" t="s">
        <v>15</v>
      </c>
      <c r="E3" s="5">
        <v>15</v>
      </c>
      <c r="F3" s="18" t="s">
        <v>39</v>
      </c>
      <c r="G3" s="18">
        <v>43565</v>
      </c>
    </row>
    <row r="4" spans="2:7">
      <c r="B4" s="62">
        <f t="shared" si="0"/>
        <v>4</v>
      </c>
      <c r="C4" s="62" t="s">
        <v>3</v>
      </c>
      <c r="D4" s="20" t="s">
        <v>138</v>
      </c>
      <c r="E4" s="5">
        <v>15</v>
      </c>
      <c r="F4" s="18" t="s">
        <v>39</v>
      </c>
      <c r="G4" s="18">
        <v>43565</v>
      </c>
    </row>
    <row r="5" spans="2:7">
      <c r="B5" s="62">
        <f t="shared" si="0"/>
        <v>4</v>
      </c>
      <c r="C5" s="62" t="s">
        <v>3</v>
      </c>
      <c r="D5" s="20" t="s">
        <v>519</v>
      </c>
      <c r="E5" s="5">
        <v>15</v>
      </c>
      <c r="F5" s="18" t="s">
        <v>39</v>
      </c>
      <c r="G5" s="18">
        <v>43565</v>
      </c>
    </row>
    <row r="6" spans="2:7">
      <c r="B6" s="62">
        <f t="shared" si="0"/>
        <v>4</v>
      </c>
      <c r="C6" s="62" t="s">
        <v>3</v>
      </c>
      <c r="D6" s="20" t="s">
        <v>101</v>
      </c>
      <c r="E6" s="5">
        <v>15</v>
      </c>
      <c r="F6" s="18" t="s">
        <v>39</v>
      </c>
      <c r="G6" s="18">
        <v>43565</v>
      </c>
    </row>
    <row r="7" spans="2:7">
      <c r="B7" s="62">
        <f t="shared" si="0"/>
        <v>4</v>
      </c>
      <c r="C7" s="62" t="s">
        <v>4</v>
      </c>
      <c r="D7" s="20" t="s">
        <v>101</v>
      </c>
      <c r="E7" s="5">
        <v>15</v>
      </c>
      <c r="F7" s="18" t="s">
        <v>39</v>
      </c>
      <c r="G7" s="18">
        <v>43565</v>
      </c>
    </row>
    <row r="8" spans="2:7">
      <c r="B8" s="62">
        <f t="shared" si="0"/>
        <v>4</v>
      </c>
      <c r="C8" s="62" t="s">
        <v>3</v>
      </c>
      <c r="D8" s="20" t="s">
        <v>119</v>
      </c>
      <c r="E8" s="5">
        <v>15</v>
      </c>
      <c r="F8" s="18" t="s">
        <v>39</v>
      </c>
      <c r="G8" s="18">
        <v>43565</v>
      </c>
    </row>
    <row r="9" spans="2:7">
      <c r="B9" s="62">
        <f t="shared" si="0"/>
        <v>4</v>
      </c>
      <c r="C9" s="62" t="s">
        <v>3</v>
      </c>
      <c r="D9" s="20" t="s">
        <v>125</v>
      </c>
      <c r="E9" s="5">
        <v>15</v>
      </c>
      <c r="F9" s="18" t="s">
        <v>39</v>
      </c>
      <c r="G9" s="18">
        <v>43565</v>
      </c>
    </row>
    <row r="10" spans="2:7">
      <c r="B10" s="62">
        <f t="shared" si="0"/>
        <v>4</v>
      </c>
      <c r="C10" s="62" t="s">
        <v>3</v>
      </c>
      <c r="D10" s="20" t="s">
        <v>19</v>
      </c>
      <c r="E10" s="5">
        <v>15</v>
      </c>
      <c r="F10" s="18" t="s">
        <v>39</v>
      </c>
      <c r="G10" s="18">
        <v>43565</v>
      </c>
    </row>
    <row r="11" spans="2:7">
      <c r="B11" s="62">
        <f t="shared" si="0"/>
        <v>4</v>
      </c>
      <c r="C11" s="62" t="s">
        <v>3</v>
      </c>
      <c r="D11" s="20" t="s">
        <v>27</v>
      </c>
      <c r="E11" s="5">
        <v>15</v>
      </c>
      <c r="F11" s="18" t="s">
        <v>39</v>
      </c>
      <c r="G11" s="18">
        <v>43565</v>
      </c>
    </row>
    <row r="12" spans="2:7">
      <c r="B12" s="62">
        <f t="shared" si="0"/>
        <v>4</v>
      </c>
      <c r="C12" s="62" t="s">
        <v>3</v>
      </c>
      <c r="D12" s="20" t="s">
        <v>20</v>
      </c>
      <c r="E12" s="5">
        <v>15</v>
      </c>
      <c r="F12" s="18" t="s">
        <v>39</v>
      </c>
      <c r="G12" s="18">
        <v>43565</v>
      </c>
    </row>
    <row r="13" spans="2:7">
      <c r="B13" s="62">
        <v>4</v>
      </c>
      <c r="C13" s="62" t="s">
        <v>3</v>
      </c>
      <c r="D13" s="20" t="s">
        <v>78</v>
      </c>
      <c r="E13" s="5">
        <v>15</v>
      </c>
      <c r="F13" s="18" t="s">
        <v>39</v>
      </c>
      <c r="G13" s="18">
        <v>43565</v>
      </c>
    </row>
    <row r="14" spans="2:7">
      <c r="B14" s="62">
        <f t="shared" ref="B14:B32" si="1">IF(G14="","",MONTH(G14))</f>
        <v>4</v>
      </c>
      <c r="C14" s="62" t="s">
        <v>3</v>
      </c>
      <c r="D14" s="20" t="s">
        <v>22</v>
      </c>
      <c r="E14" s="5">
        <v>15</v>
      </c>
      <c r="F14" s="18" t="s">
        <v>39</v>
      </c>
      <c r="G14" s="18">
        <v>43565</v>
      </c>
    </row>
    <row r="15" spans="2:7">
      <c r="B15" s="62">
        <f t="shared" si="1"/>
        <v>4</v>
      </c>
      <c r="C15" s="62" t="s">
        <v>3</v>
      </c>
      <c r="D15" s="20" t="s">
        <v>146</v>
      </c>
      <c r="E15" s="5">
        <v>15</v>
      </c>
      <c r="F15" s="18" t="s">
        <v>39</v>
      </c>
      <c r="G15" s="18">
        <v>43565</v>
      </c>
    </row>
    <row r="16" spans="2:7">
      <c r="B16" s="62">
        <f t="shared" si="1"/>
        <v>4</v>
      </c>
      <c r="C16" s="62" t="s">
        <v>3</v>
      </c>
      <c r="D16" s="20" t="s">
        <v>24</v>
      </c>
      <c r="E16" s="5">
        <v>15</v>
      </c>
      <c r="F16" s="18" t="s">
        <v>39</v>
      </c>
      <c r="G16" s="18">
        <v>43565</v>
      </c>
    </row>
    <row r="17" spans="2:7">
      <c r="B17" s="62">
        <f t="shared" si="1"/>
        <v>4</v>
      </c>
      <c r="C17" s="62" t="s">
        <v>3</v>
      </c>
      <c r="D17" s="20" t="s">
        <v>440</v>
      </c>
      <c r="E17" s="5">
        <v>15</v>
      </c>
      <c r="F17" s="18" t="s">
        <v>39</v>
      </c>
      <c r="G17" s="18">
        <v>43565</v>
      </c>
    </row>
    <row r="18" spans="2:7">
      <c r="B18" s="62">
        <f t="shared" si="1"/>
        <v>5</v>
      </c>
      <c r="C18" s="62" t="s">
        <v>4</v>
      </c>
      <c r="D18" s="20" t="s">
        <v>15</v>
      </c>
      <c r="E18" s="5">
        <v>15</v>
      </c>
      <c r="F18" s="18" t="s">
        <v>39</v>
      </c>
      <c r="G18" s="18">
        <v>43595</v>
      </c>
    </row>
    <row r="19" spans="2:7">
      <c r="B19" s="62">
        <f t="shared" si="1"/>
        <v>5</v>
      </c>
      <c r="C19" s="62" t="s">
        <v>4</v>
      </c>
      <c r="D19" s="20" t="s">
        <v>138</v>
      </c>
      <c r="E19" s="5">
        <v>15</v>
      </c>
      <c r="F19" s="18" t="s">
        <v>39</v>
      </c>
      <c r="G19" s="18">
        <v>43595</v>
      </c>
    </row>
    <row r="20" spans="2:7">
      <c r="B20" s="62">
        <f t="shared" si="1"/>
        <v>5</v>
      </c>
      <c r="C20" s="62" t="s">
        <v>4</v>
      </c>
      <c r="D20" s="20" t="s">
        <v>519</v>
      </c>
      <c r="E20" s="5">
        <v>15</v>
      </c>
      <c r="F20" s="18" t="s">
        <v>39</v>
      </c>
      <c r="G20" s="18">
        <v>43595</v>
      </c>
    </row>
    <row r="21" spans="2:7">
      <c r="B21" s="62">
        <f t="shared" si="1"/>
        <v>5</v>
      </c>
      <c r="C21" s="62" t="s">
        <v>4</v>
      </c>
      <c r="D21" s="20" t="s">
        <v>119</v>
      </c>
      <c r="E21" s="5">
        <v>15</v>
      </c>
      <c r="F21" s="18" t="s">
        <v>39</v>
      </c>
      <c r="G21" s="18">
        <v>43595</v>
      </c>
    </row>
    <row r="22" spans="2:7">
      <c r="B22" s="62">
        <f t="shared" si="1"/>
        <v>5</v>
      </c>
      <c r="C22" s="62" t="s">
        <v>4</v>
      </c>
      <c r="D22" s="20" t="s">
        <v>90</v>
      </c>
      <c r="E22" s="5">
        <v>15</v>
      </c>
      <c r="F22" s="18" t="s">
        <v>39</v>
      </c>
      <c r="G22" s="18">
        <v>43595</v>
      </c>
    </row>
    <row r="23" spans="2:7">
      <c r="B23" s="62">
        <f t="shared" si="1"/>
        <v>5</v>
      </c>
      <c r="C23" s="62" t="s">
        <v>4</v>
      </c>
      <c r="D23" s="20" t="s">
        <v>125</v>
      </c>
      <c r="E23" s="5">
        <v>15</v>
      </c>
      <c r="F23" s="18" t="s">
        <v>39</v>
      </c>
      <c r="G23" s="18">
        <v>43595</v>
      </c>
    </row>
    <row r="24" spans="2:7">
      <c r="B24" s="62">
        <f t="shared" si="1"/>
        <v>5</v>
      </c>
      <c r="C24" s="62" t="s">
        <v>4</v>
      </c>
      <c r="D24" s="20" t="s">
        <v>91</v>
      </c>
      <c r="E24" s="5">
        <v>15</v>
      </c>
      <c r="F24" s="18" t="s">
        <v>39</v>
      </c>
      <c r="G24" s="18">
        <v>43595</v>
      </c>
    </row>
    <row r="25" spans="2:7">
      <c r="B25" s="62">
        <f t="shared" si="1"/>
        <v>5</v>
      </c>
      <c r="C25" s="62" t="s">
        <v>4</v>
      </c>
      <c r="D25" s="20" t="s">
        <v>19</v>
      </c>
      <c r="E25" s="5">
        <v>15</v>
      </c>
      <c r="F25" s="18" t="s">
        <v>39</v>
      </c>
      <c r="G25" s="18">
        <v>43595</v>
      </c>
    </row>
    <row r="26" spans="2:7">
      <c r="B26" s="62">
        <f t="shared" si="1"/>
        <v>5</v>
      </c>
      <c r="C26" s="62" t="s">
        <v>4</v>
      </c>
      <c r="D26" s="20" t="s">
        <v>27</v>
      </c>
      <c r="E26" s="5">
        <v>15</v>
      </c>
      <c r="F26" s="18" t="s">
        <v>39</v>
      </c>
      <c r="G26" s="18">
        <v>43595</v>
      </c>
    </row>
    <row r="27" spans="2:7">
      <c r="B27" s="62">
        <f t="shared" si="1"/>
        <v>5</v>
      </c>
      <c r="C27" s="62" t="s">
        <v>4</v>
      </c>
      <c r="D27" s="20" t="s">
        <v>523</v>
      </c>
      <c r="E27" s="5">
        <v>15</v>
      </c>
      <c r="F27" s="18" t="s">
        <v>39</v>
      </c>
      <c r="G27" s="18">
        <v>43595</v>
      </c>
    </row>
    <row r="28" spans="2:7">
      <c r="B28" s="62">
        <f t="shared" si="1"/>
        <v>5</v>
      </c>
      <c r="C28" s="62" t="s">
        <v>4</v>
      </c>
      <c r="D28" s="20" t="s">
        <v>111</v>
      </c>
      <c r="E28" s="5">
        <v>15</v>
      </c>
      <c r="F28" s="18" t="s">
        <v>39</v>
      </c>
      <c r="G28" s="18">
        <v>43595</v>
      </c>
    </row>
    <row r="29" spans="2:7">
      <c r="B29" s="62">
        <f t="shared" si="1"/>
        <v>5</v>
      </c>
      <c r="C29" s="62" t="s">
        <v>4</v>
      </c>
      <c r="D29" s="20" t="s">
        <v>20</v>
      </c>
      <c r="E29" s="5">
        <v>15</v>
      </c>
      <c r="F29" s="18" t="s">
        <v>39</v>
      </c>
      <c r="G29" s="18">
        <v>43595</v>
      </c>
    </row>
    <row r="30" spans="2:7">
      <c r="B30" s="62">
        <f t="shared" si="1"/>
        <v>5</v>
      </c>
      <c r="C30" s="62" t="s">
        <v>4</v>
      </c>
      <c r="D30" s="20" t="s">
        <v>78</v>
      </c>
      <c r="E30" s="5">
        <v>15</v>
      </c>
      <c r="F30" s="18" t="s">
        <v>39</v>
      </c>
      <c r="G30" s="18">
        <v>43595</v>
      </c>
    </row>
    <row r="31" spans="2:7">
      <c r="B31" s="62">
        <f t="shared" si="1"/>
        <v>5</v>
      </c>
      <c r="C31" s="62" t="s">
        <v>4</v>
      </c>
      <c r="D31" s="20" t="s">
        <v>22</v>
      </c>
      <c r="E31" s="5">
        <v>15</v>
      </c>
      <c r="F31" s="18" t="s">
        <v>39</v>
      </c>
      <c r="G31" s="18">
        <v>43595</v>
      </c>
    </row>
    <row r="32" spans="2:7">
      <c r="B32" s="62">
        <f t="shared" si="1"/>
        <v>5</v>
      </c>
      <c r="C32" s="62" t="s">
        <v>4</v>
      </c>
      <c r="D32" s="20" t="s">
        <v>146</v>
      </c>
      <c r="E32" s="5">
        <v>15</v>
      </c>
      <c r="F32" s="18" t="s">
        <v>39</v>
      </c>
      <c r="G32" s="18">
        <v>43595</v>
      </c>
    </row>
    <row r="33" spans="2:7">
      <c r="B33" s="62">
        <v>5</v>
      </c>
      <c r="C33" s="62" t="s">
        <v>4</v>
      </c>
      <c r="D33" s="20" t="s">
        <v>24</v>
      </c>
      <c r="E33" s="5">
        <v>15</v>
      </c>
      <c r="F33" s="18" t="s">
        <v>39</v>
      </c>
      <c r="G33" s="18">
        <v>43595</v>
      </c>
    </row>
    <row r="34" spans="2:7">
      <c r="B34" s="62">
        <f t="shared" ref="B34:B65" si="2">IF(G34="","",MONTH(G34))</f>
        <v>5</v>
      </c>
      <c r="C34" s="62" t="s">
        <v>4</v>
      </c>
      <c r="D34" s="20" t="s">
        <v>440</v>
      </c>
      <c r="E34" s="5">
        <v>15</v>
      </c>
      <c r="F34" s="18" t="s">
        <v>39</v>
      </c>
      <c r="G34" s="18">
        <v>43595</v>
      </c>
    </row>
    <row r="35" spans="2:7">
      <c r="B35" s="62">
        <f t="shared" si="2"/>
        <v>5</v>
      </c>
      <c r="C35" s="62" t="s">
        <v>4</v>
      </c>
      <c r="D35" s="20" t="s">
        <v>121</v>
      </c>
      <c r="E35" s="5">
        <v>15</v>
      </c>
      <c r="F35" s="18" t="s">
        <v>39</v>
      </c>
      <c r="G35" s="18">
        <v>43595</v>
      </c>
    </row>
    <row r="36" spans="2:7">
      <c r="B36" s="62">
        <f t="shared" si="2"/>
        <v>5</v>
      </c>
      <c r="C36" s="62" t="s">
        <v>4</v>
      </c>
      <c r="D36" s="20" t="s">
        <v>517</v>
      </c>
      <c r="E36" s="5">
        <v>15</v>
      </c>
      <c r="F36" s="18" t="s">
        <v>39</v>
      </c>
      <c r="G36" s="18">
        <v>43595</v>
      </c>
    </row>
    <row r="37" spans="2:7">
      <c r="B37" s="62">
        <f t="shared" si="2"/>
        <v>6</v>
      </c>
      <c r="C37" s="62" t="s">
        <v>5</v>
      </c>
      <c r="D37" s="20" t="s">
        <v>15</v>
      </c>
      <c r="E37" s="5">
        <v>15</v>
      </c>
      <c r="F37" s="18" t="s">
        <v>39</v>
      </c>
      <c r="G37" s="18">
        <v>43626</v>
      </c>
    </row>
    <row r="38" spans="2:7">
      <c r="B38" s="62">
        <f t="shared" si="2"/>
        <v>6</v>
      </c>
      <c r="C38" s="62" t="s">
        <v>5</v>
      </c>
      <c r="D38" s="20" t="s">
        <v>81</v>
      </c>
      <c r="E38" s="5">
        <v>15</v>
      </c>
      <c r="F38" s="18" t="s">
        <v>39</v>
      </c>
      <c r="G38" s="18">
        <v>43626</v>
      </c>
    </row>
    <row r="39" spans="2:7">
      <c r="B39" s="62">
        <f t="shared" si="2"/>
        <v>6</v>
      </c>
      <c r="C39" s="62" t="s">
        <v>5</v>
      </c>
      <c r="D39" s="20" t="s">
        <v>138</v>
      </c>
      <c r="E39" s="5">
        <v>15</v>
      </c>
      <c r="F39" s="18" t="s">
        <v>39</v>
      </c>
      <c r="G39" s="18">
        <v>43626</v>
      </c>
    </row>
    <row r="40" spans="2:7">
      <c r="B40" s="62">
        <f t="shared" si="2"/>
        <v>6</v>
      </c>
      <c r="C40" s="62" t="s">
        <v>5</v>
      </c>
      <c r="D40" s="20" t="s">
        <v>519</v>
      </c>
      <c r="E40" s="5">
        <v>15</v>
      </c>
      <c r="F40" s="18" t="s">
        <v>39</v>
      </c>
      <c r="G40" s="18">
        <v>43626</v>
      </c>
    </row>
    <row r="41" spans="2:7">
      <c r="B41" s="62">
        <f t="shared" si="2"/>
        <v>6</v>
      </c>
      <c r="C41" s="62" t="s">
        <v>5</v>
      </c>
      <c r="D41" s="20" t="s">
        <v>119</v>
      </c>
      <c r="E41" s="5">
        <v>15</v>
      </c>
      <c r="F41" s="18" t="s">
        <v>39</v>
      </c>
      <c r="G41" s="18">
        <v>43626</v>
      </c>
    </row>
    <row r="42" spans="2:7">
      <c r="B42" s="62">
        <f t="shared" si="2"/>
        <v>6</v>
      </c>
      <c r="C42" s="62" t="s">
        <v>5</v>
      </c>
      <c r="D42" s="20" t="s">
        <v>90</v>
      </c>
      <c r="E42" s="5">
        <v>15</v>
      </c>
      <c r="F42" s="18" t="s">
        <v>39</v>
      </c>
      <c r="G42" s="18">
        <v>43626</v>
      </c>
    </row>
    <row r="43" spans="2:7">
      <c r="B43" s="62">
        <f t="shared" si="2"/>
        <v>6</v>
      </c>
      <c r="C43" s="62" t="s">
        <v>5</v>
      </c>
      <c r="D43" s="20" t="s">
        <v>91</v>
      </c>
      <c r="E43" s="5">
        <v>15</v>
      </c>
      <c r="F43" s="18" t="s">
        <v>39</v>
      </c>
      <c r="G43" s="18">
        <v>43626</v>
      </c>
    </row>
    <row r="44" spans="2:7">
      <c r="B44" s="62">
        <f t="shared" si="2"/>
        <v>6</v>
      </c>
      <c r="C44" s="62" t="s">
        <v>5</v>
      </c>
      <c r="D44" s="20" t="s">
        <v>27</v>
      </c>
      <c r="E44" s="5">
        <v>15</v>
      </c>
      <c r="F44" s="18" t="s">
        <v>39</v>
      </c>
      <c r="G44" s="18">
        <v>43626</v>
      </c>
    </row>
    <row r="45" spans="2:7">
      <c r="B45" s="62">
        <f t="shared" si="2"/>
        <v>6</v>
      </c>
      <c r="C45" s="62" t="s">
        <v>5</v>
      </c>
      <c r="D45" s="20" t="s">
        <v>20</v>
      </c>
      <c r="E45" s="5">
        <v>15</v>
      </c>
      <c r="F45" s="18" t="s">
        <v>39</v>
      </c>
      <c r="G45" s="18">
        <v>43626</v>
      </c>
    </row>
    <row r="46" spans="2:7">
      <c r="B46" s="62">
        <f t="shared" si="2"/>
        <v>6</v>
      </c>
      <c r="C46" s="62" t="s">
        <v>5</v>
      </c>
      <c r="D46" s="20" t="s">
        <v>86</v>
      </c>
      <c r="E46" s="5">
        <v>15</v>
      </c>
      <c r="F46" s="18" t="s">
        <v>39</v>
      </c>
      <c r="G46" s="18">
        <v>43626</v>
      </c>
    </row>
    <row r="47" spans="2:7">
      <c r="B47" s="62">
        <f t="shared" si="2"/>
        <v>6</v>
      </c>
      <c r="C47" s="62" t="s">
        <v>5</v>
      </c>
      <c r="D47" s="20" t="s">
        <v>78</v>
      </c>
      <c r="E47" s="5">
        <v>15</v>
      </c>
      <c r="F47" s="18" t="s">
        <v>39</v>
      </c>
      <c r="G47" s="18">
        <v>43626</v>
      </c>
    </row>
    <row r="48" spans="2:7">
      <c r="B48" s="62">
        <f t="shared" si="2"/>
        <v>6</v>
      </c>
      <c r="C48" s="62" t="s">
        <v>521</v>
      </c>
      <c r="D48" s="20" t="s">
        <v>22</v>
      </c>
      <c r="E48" s="5">
        <v>15</v>
      </c>
      <c r="F48" s="18" t="s">
        <v>39</v>
      </c>
      <c r="G48" s="18">
        <v>43626</v>
      </c>
    </row>
    <row r="49" spans="2:8">
      <c r="B49" s="62">
        <f t="shared" si="2"/>
        <v>6</v>
      </c>
      <c r="C49" s="62" t="s">
        <v>5</v>
      </c>
      <c r="D49" s="20" t="s">
        <v>146</v>
      </c>
      <c r="E49" s="5">
        <v>15</v>
      </c>
      <c r="F49" s="18" t="s">
        <v>39</v>
      </c>
      <c r="G49" s="18">
        <v>43626</v>
      </c>
    </row>
    <row r="50" spans="2:8">
      <c r="B50" s="62">
        <f t="shared" si="2"/>
        <v>6</v>
      </c>
      <c r="C50" s="62" t="s">
        <v>5</v>
      </c>
      <c r="D50" s="20" t="s">
        <v>524</v>
      </c>
      <c r="E50" s="5">
        <v>15</v>
      </c>
      <c r="F50" s="18" t="s">
        <v>39</v>
      </c>
      <c r="G50" s="18">
        <v>43626</v>
      </c>
    </row>
    <row r="51" spans="2:8">
      <c r="B51" s="62">
        <f t="shared" si="2"/>
        <v>6</v>
      </c>
      <c r="C51" s="62" t="s">
        <v>5</v>
      </c>
      <c r="D51" s="20" t="s">
        <v>24</v>
      </c>
      <c r="E51" s="5">
        <v>15</v>
      </c>
      <c r="F51" s="18" t="s">
        <v>39</v>
      </c>
      <c r="G51" s="18">
        <v>43626</v>
      </c>
      <c r="H51" s="18"/>
    </row>
    <row r="52" spans="2:8">
      <c r="B52" s="62">
        <f t="shared" si="2"/>
        <v>6</v>
      </c>
      <c r="C52" s="62" t="s">
        <v>5</v>
      </c>
      <c r="D52" s="20" t="s">
        <v>440</v>
      </c>
      <c r="E52" s="5">
        <v>15</v>
      </c>
      <c r="F52" s="18" t="s">
        <v>39</v>
      </c>
      <c r="G52" s="18">
        <v>43626</v>
      </c>
    </row>
    <row r="53" spans="2:8">
      <c r="B53" s="62">
        <f t="shared" si="2"/>
        <v>6</v>
      </c>
      <c r="C53" s="62" t="s">
        <v>5</v>
      </c>
      <c r="D53" s="20" t="s">
        <v>440</v>
      </c>
      <c r="E53" s="5">
        <v>15</v>
      </c>
      <c r="F53" s="18" t="s">
        <v>39</v>
      </c>
      <c r="G53" s="18">
        <v>43626</v>
      </c>
    </row>
    <row r="54" spans="2:8">
      <c r="B54" s="62">
        <f t="shared" si="2"/>
        <v>6</v>
      </c>
      <c r="C54" s="62" t="s">
        <v>5</v>
      </c>
      <c r="D54" s="20" t="s">
        <v>520</v>
      </c>
      <c r="E54" s="5">
        <v>15</v>
      </c>
      <c r="F54" s="18" t="s">
        <v>39</v>
      </c>
      <c r="G54" s="18">
        <v>43626</v>
      </c>
    </row>
    <row r="55" spans="2:8">
      <c r="B55" s="62">
        <f t="shared" si="2"/>
        <v>6</v>
      </c>
      <c r="C55" s="62" t="s">
        <v>521</v>
      </c>
      <c r="D55" s="20" t="s">
        <v>121</v>
      </c>
      <c r="E55" s="5">
        <v>15</v>
      </c>
      <c r="F55" s="18" t="s">
        <v>39</v>
      </c>
      <c r="G55" s="18">
        <v>43626</v>
      </c>
    </row>
    <row r="56" spans="2:8">
      <c r="B56" s="62">
        <f t="shared" si="2"/>
        <v>6</v>
      </c>
      <c r="C56" s="62" t="s">
        <v>5</v>
      </c>
      <c r="D56" s="20" t="s">
        <v>517</v>
      </c>
      <c r="E56" s="5">
        <v>15</v>
      </c>
      <c r="F56" s="18" t="s">
        <v>39</v>
      </c>
      <c r="G56" s="18">
        <v>43626</v>
      </c>
    </row>
    <row r="57" spans="2:8">
      <c r="B57" s="62">
        <f t="shared" si="2"/>
        <v>7</v>
      </c>
      <c r="C57" s="62" t="s">
        <v>6</v>
      </c>
      <c r="D57" s="20" t="s">
        <v>15</v>
      </c>
      <c r="E57" s="5">
        <v>15</v>
      </c>
      <c r="F57" s="18" t="s">
        <v>39</v>
      </c>
      <c r="G57" s="18">
        <v>43656</v>
      </c>
    </row>
    <row r="58" spans="2:8">
      <c r="B58" s="62">
        <f t="shared" si="2"/>
        <v>7</v>
      </c>
      <c r="C58" s="62" t="s">
        <v>6</v>
      </c>
      <c r="D58" s="20" t="s">
        <v>81</v>
      </c>
      <c r="E58" s="5">
        <v>15</v>
      </c>
      <c r="F58" s="18" t="s">
        <v>39</v>
      </c>
      <c r="G58" s="18">
        <v>43656</v>
      </c>
    </row>
    <row r="59" spans="2:8">
      <c r="B59" s="62">
        <f t="shared" si="2"/>
        <v>7</v>
      </c>
      <c r="C59" s="62" t="s">
        <v>6</v>
      </c>
      <c r="D59" s="20" t="s">
        <v>138</v>
      </c>
      <c r="E59" s="5">
        <v>15</v>
      </c>
      <c r="F59" s="18" t="s">
        <v>39</v>
      </c>
      <c r="G59" s="18">
        <v>43656</v>
      </c>
    </row>
    <row r="60" spans="2:8">
      <c r="B60" s="62">
        <f t="shared" si="2"/>
        <v>7</v>
      </c>
      <c r="C60" s="62" t="s">
        <v>6</v>
      </c>
      <c r="D60" s="20" t="s">
        <v>519</v>
      </c>
      <c r="E60" s="5">
        <v>15</v>
      </c>
      <c r="F60" s="18" t="s">
        <v>39</v>
      </c>
      <c r="G60" s="18">
        <v>43656</v>
      </c>
    </row>
    <row r="61" spans="2:8">
      <c r="B61" s="62">
        <f t="shared" si="2"/>
        <v>7</v>
      </c>
      <c r="C61" s="62" t="s">
        <v>6</v>
      </c>
      <c r="D61" s="20" t="s">
        <v>103</v>
      </c>
      <c r="E61" s="5">
        <v>15</v>
      </c>
      <c r="F61" s="18" t="s">
        <v>39</v>
      </c>
      <c r="G61" s="18">
        <v>43656</v>
      </c>
    </row>
    <row r="62" spans="2:8">
      <c r="B62" s="62">
        <f t="shared" si="2"/>
        <v>7</v>
      </c>
      <c r="C62" s="62" t="s">
        <v>6</v>
      </c>
      <c r="D62" s="20" t="s">
        <v>119</v>
      </c>
      <c r="E62" s="5">
        <v>15</v>
      </c>
      <c r="F62" s="18" t="s">
        <v>39</v>
      </c>
      <c r="G62" s="18">
        <v>43656</v>
      </c>
    </row>
    <row r="63" spans="2:8">
      <c r="B63" s="62">
        <f t="shared" si="2"/>
        <v>7</v>
      </c>
      <c r="C63" s="62" t="s">
        <v>6</v>
      </c>
      <c r="D63" s="20" t="s">
        <v>90</v>
      </c>
      <c r="E63" s="5">
        <v>15</v>
      </c>
      <c r="F63" s="18" t="s">
        <v>39</v>
      </c>
      <c r="G63" s="18">
        <v>43656</v>
      </c>
    </row>
    <row r="64" spans="2:8">
      <c r="B64" s="62">
        <f t="shared" si="2"/>
        <v>7</v>
      </c>
      <c r="C64" s="62" t="s">
        <v>6</v>
      </c>
      <c r="D64" s="20" t="s">
        <v>91</v>
      </c>
      <c r="E64" s="5">
        <v>15</v>
      </c>
      <c r="F64" s="18" t="s">
        <v>39</v>
      </c>
      <c r="G64" s="18">
        <v>43656</v>
      </c>
    </row>
    <row r="65" spans="2:8">
      <c r="B65" s="62">
        <f t="shared" si="2"/>
        <v>7</v>
      </c>
      <c r="C65" s="62" t="s">
        <v>6</v>
      </c>
      <c r="D65" s="20" t="s">
        <v>515</v>
      </c>
      <c r="E65" s="5">
        <v>15</v>
      </c>
      <c r="F65" s="18" t="s">
        <v>39</v>
      </c>
      <c r="G65" s="18">
        <v>43656</v>
      </c>
    </row>
    <row r="66" spans="2:8">
      <c r="B66" s="62">
        <f t="shared" ref="B66:B97" si="3">IF(G66="","",MONTH(G66))</f>
        <v>7</v>
      </c>
      <c r="C66" s="62" t="s">
        <v>5</v>
      </c>
      <c r="D66" s="20" t="s">
        <v>20</v>
      </c>
      <c r="E66" s="5">
        <v>15</v>
      </c>
      <c r="F66" s="18" t="s">
        <v>39</v>
      </c>
      <c r="G66" s="18">
        <v>43656</v>
      </c>
    </row>
    <row r="67" spans="2:8">
      <c r="B67" s="62">
        <f t="shared" si="3"/>
        <v>7</v>
      </c>
      <c r="C67" s="62" t="s">
        <v>6</v>
      </c>
      <c r="D67" s="20" t="s">
        <v>86</v>
      </c>
      <c r="E67" s="5">
        <v>15</v>
      </c>
      <c r="F67" s="18" t="s">
        <v>39</v>
      </c>
      <c r="G67" s="18">
        <v>43656</v>
      </c>
    </row>
    <row r="68" spans="2:8">
      <c r="B68" s="62">
        <f t="shared" si="3"/>
        <v>7</v>
      </c>
      <c r="C68" s="62" t="s">
        <v>10</v>
      </c>
      <c r="D68" s="20" t="s">
        <v>86</v>
      </c>
      <c r="E68" s="5">
        <v>15</v>
      </c>
      <c r="F68" s="18" t="s">
        <v>39</v>
      </c>
      <c r="G68" s="18">
        <v>43656</v>
      </c>
    </row>
    <row r="69" spans="2:8">
      <c r="B69" s="62">
        <f t="shared" si="3"/>
        <v>7</v>
      </c>
      <c r="C69" s="62" t="s">
        <v>6</v>
      </c>
      <c r="D69" s="20" t="s">
        <v>78</v>
      </c>
      <c r="E69" s="5">
        <v>15</v>
      </c>
      <c r="F69" s="18" t="s">
        <v>39</v>
      </c>
      <c r="G69" s="18">
        <v>43656</v>
      </c>
    </row>
    <row r="70" spans="2:8">
      <c r="B70" s="62">
        <f t="shared" si="3"/>
        <v>7</v>
      </c>
      <c r="C70" s="62" t="s">
        <v>6</v>
      </c>
      <c r="D70" s="20" t="s">
        <v>517</v>
      </c>
      <c r="E70" s="5">
        <v>15</v>
      </c>
      <c r="F70" s="18" t="s">
        <v>39</v>
      </c>
      <c r="G70" s="18">
        <v>43656</v>
      </c>
    </row>
    <row r="71" spans="2:8">
      <c r="B71" s="62">
        <f t="shared" si="3"/>
        <v>7</v>
      </c>
      <c r="C71" s="62" t="s">
        <v>10</v>
      </c>
      <c r="D71" s="20" t="s">
        <v>517</v>
      </c>
      <c r="E71" s="5">
        <v>15</v>
      </c>
      <c r="F71" s="18" t="s">
        <v>39</v>
      </c>
      <c r="G71" s="18">
        <v>43656</v>
      </c>
    </row>
    <row r="72" spans="2:8">
      <c r="B72" s="62">
        <f t="shared" si="3"/>
        <v>8</v>
      </c>
      <c r="C72" s="62" t="s">
        <v>10</v>
      </c>
      <c r="D72" s="20" t="s">
        <v>81</v>
      </c>
      <c r="E72" s="5">
        <v>15</v>
      </c>
      <c r="F72" s="18" t="s">
        <v>39</v>
      </c>
      <c r="G72" s="18">
        <v>43687</v>
      </c>
    </row>
    <row r="73" spans="2:8">
      <c r="B73" s="62">
        <f t="shared" si="3"/>
        <v>8</v>
      </c>
      <c r="C73" s="62" t="s">
        <v>10</v>
      </c>
      <c r="D73" s="20" t="s">
        <v>90</v>
      </c>
      <c r="E73" s="5">
        <v>15</v>
      </c>
      <c r="F73" s="18" t="s">
        <v>39</v>
      </c>
      <c r="G73" s="18">
        <v>43687</v>
      </c>
    </row>
    <row r="74" spans="2:8">
      <c r="B74" s="62">
        <f t="shared" si="3"/>
        <v>8</v>
      </c>
      <c r="C74" s="62" t="s">
        <v>10</v>
      </c>
      <c r="D74" s="20" t="s">
        <v>91</v>
      </c>
      <c r="E74" s="5">
        <v>15</v>
      </c>
      <c r="F74" s="18" t="s">
        <v>39</v>
      </c>
      <c r="G74" s="18">
        <v>43687</v>
      </c>
    </row>
    <row r="75" spans="2:8">
      <c r="B75" s="62">
        <f t="shared" si="3"/>
        <v>8</v>
      </c>
      <c r="C75" s="62" t="s">
        <v>10</v>
      </c>
      <c r="D75" s="20" t="s">
        <v>515</v>
      </c>
      <c r="E75" s="5">
        <v>15</v>
      </c>
      <c r="F75" s="18" t="s">
        <v>39</v>
      </c>
      <c r="G75" s="18">
        <v>43687</v>
      </c>
    </row>
    <row r="76" spans="2:8">
      <c r="B76" s="62" t="str">
        <f t="shared" si="3"/>
        <v/>
      </c>
      <c r="C76" s="62"/>
      <c r="D76" s="20"/>
      <c r="E76" s="5"/>
      <c r="F76" s="18"/>
      <c r="G76" s="18"/>
    </row>
    <row r="77" spans="2:8">
      <c r="B77" s="62" t="str">
        <f t="shared" si="3"/>
        <v/>
      </c>
      <c r="C77" s="62"/>
      <c r="D77" s="20"/>
      <c r="E77" s="5"/>
      <c r="F77" s="18"/>
      <c r="G77" s="18"/>
    </row>
    <row r="78" spans="2:8">
      <c r="B78" s="62" t="str">
        <f t="shared" si="3"/>
        <v/>
      </c>
      <c r="C78" s="62"/>
      <c r="D78" s="20"/>
      <c r="E78" s="5"/>
      <c r="F78" s="18"/>
      <c r="G78" s="18"/>
    </row>
    <row r="79" spans="2:8">
      <c r="B79" s="62" t="str">
        <f t="shared" si="3"/>
        <v/>
      </c>
      <c r="C79" s="62"/>
      <c r="D79" s="20"/>
      <c r="E79" s="5"/>
      <c r="F79" s="18"/>
      <c r="G79" s="18"/>
      <c r="H79" s="85"/>
    </row>
    <row r="80" spans="2:8">
      <c r="B80" s="62" t="str">
        <f t="shared" si="3"/>
        <v/>
      </c>
      <c r="C80" s="62"/>
      <c r="D80" s="20"/>
      <c r="E80" s="5"/>
      <c r="F80" s="18"/>
      <c r="G80" s="18"/>
      <c r="H80" s="85"/>
    </row>
    <row r="81" spans="2:8">
      <c r="B81" s="62" t="str">
        <f t="shared" si="3"/>
        <v/>
      </c>
      <c r="C81" s="62"/>
      <c r="D81" s="20"/>
      <c r="E81" s="5"/>
      <c r="F81" s="18"/>
      <c r="G81" s="18"/>
      <c r="H81" s="85"/>
    </row>
    <row r="82" spans="2:8">
      <c r="B82" s="62" t="str">
        <f t="shared" si="3"/>
        <v/>
      </c>
      <c r="C82" s="62"/>
      <c r="D82" s="20"/>
      <c r="E82" s="5"/>
      <c r="F82" s="18"/>
      <c r="G82" s="18"/>
      <c r="H82" s="85"/>
    </row>
    <row r="83" spans="2:8">
      <c r="B83" s="62" t="str">
        <f t="shared" si="3"/>
        <v/>
      </c>
      <c r="C83" s="62"/>
      <c r="D83" s="20"/>
      <c r="E83" s="5"/>
      <c r="F83" s="18"/>
      <c r="G83" s="18"/>
      <c r="H83" s="85"/>
    </row>
    <row r="84" spans="2:8">
      <c r="B84" s="62" t="str">
        <f t="shared" si="3"/>
        <v/>
      </c>
      <c r="C84" s="62"/>
      <c r="D84" s="20"/>
      <c r="E84" s="5"/>
      <c r="F84" s="18"/>
      <c r="G84" s="18"/>
      <c r="H84" s="85"/>
    </row>
    <row r="85" spans="2:8">
      <c r="B85" s="62" t="str">
        <f t="shared" si="3"/>
        <v/>
      </c>
      <c r="C85" s="62"/>
      <c r="D85" s="20"/>
      <c r="E85" s="5"/>
      <c r="F85" s="18"/>
      <c r="G85" s="18"/>
      <c r="H85" s="85"/>
    </row>
    <row r="86" spans="2:8">
      <c r="B86" s="62" t="str">
        <f t="shared" si="3"/>
        <v/>
      </c>
      <c r="C86" s="62"/>
      <c r="D86" s="20"/>
      <c r="E86" s="5"/>
      <c r="F86" s="18"/>
      <c r="G86" s="18"/>
      <c r="H86" s="85"/>
    </row>
    <row r="87" spans="2:8">
      <c r="B87" s="62" t="str">
        <f t="shared" si="3"/>
        <v/>
      </c>
      <c r="C87" s="62"/>
      <c r="D87" s="20"/>
      <c r="E87" s="5"/>
      <c r="F87" s="18"/>
      <c r="G87" s="18"/>
      <c r="H87" s="85"/>
    </row>
    <row r="88" spans="2:8">
      <c r="B88" s="62" t="str">
        <f t="shared" si="3"/>
        <v/>
      </c>
      <c r="C88" s="62"/>
      <c r="D88" s="20"/>
      <c r="E88" s="5"/>
      <c r="F88" s="18"/>
      <c r="G88" s="18"/>
      <c r="H88" s="85"/>
    </row>
    <row r="89" spans="2:8">
      <c r="B89" s="62" t="str">
        <f t="shared" si="3"/>
        <v/>
      </c>
      <c r="C89" s="62"/>
      <c r="D89" s="20"/>
      <c r="E89" s="5"/>
      <c r="F89" s="18"/>
      <c r="G89" s="18"/>
      <c r="H89" s="85"/>
    </row>
    <row r="90" spans="2:8">
      <c r="B90" s="62" t="str">
        <f t="shared" si="3"/>
        <v/>
      </c>
      <c r="C90" s="62"/>
      <c r="D90" s="20"/>
      <c r="E90" s="5"/>
      <c r="F90" s="18"/>
      <c r="G90" s="18"/>
    </row>
    <row r="91" spans="2:8">
      <c r="B91" s="62" t="str">
        <f t="shared" si="3"/>
        <v/>
      </c>
      <c r="C91" s="62"/>
      <c r="D91" s="20"/>
      <c r="E91" s="5"/>
      <c r="F91" s="18"/>
      <c r="G91" s="18"/>
    </row>
    <row r="92" spans="2:8">
      <c r="B92" s="62" t="str">
        <f t="shared" si="3"/>
        <v/>
      </c>
      <c r="C92" s="62"/>
      <c r="D92" s="20"/>
      <c r="E92" s="5"/>
      <c r="F92" s="18"/>
      <c r="G92" s="18"/>
    </row>
    <row r="93" spans="2:8">
      <c r="B93" s="62" t="str">
        <f t="shared" si="3"/>
        <v/>
      </c>
      <c r="C93" s="62"/>
      <c r="D93" s="20"/>
      <c r="E93" s="5"/>
      <c r="F93" s="18"/>
      <c r="G93" s="18"/>
    </row>
    <row r="94" spans="2:8">
      <c r="B94" s="62" t="str">
        <f t="shared" si="3"/>
        <v/>
      </c>
      <c r="C94" s="62"/>
      <c r="D94" s="20"/>
      <c r="E94" s="5"/>
      <c r="F94" s="18"/>
      <c r="G94" s="18"/>
    </row>
    <row r="95" spans="2:8">
      <c r="B95" s="62" t="str">
        <f t="shared" si="3"/>
        <v/>
      </c>
      <c r="C95" s="62"/>
      <c r="D95" s="20"/>
      <c r="E95" s="5"/>
      <c r="F95" s="18"/>
      <c r="G95" s="18"/>
    </row>
    <row r="96" spans="2:8">
      <c r="B96" s="62" t="str">
        <f t="shared" si="3"/>
        <v/>
      </c>
      <c r="C96" s="62"/>
      <c r="D96" s="20"/>
      <c r="E96" s="5"/>
      <c r="F96" s="66"/>
      <c r="G96" s="18"/>
      <c r="H96" s="67"/>
    </row>
    <row r="97" spans="2:7">
      <c r="B97" s="62" t="str">
        <f t="shared" si="3"/>
        <v/>
      </c>
      <c r="C97" s="62"/>
      <c r="D97" s="20"/>
      <c r="E97" s="5"/>
      <c r="F97" s="18"/>
      <c r="G97" s="18"/>
    </row>
    <row r="98" spans="2:7">
      <c r="B98" s="62" t="str">
        <f t="shared" ref="B98:B103" si="4">IF(G98="","",MONTH(G98))</f>
        <v/>
      </c>
      <c r="C98" s="62"/>
      <c r="D98" s="20"/>
      <c r="E98" s="5"/>
      <c r="F98" s="18"/>
      <c r="G98" s="18"/>
    </row>
    <row r="99" spans="2:7">
      <c r="B99" s="62" t="str">
        <f t="shared" si="4"/>
        <v/>
      </c>
      <c r="C99" s="62"/>
      <c r="D99" s="20"/>
      <c r="E99" s="5"/>
      <c r="F99" s="18"/>
      <c r="G99" s="18"/>
    </row>
    <row r="100" spans="2:7">
      <c r="B100" s="62" t="str">
        <f t="shared" si="4"/>
        <v/>
      </c>
      <c r="C100" s="62"/>
      <c r="D100" s="20"/>
      <c r="E100" s="5"/>
      <c r="F100" s="18"/>
      <c r="G100" s="18"/>
    </row>
    <row r="101" spans="2:7">
      <c r="B101" s="62" t="str">
        <f t="shared" si="4"/>
        <v/>
      </c>
      <c r="C101" s="62"/>
      <c r="D101" s="20"/>
      <c r="E101" s="5"/>
      <c r="F101" s="18"/>
      <c r="G101" s="18"/>
    </row>
    <row r="102" spans="2:7">
      <c r="B102" s="62" t="str">
        <f t="shared" si="4"/>
        <v/>
      </c>
      <c r="C102" s="62"/>
      <c r="D102" s="20"/>
      <c r="E102" s="5"/>
      <c r="F102" s="18"/>
      <c r="G102" s="18"/>
    </row>
    <row r="103" spans="2:7">
      <c r="B103" s="62" t="str">
        <f t="shared" si="4"/>
        <v/>
      </c>
      <c r="C103" s="62"/>
      <c r="D103" s="20"/>
      <c r="E103" s="5"/>
      <c r="F103" s="18"/>
      <c r="G103" s="18"/>
    </row>
    <row r="104" spans="2:7">
      <c r="B104" s="62"/>
      <c r="C104" s="62"/>
      <c r="D104" s="20"/>
      <c r="E104" s="5"/>
      <c r="F104" s="18"/>
      <c r="G104" s="18"/>
    </row>
    <row r="105" spans="2:7">
      <c r="B105" s="62"/>
      <c r="C105" s="62"/>
      <c r="D105" s="20"/>
      <c r="E105" s="5"/>
      <c r="F105" s="18"/>
      <c r="G105" s="18"/>
    </row>
    <row r="106" spans="2:7">
      <c r="B106" s="62"/>
      <c r="C106" s="62"/>
      <c r="D106" s="20"/>
      <c r="E106" s="5"/>
      <c r="F106" s="18"/>
      <c r="G106" s="18"/>
    </row>
    <row r="107" spans="2:7">
      <c r="B107" s="62"/>
      <c r="C107" s="62"/>
      <c r="D107" s="20"/>
      <c r="E107" s="5"/>
      <c r="F107" s="18"/>
      <c r="G107" s="18"/>
    </row>
    <row r="108" spans="2:7">
      <c r="B108" s="62"/>
      <c r="C108" s="62"/>
      <c r="D108" s="20"/>
      <c r="E108" s="5"/>
      <c r="F108" s="18"/>
      <c r="G108" s="18"/>
    </row>
    <row r="109" spans="2:7">
      <c r="B109" s="62"/>
      <c r="C109" s="62"/>
      <c r="D109" s="20"/>
      <c r="E109" s="5"/>
      <c r="F109" s="18"/>
      <c r="G109" s="18"/>
    </row>
    <row r="110" spans="2:7">
      <c r="B110" s="62"/>
      <c r="C110" s="62"/>
      <c r="D110" s="20"/>
      <c r="E110" s="5"/>
      <c r="F110" s="18"/>
      <c r="G110" s="18"/>
    </row>
    <row r="111" spans="2:7">
      <c r="B111" s="62"/>
      <c r="C111" s="62"/>
      <c r="D111" s="20"/>
      <c r="E111" s="5"/>
      <c r="F111" s="18"/>
      <c r="G111" s="18"/>
    </row>
    <row r="112" spans="2:7">
      <c r="B112" s="62"/>
      <c r="C112" s="62"/>
      <c r="D112" s="20"/>
      <c r="E112" s="5"/>
      <c r="F112" s="18"/>
      <c r="G112" s="18"/>
    </row>
    <row r="113" spans="2:8">
      <c r="B113" s="62"/>
      <c r="C113" s="62"/>
      <c r="D113" s="20"/>
      <c r="E113" s="5"/>
      <c r="F113" s="18"/>
      <c r="G113" s="18"/>
    </row>
    <row r="114" spans="2:8">
      <c r="B114" s="62"/>
      <c r="C114" s="62"/>
      <c r="D114" s="20"/>
      <c r="E114" s="5"/>
      <c r="F114" s="18"/>
      <c r="G114" s="18"/>
    </row>
    <row r="115" spans="2:8">
      <c r="B115" s="62"/>
      <c r="C115" s="62"/>
      <c r="D115" s="20"/>
      <c r="E115" s="5"/>
      <c r="F115" s="18"/>
      <c r="G115" s="18"/>
    </row>
    <row r="116" spans="2:8">
      <c r="B116" s="62"/>
      <c r="C116" s="62"/>
      <c r="D116" s="20"/>
      <c r="E116" s="5"/>
      <c r="F116" s="18"/>
      <c r="G116" s="18"/>
    </row>
    <row r="117" spans="2:8">
      <c r="B117" s="62"/>
      <c r="C117" s="62"/>
      <c r="D117" s="20"/>
      <c r="E117" s="5"/>
      <c r="F117" s="18"/>
      <c r="G117" s="18"/>
    </row>
    <row r="118" spans="2:8">
      <c r="B118" s="62"/>
      <c r="C118" s="62"/>
      <c r="D118" s="20"/>
      <c r="E118" s="5"/>
      <c r="F118" s="18"/>
      <c r="G118" s="18"/>
    </row>
    <row r="119" spans="2:8">
      <c r="B119" s="62"/>
      <c r="C119" s="62"/>
      <c r="D119" s="20"/>
      <c r="E119" s="5"/>
      <c r="F119" s="18"/>
      <c r="G119" s="18"/>
    </row>
    <row r="120" spans="2:8">
      <c r="B120" s="62"/>
      <c r="C120" s="62"/>
      <c r="D120" s="20"/>
      <c r="E120" s="5"/>
      <c r="F120" s="18"/>
      <c r="G120" s="18"/>
    </row>
    <row r="121" spans="2:8">
      <c r="B121" s="62"/>
      <c r="C121" s="62"/>
      <c r="D121" s="20"/>
      <c r="E121" s="5"/>
      <c r="F121" s="18"/>
      <c r="G121" s="18"/>
    </row>
    <row r="122" spans="2:8">
      <c r="B122" s="62"/>
      <c r="C122" s="62"/>
      <c r="D122" s="20"/>
      <c r="E122" s="5"/>
      <c r="F122" s="18"/>
      <c r="G122" s="18"/>
    </row>
    <row r="123" spans="2:8">
      <c r="B123" s="62"/>
      <c r="C123" s="62"/>
      <c r="D123" s="20"/>
      <c r="E123" s="5"/>
      <c r="F123" s="18"/>
      <c r="G123" s="18"/>
      <c r="H123" s="67"/>
    </row>
    <row r="124" spans="2:8">
      <c r="B124" s="62"/>
      <c r="C124" s="62"/>
      <c r="D124" s="20"/>
      <c r="E124" s="5"/>
      <c r="F124" s="18"/>
      <c r="G124" s="18"/>
    </row>
    <row r="125" spans="2:8">
      <c r="B125" s="62"/>
      <c r="C125" s="62"/>
      <c r="D125" s="20"/>
      <c r="E125" s="5"/>
      <c r="F125" s="66"/>
      <c r="G125" s="66"/>
    </row>
    <row r="126" spans="2:8">
      <c r="B126" s="62"/>
      <c r="C126" s="62"/>
      <c r="D126" s="4"/>
      <c r="E126" s="5"/>
      <c r="F126" s="18"/>
      <c r="G126" s="18"/>
    </row>
    <row r="127" spans="2:8">
      <c r="B127" s="62"/>
      <c r="C127" s="62"/>
      <c r="D127" s="20"/>
      <c r="E127" s="5"/>
      <c r="F127" s="18"/>
      <c r="G127" s="18"/>
    </row>
    <row r="128" spans="2:8">
      <c r="B128" s="62"/>
      <c r="C128" s="62"/>
      <c r="D128" s="20"/>
      <c r="E128" s="5"/>
      <c r="F128" s="18"/>
      <c r="G128" s="18"/>
    </row>
    <row r="129" spans="2:9">
      <c r="B129" s="62"/>
      <c r="C129" s="62"/>
      <c r="D129" s="20"/>
      <c r="E129" s="5"/>
      <c r="F129" s="18"/>
      <c r="G129" s="18"/>
    </row>
    <row r="130" spans="2:9">
      <c r="B130" s="62"/>
      <c r="C130" s="62"/>
      <c r="D130" s="20"/>
      <c r="E130" s="5"/>
      <c r="F130" s="18"/>
      <c r="G130" s="18"/>
    </row>
    <row r="131" spans="2:9">
      <c r="B131" s="62"/>
      <c r="C131" s="62"/>
      <c r="D131" s="20"/>
      <c r="E131" s="5"/>
      <c r="F131" s="18"/>
      <c r="G131" s="18"/>
    </row>
    <row r="132" spans="2:9">
      <c r="B132" s="62"/>
      <c r="C132" s="62"/>
      <c r="D132" s="20"/>
      <c r="E132" s="5"/>
      <c r="F132" s="18"/>
      <c r="G132" s="18"/>
    </row>
    <row r="133" spans="2:9">
      <c r="B133" s="62"/>
      <c r="C133" s="62"/>
      <c r="D133" s="20"/>
      <c r="E133" s="5"/>
      <c r="F133" s="18"/>
      <c r="G133" s="18"/>
    </row>
    <row r="134" spans="2:9">
      <c r="B134" s="62"/>
      <c r="C134" s="62"/>
      <c r="D134" s="20"/>
      <c r="E134" s="5"/>
      <c r="F134" s="18"/>
      <c r="G134" s="18"/>
    </row>
    <row r="135" spans="2:9">
      <c r="B135" s="62"/>
      <c r="C135" s="62"/>
      <c r="D135" s="20"/>
      <c r="E135" s="5"/>
      <c r="F135" s="18"/>
      <c r="G135" s="18"/>
      <c r="I135" s="70"/>
    </row>
    <row r="136" spans="2:9">
      <c r="B136" s="62"/>
      <c r="C136" s="62"/>
      <c r="D136" s="20"/>
      <c r="E136" s="5"/>
      <c r="F136" s="18"/>
      <c r="G136" s="18"/>
    </row>
    <row r="137" spans="2:9">
      <c r="B137" s="62"/>
      <c r="C137" s="62"/>
      <c r="D137" s="20"/>
      <c r="E137" s="5"/>
      <c r="F137" s="18"/>
      <c r="G137" s="18"/>
      <c r="I137" s="70"/>
    </row>
    <row r="138" spans="2:9">
      <c r="B138" s="62"/>
      <c r="C138" s="62"/>
      <c r="D138" s="4"/>
      <c r="E138" s="5"/>
      <c r="F138" s="18"/>
      <c r="G138" s="18"/>
    </row>
    <row r="139" spans="2:9">
      <c r="B139" s="62"/>
      <c r="C139" s="62"/>
      <c r="D139" s="20"/>
      <c r="E139" s="5"/>
      <c r="F139" s="18"/>
      <c r="G139" s="18"/>
    </row>
    <row r="140" spans="2:9">
      <c r="B140" s="62"/>
      <c r="C140" s="62"/>
      <c r="D140" s="20"/>
      <c r="E140" s="5"/>
      <c r="F140" s="18"/>
      <c r="G140" s="18"/>
    </row>
    <row r="141" spans="2:9">
      <c r="B141" s="62"/>
      <c r="C141" s="62"/>
      <c r="D141" s="20"/>
      <c r="E141" s="5"/>
      <c r="F141" s="18"/>
      <c r="G141" s="18"/>
    </row>
    <row r="142" spans="2:9">
      <c r="B142" s="62"/>
      <c r="C142" s="62"/>
      <c r="D142" s="20"/>
      <c r="E142" s="5"/>
      <c r="F142" s="18"/>
      <c r="G142" s="18"/>
    </row>
    <row r="143" spans="2:9">
      <c r="B143" s="62"/>
      <c r="C143" s="62"/>
      <c r="D143" s="20"/>
      <c r="E143" s="5"/>
      <c r="F143" s="18"/>
      <c r="G143" s="18"/>
    </row>
    <row r="144" spans="2:9">
      <c r="B144" s="62"/>
      <c r="C144" s="62"/>
      <c r="D144" s="20"/>
      <c r="E144" s="5"/>
      <c r="F144" s="18"/>
      <c r="G144" s="18"/>
    </row>
    <row r="145" spans="2:9">
      <c r="B145" s="62"/>
      <c r="C145" s="62"/>
      <c r="D145" s="20"/>
      <c r="E145" s="5"/>
      <c r="F145" s="18"/>
      <c r="G145" s="18"/>
    </row>
    <row r="146" spans="2:9">
      <c r="B146" s="62"/>
      <c r="C146" s="62"/>
      <c r="D146" s="20"/>
      <c r="E146" s="5"/>
      <c r="F146" s="18"/>
      <c r="G146" s="18"/>
    </row>
    <row r="147" spans="2:9">
      <c r="B147" s="62"/>
      <c r="C147" s="62"/>
      <c r="D147" s="20"/>
      <c r="E147" s="5"/>
      <c r="F147" s="18"/>
      <c r="G147" s="18"/>
    </row>
    <row r="148" spans="2:9">
      <c r="B148" s="62"/>
      <c r="C148" s="62"/>
      <c r="D148" s="20"/>
      <c r="E148" s="5"/>
      <c r="F148" s="18"/>
      <c r="G148" s="18"/>
    </row>
    <row r="149" spans="2:9">
      <c r="B149" s="62"/>
      <c r="C149" s="62"/>
      <c r="D149" s="20"/>
      <c r="E149" s="5"/>
      <c r="F149" s="18"/>
      <c r="G149" s="18"/>
    </row>
    <row r="150" spans="2:9">
      <c r="B150" s="62"/>
      <c r="C150" s="62"/>
      <c r="D150" s="20"/>
      <c r="E150" s="5"/>
      <c r="F150" s="18"/>
      <c r="G150" s="18"/>
    </row>
    <row r="151" spans="2:9">
      <c r="B151" s="62"/>
      <c r="C151" s="62"/>
      <c r="D151" s="20"/>
      <c r="E151" s="5"/>
      <c r="F151" s="18"/>
      <c r="G151" s="18"/>
    </row>
    <row r="152" spans="2:9">
      <c r="B152" s="62"/>
      <c r="C152" s="62"/>
      <c r="D152" s="20"/>
      <c r="E152" s="5"/>
      <c r="F152" s="18"/>
      <c r="G152" s="18"/>
    </row>
    <row r="153" spans="2:9">
      <c r="B153" s="62"/>
      <c r="C153" s="62"/>
      <c r="D153" s="20"/>
      <c r="E153" s="5"/>
      <c r="F153" s="18"/>
      <c r="G153" s="18"/>
    </row>
    <row r="154" spans="2:9">
      <c r="B154" s="62"/>
      <c r="C154" s="62"/>
      <c r="D154" s="20"/>
      <c r="E154" s="5"/>
      <c r="F154" s="18"/>
      <c r="G154" s="18"/>
    </row>
    <row r="155" spans="2:9">
      <c r="B155" s="62"/>
      <c r="C155" s="62"/>
      <c r="D155" s="20"/>
      <c r="E155" s="5"/>
      <c r="F155" s="18"/>
      <c r="G155" s="66"/>
      <c r="I155" s="70"/>
    </row>
    <row r="156" spans="2:9">
      <c r="B156" s="62"/>
      <c r="C156" s="62"/>
      <c r="D156" s="20"/>
      <c r="E156" s="5"/>
      <c r="F156" s="18"/>
      <c r="G156" s="66"/>
    </row>
    <row r="157" spans="2:9">
      <c r="B157" s="62"/>
      <c r="C157" s="62"/>
      <c r="D157" s="20"/>
      <c r="E157" s="5"/>
      <c r="F157" s="18"/>
      <c r="G157" s="66"/>
    </row>
    <row r="158" spans="2:9">
      <c r="B158" s="62"/>
      <c r="C158" s="62"/>
      <c r="D158" s="20"/>
      <c r="E158" s="5"/>
      <c r="F158" s="18"/>
      <c r="G158" s="66"/>
    </row>
    <row r="159" spans="2:9">
      <c r="B159" s="62"/>
      <c r="C159" s="62"/>
      <c r="D159" s="20"/>
      <c r="E159" s="5"/>
      <c r="F159" s="18"/>
      <c r="G159" s="66"/>
    </row>
    <row r="160" spans="2:9">
      <c r="B160" s="62"/>
      <c r="C160" s="62"/>
      <c r="D160" s="20"/>
      <c r="E160" s="5"/>
      <c r="F160" s="18"/>
      <c r="G160" s="66"/>
    </row>
    <row r="161" spans="2:7">
      <c r="B161" s="62"/>
      <c r="C161" s="62"/>
      <c r="D161" s="20"/>
      <c r="E161" s="5"/>
      <c r="F161" s="18"/>
      <c r="G161" s="18"/>
    </row>
    <row r="162" spans="2:7">
      <c r="B162" s="62"/>
      <c r="C162" s="62"/>
      <c r="D162" s="20"/>
      <c r="E162" s="5"/>
      <c r="F162" s="18"/>
      <c r="G162" s="18"/>
    </row>
    <row r="163" spans="2:7">
      <c r="B163" s="62"/>
      <c r="C163" s="62"/>
      <c r="D163" s="4"/>
      <c r="E163" s="5"/>
      <c r="F163" s="18"/>
      <c r="G163" s="18"/>
    </row>
    <row r="164" spans="2:7">
      <c r="B164" s="62"/>
      <c r="C164" s="62"/>
      <c r="D164" s="20"/>
      <c r="E164" s="5"/>
      <c r="F164" s="18"/>
      <c r="G164" s="18"/>
    </row>
    <row r="165" spans="2:7">
      <c r="B165" s="62"/>
      <c r="C165" s="62"/>
      <c r="D165" s="20"/>
      <c r="E165" s="5"/>
      <c r="F165" s="18"/>
      <c r="G165" s="18"/>
    </row>
    <row r="166" spans="2:7">
      <c r="B166" s="62"/>
      <c r="C166" s="62"/>
      <c r="D166" s="20"/>
      <c r="E166" s="5"/>
      <c r="F166" s="18"/>
      <c r="G166" s="18"/>
    </row>
    <row r="167" spans="2:7">
      <c r="B167" s="62"/>
      <c r="C167" s="62"/>
      <c r="D167" s="20"/>
      <c r="E167" s="5"/>
      <c r="F167" s="18"/>
      <c r="G167" s="18"/>
    </row>
    <row r="168" spans="2:7">
      <c r="B168" s="62"/>
      <c r="C168" s="62"/>
      <c r="D168" s="20"/>
      <c r="E168" s="5"/>
      <c r="F168" s="18"/>
      <c r="G168" s="18"/>
    </row>
    <row r="169" spans="2:7">
      <c r="B169" s="62"/>
      <c r="C169" s="62"/>
      <c r="D169" s="20"/>
      <c r="E169" s="5"/>
      <c r="F169" s="18"/>
      <c r="G169" s="18"/>
    </row>
    <row r="170" spans="2:7">
      <c r="B170" s="62"/>
      <c r="C170" s="62"/>
      <c r="D170" s="20"/>
      <c r="E170" s="5"/>
      <c r="F170" s="18"/>
      <c r="G170" s="18"/>
    </row>
    <row r="171" spans="2:7">
      <c r="B171" s="62"/>
      <c r="C171" s="62"/>
      <c r="D171" s="20"/>
      <c r="E171" s="5"/>
      <c r="F171" s="18"/>
      <c r="G171" s="18"/>
    </row>
    <row r="172" spans="2:7">
      <c r="B172" s="62"/>
      <c r="C172" s="62"/>
      <c r="D172" s="20"/>
      <c r="E172" s="5"/>
      <c r="F172" s="18"/>
      <c r="G172" s="18"/>
    </row>
    <row r="173" spans="2:7">
      <c r="B173" s="62"/>
      <c r="C173" s="62"/>
      <c r="D173" s="20"/>
      <c r="E173" s="5"/>
      <c r="F173" s="18"/>
      <c r="G173" s="18"/>
    </row>
    <row r="174" spans="2:7">
      <c r="B174" s="62"/>
      <c r="C174" s="62"/>
      <c r="D174" s="20"/>
      <c r="E174" s="5"/>
      <c r="F174" s="18"/>
      <c r="G174" s="18"/>
    </row>
    <row r="175" spans="2:7">
      <c r="B175" s="62"/>
      <c r="C175" s="62"/>
      <c r="D175" s="4"/>
      <c r="E175" s="5"/>
      <c r="F175" s="18"/>
      <c r="G175" s="18"/>
    </row>
    <row r="176" spans="2:7">
      <c r="B176" s="62"/>
      <c r="C176" s="62"/>
      <c r="D176" s="20"/>
      <c r="E176" s="5"/>
      <c r="F176" s="18"/>
      <c r="G176" s="18"/>
    </row>
    <row r="177" spans="2:7">
      <c r="B177" s="62"/>
      <c r="C177" s="62"/>
      <c r="D177" s="20"/>
      <c r="E177" s="5"/>
      <c r="F177" s="18"/>
      <c r="G177" s="18"/>
    </row>
    <row r="178" spans="2:7">
      <c r="B178" s="62"/>
      <c r="C178" s="62"/>
      <c r="D178" s="20"/>
      <c r="E178" s="5"/>
      <c r="F178" s="18"/>
      <c r="G178" s="18"/>
    </row>
    <row r="179" spans="2:7">
      <c r="B179" s="62"/>
      <c r="C179" s="62"/>
      <c r="D179" s="20"/>
      <c r="E179" s="5"/>
      <c r="F179" s="18"/>
      <c r="G179" s="18"/>
    </row>
    <row r="180" spans="2:7">
      <c r="B180" s="62"/>
      <c r="C180" s="62"/>
      <c r="D180" s="20"/>
      <c r="E180" s="5"/>
      <c r="F180" s="18"/>
      <c r="G180" s="18"/>
    </row>
    <row r="181" spans="2:7">
      <c r="B181" s="62"/>
      <c r="C181" s="62"/>
      <c r="D181" s="20"/>
      <c r="E181" s="5"/>
      <c r="F181" s="18"/>
      <c r="G181" s="18"/>
    </row>
    <row r="182" spans="2:7">
      <c r="B182" s="62"/>
      <c r="C182" s="62"/>
      <c r="D182" s="20"/>
      <c r="E182" s="5"/>
      <c r="F182" s="18"/>
      <c r="G182" s="18"/>
    </row>
    <row r="183" spans="2:7">
      <c r="B183" s="62"/>
      <c r="C183" s="62"/>
      <c r="D183" s="20"/>
      <c r="E183" s="5"/>
      <c r="F183" s="18"/>
      <c r="G183" s="18"/>
    </row>
    <row r="184" spans="2:7">
      <c r="B184" s="62"/>
      <c r="C184" s="62"/>
      <c r="D184" s="20"/>
      <c r="E184" s="5"/>
      <c r="F184" s="18"/>
      <c r="G184" s="18"/>
    </row>
    <row r="185" spans="2:7">
      <c r="B185" s="62"/>
      <c r="C185" s="62"/>
      <c r="D185" s="20"/>
      <c r="E185" s="5"/>
      <c r="F185" s="18"/>
      <c r="G185" s="18"/>
    </row>
    <row r="186" spans="2:7">
      <c r="B186" s="62"/>
      <c r="C186" s="62"/>
      <c r="D186" s="20"/>
      <c r="E186" s="30"/>
      <c r="F186" s="18"/>
      <c r="G186" s="18"/>
    </row>
    <row r="187" spans="2:7">
      <c r="B187" s="62"/>
      <c r="C187" s="62"/>
      <c r="D187" s="20"/>
      <c r="E187" s="30"/>
      <c r="F187" s="18"/>
      <c r="G187" s="18"/>
    </row>
    <row r="188" spans="2:7">
      <c r="B188" s="62"/>
      <c r="C188" s="62"/>
      <c r="D188" s="20"/>
      <c r="E188" s="74"/>
      <c r="F188" s="18"/>
      <c r="G188" s="18"/>
    </row>
    <row r="189" spans="2:7">
      <c r="B189" s="62"/>
      <c r="C189" s="62"/>
      <c r="D189" s="20"/>
      <c r="E189" s="5"/>
      <c r="F189" s="18"/>
      <c r="G189" s="18"/>
    </row>
    <row r="190" spans="2:7">
      <c r="B190" s="62"/>
      <c r="C190" s="62"/>
      <c r="D190" s="20"/>
      <c r="E190" s="5"/>
      <c r="F190" s="18"/>
      <c r="G190" s="18"/>
    </row>
    <row r="191" spans="2:7">
      <c r="B191" s="62"/>
      <c r="C191" s="62"/>
      <c r="D191" s="20"/>
      <c r="E191" s="5"/>
      <c r="F191" s="18"/>
      <c r="G191" s="18"/>
    </row>
    <row r="192" spans="2:7">
      <c r="B192" s="62"/>
      <c r="C192" s="62"/>
      <c r="D192" s="20"/>
      <c r="E192" s="5"/>
      <c r="F192" s="18"/>
      <c r="G192" s="18"/>
    </row>
    <row r="193" spans="2:7">
      <c r="B193" s="62"/>
      <c r="C193" s="62"/>
      <c r="D193" s="20"/>
      <c r="E193" s="74"/>
      <c r="F193" s="18"/>
      <c r="G193" s="18"/>
    </row>
    <row r="194" spans="2:7">
      <c r="B194" s="62"/>
      <c r="C194" s="62"/>
      <c r="D194" s="20"/>
      <c r="E194" s="5"/>
      <c r="F194" s="18"/>
      <c r="G194" s="18"/>
    </row>
    <row r="195" spans="2:7">
      <c r="B195" s="62"/>
      <c r="C195" s="62"/>
      <c r="D195" s="20"/>
      <c r="E195" s="5"/>
      <c r="F195" s="18"/>
      <c r="G195" s="18"/>
    </row>
    <row r="196" spans="2:7">
      <c r="B196" s="62"/>
      <c r="C196" s="62"/>
      <c r="D196" s="20"/>
      <c r="E196" s="5"/>
      <c r="F196" s="18"/>
      <c r="G196" s="18"/>
    </row>
    <row r="197" spans="2:7">
      <c r="B197" s="62"/>
      <c r="C197" s="62"/>
      <c r="D197" s="20"/>
      <c r="E197" s="5"/>
      <c r="F197" s="18"/>
      <c r="G197" s="18"/>
    </row>
    <row r="198" spans="2:7">
      <c r="B198" s="62"/>
      <c r="C198" s="62"/>
      <c r="D198" s="20"/>
      <c r="E198" s="5"/>
      <c r="F198" s="18"/>
      <c r="G198" s="18"/>
    </row>
    <row r="199" spans="2:7">
      <c r="B199" s="62"/>
      <c r="C199" s="62"/>
      <c r="D199" s="20"/>
      <c r="E199" s="5"/>
      <c r="F199" s="18"/>
      <c r="G199" s="18"/>
    </row>
    <row r="200" spans="2:7">
      <c r="B200" s="62"/>
      <c r="C200" s="62"/>
      <c r="D200" s="20"/>
      <c r="E200" s="5"/>
      <c r="F200" s="18"/>
      <c r="G200" s="18"/>
    </row>
    <row r="201" spans="2:7">
      <c r="B201" s="62"/>
      <c r="C201" s="62"/>
      <c r="D201" s="20"/>
      <c r="E201" s="5"/>
      <c r="F201" s="18"/>
      <c r="G201" s="18"/>
    </row>
    <row r="202" spans="2:7">
      <c r="B202" s="62"/>
      <c r="C202" s="62"/>
      <c r="D202" s="20"/>
      <c r="E202" s="5"/>
      <c r="F202" s="18"/>
      <c r="G202" s="18"/>
    </row>
    <row r="203" spans="2:7">
      <c r="B203" s="62"/>
      <c r="C203" s="62"/>
      <c r="D203" s="20"/>
      <c r="E203" s="5"/>
      <c r="F203" s="18"/>
      <c r="G203" s="18"/>
    </row>
    <row r="204" spans="2:7">
      <c r="B204" s="62"/>
      <c r="C204" s="62"/>
      <c r="D204" s="20"/>
      <c r="E204" s="5"/>
      <c r="F204" s="18"/>
      <c r="G204" s="18"/>
    </row>
    <row r="205" spans="2:7">
      <c r="B205" s="62"/>
      <c r="C205" s="62"/>
      <c r="D205" s="20"/>
      <c r="E205" s="5"/>
      <c r="F205" s="18"/>
      <c r="G205" s="18"/>
    </row>
    <row r="206" spans="2:7">
      <c r="B206" s="62"/>
      <c r="C206" s="62"/>
      <c r="D206" s="20"/>
      <c r="E206" s="5"/>
      <c r="F206" s="18"/>
      <c r="G206" s="18"/>
    </row>
    <row r="207" spans="2:7">
      <c r="B207" s="62"/>
      <c r="C207" s="62"/>
      <c r="D207" s="20"/>
      <c r="E207" s="5"/>
      <c r="F207" s="18"/>
      <c r="G207" s="18"/>
    </row>
    <row r="208" spans="2:7">
      <c r="B208" s="62"/>
      <c r="C208" s="62"/>
      <c r="D208" s="20"/>
      <c r="E208" s="5"/>
      <c r="F208" s="18"/>
      <c r="G208" s="18"/>
    </row>
    <row r="209" spans="2:7">
      <c r="B209" s="62"/>
      <c r="C209" s="62"/>
      <c r="D209" s="20"/>
      <c r="E209" s="5"/>
      <c r="F209" s="18"/>
      <c r="G209" s="18"/>
    </row>
    <row r="210" spans="2:7">
      <c r="B210" s="62"/>
      <c r="C210" s="62"/>
      <c r="D210" s="20"/>
      <c r="E210" s="5"/>
      <c r="F210" s="18"/>
      <c r="G210" s="18"/>
    </row>
    <row r="211" spans="2:7">
      <c r="B211" s="62"/>
      <c r="C211" s="62"/>
      <c r="D211" s="20"/>
      <c r="E211" s="5"/>
      <c r="F211" s="18"/>
      <c r="G211" s="18"/>
    </row>
    <row r="212" spans="2:7">
      <c r="B212" s="62"/>
      <c r="C212" s="62"/>
      <c r="D212" s="20"/>
      <c r="E212" s="5"/>
      <c r="F212" s="18"/>
      <c r="G212" s="18"/>
    </row>
    <row r="213" spans="2:7">
      <c r="B213" s="62"/>
      <c r="C213" s="62"/>
      <c r="D213" s="20"/>
      <c r="E213" s="5"/>
      <c r="F213" s="18"/>
      <c r="G213" s="18"/>
    </row>
    <row r="214" spans="2:7">
      <c r="B214" s="62"/>
      <c r="C214" s="62"/>
      <c r="D214" s="20"/>
      <c r="E214" s="5"/>
      <c r="F214" s="18"/>
      <c r="G214" s="18"/>
    </row>
    <row r="215" spans="2:7">
      <c r="B215" s="62"/>
      <c r="C215" s="62"/>
      <c r="D215" s="20"/>
      <c r="E215" s="5"/>
      <c r="F215" s="18"/>
      <c r="G215" s="18"/>
    </row>
    <row r="216" spans="2:7">
      <c r="B216" s="62"/>
      <c r="C216" s="62"/>
      <c r="D216" s="20"/>
      <c r="E216" s="5"/>
      <c r="F216" s="18"/>
      <c r="G216" s="18"/>
    </row>
    <row r="217" spans="2:7">
      <c r="B217" s="62"/>
      <c r="C217" s="62"/>
      <c r="D217" s="20"/>
      <c r="E217" s="5"/>
      <c r="F217" s="18"/>
      <c r="G217" s="18"/>
    </row>
    <row r="218" spans="2:7">
      <c r="B218" s="62"/>
      <c r="C218" s="62"/>
      <c r="D218" s="20"/>
      <c r="E218" s="5"/>
      <c r="F218" s="18"/>
      <c r="G218" s="18"/>
    </row>
    <row r="219" spans="2:7">
      <c r="B219" s="62"/>
      <c r="C219" s="62"/>
      <c r="D219" s="20"/>
      <c r="E219" s="5"/>
      <c r="F219" s="18"/>
      <c r="G219" s="18"/>
    </row>
    <row r="220" spans="2:7">
      <c r="B220" s="62"/>
      <c r="C220" s="62"/>
      <c r="D220" s="20"/>
      <c r="E220" s="5"/>
      <c r="F220" s="18"/>
      <c r="G220" s="18"/>
    </row>
    <row r="221" spans="2:7">
      <c r="B221" s="62"/>
      <c r="C221" s="62"/>
      <c r="D221" s="20"/>
      <c r="E221" s="5"/>
      <c r="F221" s="18"/>
      <c r="G221" s="18"/>
    </row>
    <row r="222" spans="2:7">
      <c r="B222" s="62"/>
      <c r="C222" s="62"/>
      <c r="D222" s="20"/>
      <c r="E222" s="5"/>
      <c r="F222" s="18"/>
      <c r="G222" s="18"/>
    </row>
    <row r="223" spans="2:7">
      <c r="B223" s="62"/>
      <c r="C223" s="62"/>
      <c r="D223" s="20"/>
      <c r="E223" s="5"/>
      <c r="F223" s="18"/>
      <c r="G223" s="18"/>
    </row>
    <row r="224" spans="2:7">
      <c r="B224" s="62"/>
      <c r="C224" s="62"/>
      <c r="D224" s="20"/>
      <c r="E224" s="5"/>
      <c r="F224" s="18"/>
      <c r="G224" s="18"/>
    </row>
    <row r="225" spans="2:9">
      <c r="B225" s="62"/>
      <c r="C225" s="62"/>
      <c r="D225" s="20"/>
      <c r="E225" s="5"/>
      <c r="F225" s="18"/>
      <c r="G225" s="18"/>
    </row>
    <row r="226" spans="2:9">
      <c r="B226" s="62"/>
      <c r="C226" s="62"/>
      <c r="D226" s="20"/>
      <c r="E226" s="5"/>
      <c r="F226" s="18"/>
      <c r="G226" s="18"/>
    </row>
    <row r="227" spans="2:9">
      <c r="B227" s="62"/>
      <c r="C227" s="62"/>
      <c r="D227" s="20"/>
      <c r="E227" s="5"/>
      <c r="F227" s="18"/>
      <c r="G227" s="18"/>
    </row>
    <row r="228" spans="2:9">
      <c r="B228" s="62"/>
      <c r="C228" s="62"/>
      <c r="D228" s="20"/>
      <c r="E228" s="5"/>
      <c r="F228" s="18"/>
      <c r="G228" s="18"/>
    </row>
    <row r="229" spans="2:9">
      <c r="B229" s="62"/>
      <c r="C229" s="62"/>
      <c r="D229" s="20"/>
      <c r="E229" s="5"/>
      <c r="F229" s="18"/>
      <c r="G229" s="18"/>
    </row>
    <row r="230" spans="2:9">
      <c r="B230" s="62"/>
      <c r="C230" s="62"/>
      <c r="D230" s="20"/>
      <c r="E230" s="74"/>
      <c r="F230" s="75"/>
      <c r="G230" s="18"/>
      <c r="H230" s="69"/>
      <c r="I230" s="76"/>
    </row>
    <row r="231" spans="2:9">
      <c r="B231" s="62"/>
      <c r="C231" s="62"/>
      <c r="D231" s="20"/>
      <c r="E231" s="5"/>
      <c r="F231" s="18"/>
      <c r="G231" s="18"/>
    </row>
    <row r="232" spans="2:9">
      <c r="B232" s="62"/>
      <c r="C232" s="62"/>
      <c r="D232" s="20"/>
      <c r="E232" s="5"/>
      <c r="F232" s="18"/>
      <c r="G232" s="18"/>
    </row>
    <row r="233" spans="2:9">
      <c r="B233" s="62"/>
      <c r="C233" s="62"/>
      <c r="D233" s="20"/>
      <c r="E233" s="5"/>
      <c r="F233" s="18"/>
      <c r="G233" s="18"/>
    </row>
    <row r="234" spans="2:9">
      <c r="B234" s="62"/>
      <c r="C234" s="62"/>
      <c r="D234" s="20"/>
      <c r="E234" s="5"/>
      <c r="F234" s="18"/>
      <c r="G234" s="18"/>
    </row>
    <row r="235" spans="2:9">
      <c r="B235" s="62"/>
      <c r="C235" s="62"/>
      <c r="D235" s="20"/>
      <c r="E235" s="5"/>
      <c r="F235" s="18"/>
      <c r="G235" s="18"/>
    </row>
    <row r="236" spans="2:9">
      <c r="B236" s="62"/>
      <c r="C236" s="62"/>
      <c r="D236" s="20"/>
      <c r="E236" s="5"/>
      <c r="F236" s="18"/>
      <c r="G236" s="18"/>
    </row>
    <row r="237" spans="2:9">
      <c r="B237" s="62"/>
      <c r="C237" s="62"/>
      <c r="D237" s="20"/>
      <c r="E237" s="5"/>
      <c r="F237" s="18"/>
      <c r="G237" s="18"/>
    </row>
    <row r="238" spans="2:9">
      <c r="B238" s="62"/>
      <c r="C238" s="62"/>
      <c r="D238" s="20"/>
      <c r="E238" s="5"/>
      <c r="F238" s="18"/>
      <c r="G238" s="18"/>
    </row>
    <row r="239" spans="2:9">
      <c r="B239" s="62"/>
      <c r="C239" s="62"/>
      <c r="D239" s="20"/>
      <c r="E239" s="5"/>
      <c r="F239" s="18"/>
      <c r="G239" s="18"/>
    </row>
    <row r="240" spans="2:9">
      <c r="B240" s="62"/>
      <c r="C240" s="62"/>
      <c r="D240" s="20"/>
      <c r="E240" s="5"/>
      <c r="F240" s="18"/>
      <c r="G240" s="18"/>
    </row>
    <row r="241" spans="2:7">
      <c r="B241" s="62"/>
      <c r="C241" s="62"/>
      <c r="D241" s="20"/>
      <c r="E241" s="5"/>
      <c r="F241" s="18"/>
      <c r="G241" s="18"/>
    </row>
    <row r="242" spans="2:7">
      <c r="B242" s="62"/>
      <c r="C242" s="62"/>
      <c r="D242" s="20"/>
      <c r="E242" s="5"/>
      <c r="F242" s="18"/>
      <c r="G242" s="18"/>
    </row>
    <row r="243" spans="2:7">
      <c r="B243" s="62"/>
      <c r="C243" s="62"/>
      <c r="D243" s="20"/>
      <c r="E243" s="5"/>
      <c r="F243" s="18"/>
      <c r="G243" s="18"/>
    </row>
    <row r="244" spans="2:7">
      <c r="B244" s="62"/>
      <c r="C244" s="62"/>
      <c r="D244" s="20"/>
      <c r="E244" s="5"/>
      <c r="F244" s="18"/>
      <c r="G244" s="18"/>
    </row>
    <row r="245" spans="2:7">
      <c r="B245" s="62"/>
      <c r="C245" s="62"/>
      <c r="D245" s="20"/>
      <c r="E245" s="5"/>
      <c r="F245" s="18"/>
      <c r="G245" s="18"/>
    </row>
    <row r="246" spans="2:7">
      <c r="B246" s="62"/>
      <c r="C246" s="62"/>
      <c r="D246" s="20"/>
      <c r="E246" s="5"/>
      <c r="F246" s="18"/>
      <c r="G246" s="18"/>
    </row>
    <row r="247" spans="2:7">
      <c r="B247" s="62"/>
      <c r="C247" s="62"/>
      <c r="D247" s="20"/>
      <c r="E247" s="5"/>
      <c r="F247" s="18"/>
      <c r="G247" s="18"/>
    </row>
    <row r="248" spans="2:7">
      <c r="B248" s="62"/>
      <c r="C248" s="62"/>
      <c r="D248" s="20"/>
      <c r="E248" s="5"/>
      <c r="F248" s="18"/>
      <c r="G248" s="18"/>
    </row>
    <row r="249" spans="2:7">
      <c r="B249" s="62"/>
      <c r="C249" s="62"/>
      <c r="D249" s="20"/>
      <c r="E249" s="5"/>
      <c r="F249" s="18"/>
      <c r="G249" s="18"/>
    </row>
    <row r="250" spans="2:7">
      <c r="B250" s="62"/>
      <c r="C250" s="62"/>
      <c r="D250" s="20"/>
      <c r="E250" s="5"/>
      <c r="F250" s="18"/>
      <c r="G250" s="18"/>
    </row>
    <row r="251" spans="2:7">
      <c r="B251" s="62"/>
      <c r="C251" s="62"/>
      <c r="D251" s="20"/>
      <c r="E251" s="5"/>
      <c r="F251" s="18"/>
      <c r="G251" s="18"/>
    </row>
    <row r="252" spans="2:7">
      <c r="B252" s="62"/>
      <c r="C252" s="62"/>
      <c r="D252" s="20"/>
      <c r="E252" s="5"/>
      <c r="F252" s="18"/>
      <c r="G252" s="18"/>
    </row>
    <row r="253" spans="2:7">
      <c r="B253" s="62"/>
      <c r="C253" s="62"/>
      <c r="D253" s="20"/>
      <c r="E253" s="5"/>
      <c r="F253" s="18"/>
      <c r="G253" s="18"/>
    </row>
    <row r="254" spans="2:7">
      <c r="B254" s="62"/>
      <c r="C254" s="62"/>
      <c r="D254" s="20"/>
      <c r="E254" s="5"/>
      <c r="F254" s="18"/>
      <c r="G254" s="18"/>
    </row>
    <row r="255" spans="2:7">
      <c r="B255" s="62"/>
      <c r="C255" s="62"/>
      <c r="D255" s="20"/>
      <c r="E255" s="5"/>
      <c r="F255" s="18"/>
      <c r="G255" s="18"/>
    </row>
    <row r="256" spans="2:7">
      <c r="B256" s="62"/>
      <c r="C256" s="62"/>
      <c r="D256" s="20"/>
      <c r="E256" s="5"/>
      <c r="F256" s="18"/>
      <c r="G256" s="18"/>
    </row>
    <row r="257" spans="2:7">
      <c r="B257" s="62"/>
      <c r="C257" s="62"/>
      <c r="D257" s="20"/>
      <c r="E257" s="5"/>
      <c r="F257" s="18"/>
      <c r="G257" s="18"/>
    </row>
    <row r="258" spans="2:7">
      <c r="B258" s="62"/>
      <c r="C258" s="62"/>
      <c r="D258" s="20"/>
      <c r="E258" s="5"/>
      <c r="F258" s="18"/>
      <c r="G258" s="18"/>
    </row>
    <row r="259" spans="2:7">
      <c r="B259" s="62"/>
      <c r="C259" s="62"/>
      <c r="D259" s="20"/>
      <c r="E259" s="5"/>
      <c r="F259" s="18"/>
      <c r="G259" s="18"/>
    </row>
    <row r="260" spans="2:7">
      <c r="B260" s="62"/>
      <c r="C260" s="62"/>
      <c r="D260" s="20"/>
      <c r="E260" s="5"/>
      <c r="F260" s="18"/>
      <c r="G260" s="18"/>
    </row>
    <row r="261" spans="2:7">
      <c r="B261" s="62"/>
      <c r="C261" s="62"/>
      <c r="D261" s="20"/>
      <c r="E261" s="5"/>
      <c r="F261" s="18"/>
      <c r="G261" s="18"/>
    </row>
    <row r="262" spans="2:7">
      <c r="B262" s="62"/>
      <c r="C262" s="62"/>
      <c r="D262" s="20"/>
      <c r="E262" s="5"/>
      <c r="F262" s="18"/>
      <c r="G262" s="18"/>
    </row>
    <row r="263" spans="2:7">
      <c r="B263" s="62"/>
      <c r="C263" s="62"/>
      <c r="D263" s="20"/>
      <c r="E263" s="5"/>
      <c r="F263" s="18"/>
      <c r="G263" s="18"/>
    </row>
    <row r="264" spans="2:7">
      <c r="B264" s="62"/>
      <c r="C264" s="62"/>
      <c r="D264" s="20"/>
      <c r="E264" s="5"/>
      <c r="F264" s="18"/>
      <c r="G264" s="18"/>
    </row>
    <row r="265" spans="2:7">
      <c r="B265" s="62"/>
      <c r="C265" s="62"/>
      <c r="D265" s="20"/>
      <c r="E265" s="5"/>
      <c r="F265" s="18"/>
      <c r="G265" s="18"/>
    </row>
    <row r="266" spans="2:7">
      <c r="B266" s="62"/>
      <c r="C266" s="62"/>
      <c r="D266" s="20"/>
      <c r="E266" s="5"/>
      <c r="F266" s="18"/>
      <c r="G266" s="18"/>
    </row>
    <row r="267" spans="2:7">
      <c r="B267" s="62"/>
      <c r="C267" s="62"/>
      <c r="D267" s="20"/>
      <c r="E267" s="5"/>
      <c r="F267" s="18"/>
      <c r="G267" s="18"/>
    </row>
    <row r="268" spans="2:7">
      <c r="B268" s="62"/>
      <c r="C268" s="62"/>
      <c r="D268" s="20"/>
      <c r="E268" s="5"/>
      <c r="F268" s="18"/>
      <c r="G268" s="18"/>
    </row>
    <row r="269" spans="2:7">
      <c r="B269" s="62"/>
      <c r="C269" s="62"/>
      <c r="D269" s="20"/>
      <c r="E269" s="5"/>
      <c r="F269" s="18"/>
      <c r="G269" s="18"/>
    </row>
    <row r="270" spans="2:7">
      <c r="B270" s="62"/>
      <c r="C270" s="62"/>
      <c r="D270" s="20"/>
      <c r="E270" s="5"/>
      <c r="F270" s="18"/>
      <c r="G270" s="18"/>
    </row>
    <row r="271" spans="2:7">
      <c r="B271" s="62"/>
      <c r="C271" s="62"/>
      <c r="D271" s="20"/>
      <c r="E271" s="5"/>
      <c r="F271" s="18"/>
      <c r="G271" s="18"/>
    </row>
    <row r="272" spans="2:7">
      <c r="B272" s="62"/>
      <c r="C272" s="62"/>
      <c r="D272" s="20"/>
      <c r="E272" s="5"/>
      <c r="F272" s="18"/>
      <c r="G272" s="18"/>
    </row>
    <row r="273" spans="2:7">
      <c r="B273" s="62"/>
      <c r="C273" s="62"/>
      <c r="D273" s="20"/>
      <c r="E273" s="5"/>
      <c r="F273" s="18"/>
      <c r="G273" s="18"/>
    </row>
    <row r="274" spans="2:7">
      <c r="B274" s="62"/>
      <c r="C274" s="62"/>
      <c r="D274" s="20"/>
      <c r="E274" s="5"/>
      <c r="F274" s="18"/>
      <c r="G274" s="18"/>
    </row>
    <row r="275" spans="2:7">
      <c r="B275" s="62"/>
      <c r="C275" s="62"/>
      <c r="D275" s="20"/>
      <c r="E275" s="5"/>
      <c r="F275" s="18"/>
      <c r="G275" s="18"/>
    </row>
    <row r="276" spans="2:7">
      <c r="B276" s="62"/>
      <c r="C276" s="62"/>
      <c r="D276" s="20"/>
      <c r="E276" s="5"/>
      <c r="F276" s="18"/>
      <c r="G276" s="18"/>
    </row>
    <row r="277" spans="2:7">
      <c r="B277" s="62"/>
      <c r="C277" s="62"/>
      <c r="D277" s="20"/>
      <c r="E277" s="5"/>
      <c r="F277" s="18"/>
      <c r="G277" s="18"/>
    </row>
    <row r="278" spans="2:7">
      <c r="B278" s="62"/>
      <c r="C278" s="62"/>
      <c r="D278" s="20"/>
      <c r="E278" s="5"/>
      <c r="F278" s="18"/>
      <c r="G278" s="18"/>
    </row>
    <row r="279" spans="2:7">
      <c r="B279" s="62"/>
      <c r="C279" s="62"/>
      <c r="D279" s="20"/>
      <c r="E279" s="5"/>
      <c r="F279" s="18"/>
      <c r="G279" s="18"/>
    </row>
    <row r="280" spans="2:7">
      <c r="B280" s="62"/>
      <c r="C280" s="62"/>
      <c r="D280" s="20"/>
      <c r="E280" s="5"/>
      <c r="F280" s="18"/>
      <c r="G280" s="18"/>
    </row>
    <row r="281" spans="2:7">
      <c r="B281" s="62"/>
      <c r="C281" s="62"/>
      <c r="D281" s="20"/>
      <c r="E281" s="5"/>
      <c r="F281" s="18"/>
      <c r="G281" s="18"/>
    </row>
    <row r="282" spans="2:7">
      <c r="B282" s="62"/>
      <c r="C282" s="62"/>
      <c r="D282" s="20"/>
      <c r="E282" s="5"/>
      <c r="F282" s="18"/>
      <c r="G282" s="18"/>
    </row>
    <row r="283" spans="2:7">
      <c r="B283" s="62"/>
      <c r="C283" s="62"/>
      <c r="D283" s="20"/>
      <c r="E283" s="5"/>
      <c r="F283" s="18"/>
      <c r="G283" s="18"/>
    </row>
    <row r="284" spans="2:7">
      <c r="B284" s="62"/>
      <c r="C284" s="62"/>
      <c r="D284" s="20"/>
      <c r="E284" s="5"/>
      <c r="F284" s="18"/>
      <c r="G284" s="18"/>
    </row>
    <row r="285" spans="2:7">
      <c r="B285" s="62"/>
      <c r="C285" s="62"/>
      <c r="D285" s="20"/>
      <c r="E285" s="5"/>
      <c r="F285" s="18"/>
      <c r="G285" s="18"/>
    </row>
    <row r="286" spans="2:7">
      <c r="B286" s="62"/>
      <c r="C286" s="62"/>
      <c r="D286" s="20"/>
      <c r="E286" s="5"/>
      <c r="F286" s="18"/>
      <c r="G286" s="18"/>
    </row>
    <row r="287" spans="2:7">
      <c r="B287" s="62"/>
      <c r="C287" s="62"/>
      <c r="D287" s="20"/>
      <c r="E287" s="5"/>
      <c r="F287" s="18"/>
      <c r="G287" s="18"/>
    </row>
    <row r="288" spans="2:7">
      <c r="B288" s="62"/>
      <c r="C288" s="62"/>
      <c r="D288" s="20"/>
      <c r="E288" s="5"/>
      <c r="F288" s="18"/>
      <c r="G288" s="18"/>
    </row>
    <row r="289" spans="2:7">
      <c r="B289" s="62"/>
      <c r="C289" s="62"/>
      <c r="D289" s="20"/>
      <c r="E289" s="5"/>
      <c r="F289" s="18"/>
      <c r="G289" s="18"/>
    </row>
    <row r="290" spans="2:7">
      <c r="B290" s="62"/>
      <c r="C290" s="62"/>
      <c r="D290" s="20"/>
      <c r="E290" s="5"/>
      <c r="F290" s="18"/>
      <c r="G290" s="18"/>
    </row>
    <row r="291" spans="2:7">
      <c r="B291" s="62"/>
      <c r="C291" s="62"/>
      <c r="D291" s="20"/>
      <c r="E291" s="5"/>
      <c r="F291" s="18"/>
      <c r="G291" s="18"/>
    </row>
    <row r="292" spans="2:7">
      <c r="B292" s="62"/>
      <c r="C292" s="62"/>
      <c r="D292" s="20"/>
      <c r="E292" s="5"/>
      <c r="F292" s="18"/>
      <c r="G292" s="18"/>
    </row>
    <row r="293" spans="2:7">
      <c r="B293" s="62"/>
      <c r="C293" s="62"/>
      <c r="D293" s="20"/>
      <c r="E293" s="5"/>
      <c r="F293" s="18"/>
      <c r="G293" s="18"/>
    </row>
    <row r="294" spans="2:7">
      <c r="B294" s="62"/>
      <c r="C294" s="62"/>
      <c r="D294" s="20"/>
      <c r="E294" s="5"/>
      <c r="F294" s="18"/>
      <c r="G294" s="18"/>
    </row>
    <row r="295" spans="2:7">
      <c r="B295" s="62"/>
      <c r="C295" s="62"/>
      <c r="D295" s="20"/>
      <c r="E295" s="5"/>
      <c r="F295" s="18"/>
      <c r="G295" s="18"/>
    </row>
    <row r="296" spans="2:7">
      <c r="B296" s="62"/>
      <c r="C296" s="62"/>
      <c r="D296" s="20"/>
      <c r="E296" s="5"/>
      <c r="F296" s="18"/>
      <c r="G296" s="18"/>
    </row>
    <row r="297" spans="2:7">
      <c r="B297" s="62"/>
      <c r="C297" s="62"/>
      <c r="D297" s="20"/>
      <c r="E297" s="5"/>
      <c r="F297" s="18"/>
      <c r="G297" s="18"/>
    </row>
    <row r="298" spans="2:7">
      <c r="B298" s="62"/>
      <c r="C298" s="62"/>
      <c r="D298" s="20"/>
      <c r="E298" s="5"/>
      <c r="F298" s="18"/>
      <c r="G298" s="18"/>
    </row>
    <row r="299" spans="2:7">
      <c r="B299" s="62"/>
      <c r="C299" s="62"/>
      <c r="D299" s="20"/>
      <c r="E299" s="5"/>
      <c r="F299" s="18"/>
      <c r="G299" s="18"/>
    </row>
    <row r="300" spans="2:7">
      <c r="B300" s="62"/>
      <c r="C300" s="62"/>
      <c r="D300" s="20"/>
      <c r="E300" s="5"/>
      <c r="F300" s="18"/>
      <c r="G300" s="18"/>
    </row>
    <row r="301" spans="2:7">
      <c r="B301" s="62"/>
      <c r="C301" s="62"/>
      <c r="D301" s="20"/>
      <c r="E301" s="5"/>
      <c r="F301" s="18"/>
      <c r="G301" s="18"/>
    </row>
    <row r="302" spans="2:7">
      <c r="B302" s="62"/>
      <c r="C302" s="62"/>
      <c r="D302" s="20"/>
      <c r="E302" s="5"/>
      <c r="F302" s="18"/>
      <c r="G302" s="18"/>
    </row>
    <row r="303" spans="2:7">
      <c r="B303" s="62"/>
      <c r="C303" s="62"/>
      <c r="D303" s="20"/>
      <c r="E303" s="5"/>
      <c r="F303" s="18"/>
      <c r="G303" s="18"/>
    </row>
    <row r="304" spans="2:7">
      <c r="B304" s="62"/>
      <c r="C304" s="62"/>
      <c r="D304" s="20"/>
      <c r="E304" s="5"/>
      <c r="F304" s="18"/>
      <c r="G304" s="18"/>
    </row>
    <row r="305" spans="2:7">
      <c r="B305" s="62"/>
      <c r="C305" s="62"/>
      <c r="D305" s="20"/>
      <c r="E305" s="5"/>
      <c r="F305" s="18"/>
      <c r="G305" s="18"/>
    </row>
    <row r="306" spans="2:7">
      <c r="B306" s="62"/>
      <c r="C306" s="62"/>
      <c r="D306" s="20"/>
      <c r="E306" s="5"/>
      <c r="F306" s="18"/>
      <c r="G306" s="18"/>
    </row>
    <row r="307" spans="2:7">
      <c r="B307" s="62"/>
      <c r="C307" s="62"/>
      <c r="D307" s="20"/>
      <c r="E307" s="77"/>
      <c r="F307" s="18"/>
      <c r="G307" s="18"/>
    </row>
    <row r="308" spans="2:7">
      <c r="B308" s="62"/>
      <c r="C308" s="62"/>
      <c r="D308" s="20"/>
      <c r="E308" s="77"/>
      <c r="F308" s="18"/>
      <c r="G308" s="18"/>
    </row>
    <row r="309" spans="2:7">
      <c r="B309" s="62"/>
      <c r="C309" s="62"/>
      <c r="D309" s="20"/>
      <c r="E309" s="5"/>
      <c r="F309" s="18"/>
      <c r="G309" s="18"/>
    </row>
    <row r="310" spans="2:7">
      <c r="B310" s="62"/>
      <c r="C310" s="62"/>
      <c r="D310" s="20"/>
      <c r="E310" s="5"/>
      <c r="F310" s="18"/>
      <c r="G310" s="18"/>
    </row>
    <row r="311" spans="2:7">
      <c r="B311" s="62"/>
      <c r="C311" s="62"/>
      <c r="D311" s="20"/>
      <c r="E311" s="5"/>
      <c r="F311" s="18"/>
      <c r="G311" s="18"/>
    </row>
    <row r="312" spans="2:7">
      <c r="B312" s="62"/>
      <c r="C312" s="62"/>
      <c r="D312" s="20"/>
      <c r="E312" s="5"/>
      <c r="F312" s="18"/>
      <c r="G312" s="18"/>
    </row>
    <row r="313" spans="2:7">
      <c r="B313" s="62"/>
      <c r="C313" s="62"/>
      <c r="D313" s="20"/>
      <c r="E313" s="5"/>
      <c r="F313" s="18"/>
      <c r="G313" s="18"/>
    </row>
    <row r="314" spans="2:7">
      <c r="B314" s="62"/>
      <c r="C314" s="62"/>
      <c r="D314" s="20"/>
      <c r="E314" s="5"/>
      <c r="F314" s="18"/>
      <c r="G314" s="18"/>
    </row>
    <row r="315" spans="2:7">
      <c r="B315" s="62"/>
      <c r="C315" s="62"/>
      <c r="D315" s="20"/>
      <c r="E315" s="5"/>
      <c r="F315" s="18"/>
      <c r="G315" s="18"/>
    </row>
    <row r="316" spans="2:7">
      <c r="B316" s="62"/>
      <c r="C316" s="62"/>
      <c r="D316" s="20"/>
      <c r="E316" s="5"/>
      <c r="F316" s="18"/>
      <c r="G316" s="18"/>
    </row>
    <row r="317" spans="2:7">
      <c r="B317" s="62"/>
      <c r="C317" s="62"/>
      <c r="D317" s="20"/>
      <c r="E317" s="5"/>
      <c r="F317" s="18"/>
      <c r="G317" s="18"/>
    </row>
    <row r="318" spans="2:7">
      <c r="B318" s="62"/>
      <c r="C318" s="62"/>
      <c r="D318" s="20"/>
      <c r="E318" s="5"/>
      <c r="F318" s="18"/>
      <c r="G318" s="18"/>
    </row>
    <row r="319" spans="2:7">
      <c r="B319" s="62"/>
      <c r="C319" s="62"/>
      <c r="D319" s="20"/>
      <c r="E319" s="5"/>
      <c r="F319" s="18"/>
      <c r="G319" s="18"/>
    </row>
    <row r="320" spans="2:7">
      <c r="B320" s="62"/>
      <c r="C320" s="62"/>
      <c r="D320" s="20"/>
      <c r="E320" s="5"/>
      <c r="F320" s="18"/>
      <c r="G320" s="18"/>
    </row>
    <row r="321" spans="2:7">
      <c r="B321" s="62"/>
      <c r="C321" s="62"/>
      <c r="D321" s="20"/>
      <c r="E321" s="5"/>
      <c r="F321" s="18"/>
      <c r="G321" s="18"/>
    </row>
    <row r="322" spans="2:7">
      <c r="B322" s="62"/>
      <c r="C322" s="62"/>
      <c r="D322" s="20"/>
      <c r="E322" s="5"/>
      <c r="F322" s="18"/>
      <c r="G322" s="18"/>
    </row>
    <row r="323" spans="2:7">
      <c r="B323" s="62"/>
      <c r="C323" s="62"/>
      <c r="D323" s="20"/>
      <c r="E323" s="5"/>
      <c r="F323" s="18"/>
      <c r="G323" s="18"/>
    </row>
    <row r="324" spans="2:7">
      <c r="B324" s="62"/>
      <c r="C324" s="62"/>
      <c r="D324" s="20"/>
      <c r="E324" s="5"/>
      <c r="F324" s="18"/>
      <c r="G324" s="18"/>
    </row>
    <row r="325" spans="2:7">
      <c r="B325" s="62"/>
      <c r="C325" s="62"/>
      <c r="D325" s="20"/>
      <c r="E325" s="5"/>
      <c r="F325" s="18"/>
      <c r="G325" s="18"/>
    </row>
    <row r="326" spans="2:7">
      <c r="B326" s="62"/>
      <c r="C326" s="62"/>
      <c r="D326" s="20"/>
      <c r="E326" s="77"/>
      <c r="F326" s="18"/>
      <c r="G326" s="18"/>
    </row>
    <row r="327" spans="2:7">
      <c r="B327" s="62"/>
      <c r="C327" s="62"/>
      <c r="D327" s="20"/>
      <c r="E327" s="5"/>
      <c r="F327" s="18"/>
      <c r="G327" s="18"/>
    </row>
    <row r="328" spans="2:7">
      <c r="B328" s="62"/>
      <c r="C328" s="62"/>
      <c r="D328" s="20"/>
      <c r="E328" s="5"/>
      <c r="F328" s="18"/>
      <c r="G328" s="18"/>
    </row>
    <row r="329" spans="2:7">
      <c r="B329" s="62"/>
      <c r="C329" s="62"/>
      <c r="D329" s="20"/>
      <c r="E329" s="5"/>
      <c r="F329" s="18"/>
      <c r="G329" s="18"/>
    </row>
    <row r="330" spans="2:7">
      <c r="B330" s="62"/>
      <c r="C330" s="62"/>
      <c r="D330" s="20"/>
      <c r="E330" s="5"/>
      <c r="F330" s="18"/>
      <c r="G330" s="18"/>
    </row>
    <row r="331" spans="2:7">
      <c r="B331" s="62"/>
      <c r="C331" s="62"/>
      <c r="D331" s="20"/>
      <c r="E331" s="5"/>
      <c r="F331" s="18"/>
      <c r="G331" s="18"/>
    </row>
    <row r="332" spans="2:7">
      <c r="B332" s="62"/>
      <c r="C332" s="62"/>
      <c r="D332" s="20"/>
      <c r="E332" s="5"/>
      <c r="F332" s="18"/>
      <c r="G332" s="18"/>
    </row>
    <row r="333" spans="2:7">
      <c r="B333" s="62"/>
      <c r="C333" s="62"/>
      <c r="D333" s="20"/>
      <c r="E333" s="5"/>
      <c r="F333" s="18"/>
      <c r="G333" s="18"/>
    </row>
    <row r="334" spans="2:7">
      <c r="B334" s="62"/>
      <c r="C334" s="62"/>
      <c r="D334" s="20"/>
      <c r="E334" s="5"/>
      <c r="F334" s="18"/>
      <c r="G334" s="18"/>
    </row>
    <row r="335" spans="2:7">
      <c r="B335" s="62"/>
      <c r="C335" s="62"/>
      <c r="D335" s="20"/>
      <c r="E335" s="5"/>
      <c r="F335" s="18"/>
      <c r="G335" s="18"/>
    </row>
    <row r="336" spans="2:7">
      <c r="B336" s="62"/>
      <c r="C336" s="62"/>
      <c r="D336" s="20"/>
      <c r="E336" s="5"/>
      <c r="F336" s="18"/>
      <c r="G336" s="18"/>
    </row>
    <row r="337" spans="2:7">
      <c r="B337" s="62"/>
      <c r="C337" s="62"/>
      <c r="D337" s="20"/>
      <c r="E337" s="5"/>
      <c r="F337" s="18"/>
      <c r="G337" s="18"/>
    </row>
    <row r="338" spans="2:7">
      <c r="B338" s="62"/>
      <c r="C338" s="62"/>
      <c r="D338" s="20"/>
      <c r="E338" s="5"/>
      <c r="F338" s="18"/>
      <c r="G338" s="18"/>
    </row>
    <row r="339" spans="2:7">
      <c r="B339" s="62"/>
      <c r="C339" s="62"/>
      <c r="D339" s="20"/>
      <c r="E339" s="5"/>
      <c r="F339" s="18"/>
      <c r="G339" s="18"/>
    </row>
    <row r="340" spans="2:7">
      <c r="B340" s="62"/>
      <c r="C340" s="62"/>
      <c r="D340" s="20"/>
      <c r="E340" s="5"/>
      <c r="F340" s="18"/>
      <c r="G340" s="18"/>
    </row>
    <row r="341" spans="2:7">
      <c r="B341" s="62"/>
      <c r="C341" s="62"/>
      <c r="D341" s="20"/>
      <c r="E341" s="5"/>
      <c r="F341" s="18"/>
      <c r="G341" s="18"/>
    </row>
    <row r="342" spans="2:7">
      <c r="B342" s="62"/>
      <c r="C342" s="62"/>
      <c r="D342" s="20"/>
      <c r="E342" s="5"/>
      <c r="F342" s="18"/>
      <c r="G342" s="18"/>
    </row>
    <row r="343" spans="2:7">
      <c r="B343" s="62"/>
      <c r="C343" s="62"/>
      <c r="D343" s="20"/>
      <c r="E343" s="5"/>
      <c r="F343" s="18"/>
      <c r="G343" s="18"/>
    </row>
    <row r="344" spans="2:7">
      <c r="B344" s="62"/>
      <c r="C344" s="62"/>
      <c r="D344" s="20"/>
      <c r="E344" s="5"/>
      <c r="F344" s="18"/>
      <c r="G344" s="18"/>
    </row>
    <row r="345" spans="2:7">
      <c r="B345" s="62"/>
      <c r="C345" s="62"/>
      <c r="D345" s="20"/>
      <c r="E345" s="5"/>
      <c r="F345" s="18"/>
      <c r="G345" s="18"/>
    </row>
    <row r="346" spans="2:7">
      <c r="B346" s="62"/>
      <c r="C346" s="62"/>
      <c r="D346" s="20"/>
      <c r="E346" s="5"/>
      <c r="F346" s="18"/>
      <c r="G346" s="18"/>
    </row>
    <row r="347" spans="2:7">
      <c r="B347" s="62"/>
      <c r="C347" s="62"/>
      <c r="D347" s="20"/>
      <c r="E347" s="5"/>
      <c r="F347" s="18"/>
      <c r="G347" s="18"/>
    </row>
    <row r="348" spans="2:7">
      <c r="B348" s="62"/>
      <c r="C348" s="62"/>
      <c r="D348" s="20"/>
      <c r="E348" s="5"/>
      <c r="F348" s="18"/>
      <c r="G348" s="18"/>
    </row>
    <row r="349" spans="2:7">
      <c r="B349" s="62"/>
      <c r="C349" s="62"/>
      <c r="D349" s="20"/>
      <c r="E349" s="5"/>
      <c r="F349" s="18"/>
      <c r="G349" s="18"/>
    </row>
    <row r="350" spans="2:7">
      <c r="B350" s="62"/>
      <c r="C350" s="62"/>
      <c r="D350" s="20"/>
      <c r="E350" s="5"/>
      <c r="F350" s="18"/>
      <c r="G350" s="18"/>
    </row>
    <row r="351" spans="2:7">
      <c r="B351" s="62"/>
      <c r="C351" s="62"/>
      <c r="D351" s="20"/>
      <c r="E351" s="5"/>
      <c r="F351" s="18"/>
      <c r="G351" s="18"/>
    </row>
    <row r="352" spans="2:7">
      <c r="B352" s="62"/>
      <c r="C352" s="62"/>
      <c r="D352" s="20"/>
      <c r="E352" s="5"/>
      <c r="F352" s="18"/>
      <c r="G352" s="18"/>
    </row>
    <row r="353" spans="2:7">
      <c r="B353" s="62"/>
      <c r="C353" s="62"/>
      <c r="D353" s="20"/>
      <c r="E353" s="5"/>
      <c r="F353" s="18"/>
      <c r="G353" s="18"/>
    </row>
    <row r="354" spans="2:7">
      <c r="B354" s="62"/>
      <c r="C354" s="62"/>
      <c r="D354" s="20"/>
      <c r="E354" s="5"/>
      <c r="F354" s="18"/>
      <c r="G354" s="18"/>
    </row>
    <row r="355" spans="2:7">
      <c r="B355" s="62"/>
      <c r="C355" s="62"/>
      <c r="D355" s="20"/>
      <c r="E355" s="5"/>
      <c r="F355" s="18"/>
      <c r="G355" s="18"/>
    </row>
    <row r="356" spans="2:7">
      <c r="B356" s="62"/>
      <c r="C356" s="62"/>
      <c r="D356" s="20"/>
      <c r="E356" s="5"/>
      <c r="F356" s="18"/>
      <c r="G356" s="18"/>
    </row>
    <row r="357" spans="2:7">
      <c r="B357" s="62"/>
      <c r="C357" s="62"/>
      <c r="D357" s="20"/>
      <c r="E357" s="5"/>
      <c r="F357" s="18"/>
      <c r="G357" s="18"/>
    </row>
    <row r="358" spans="2:7">
      <c r="B358" s="62"/>
      <c r="C358" s="62"/>
      <c r="D358" s="20"/>
      <c r="E358" s="5"/>
      <c r="F358" s="18"/>
      <c r="G358" s="18"/>
    </row>
    <row r="359" spans="2:7">
      <c r="B359" s="62"/>
      <c r="C359" s="62"/>
      <c r="D359" s="20"/>
      <c r="E359" s="5"/>
      <c r="F359" s="18"/>
      <c r="G359" s="18"/>
    </row>
    <row r="360" spans="2:7">
      <c r="B360" s="62"/>
      <c r="C360" s="62"/>
      <c r="D360" s="20"/>
      <c r="E360" s="5"/>
      <c r="F360" s="18"/>
      <c r="G360" s="18"/>
    </row>
    <row r="361" spans="2:7">
      <c r="B361" s="62"/>
      <c r="C361" s="62"/>
      <c r="D361" s="20"/>
      <c r="E361" s="5"/>
      <c r="F361" s="18"/>
      <c r="G361" s="18"/>
    </row>
    <row r="362" spans="2:7">
      <c r="B362" s="62"/>
      <c r="C362" s="62"/>
      <c r="D362" s="20"/>
      <c r="E362" s="5"/>
      <c r="F362" s="18"/>
      <c r="G362" s="18"/>
    </row>
    <row r="363" spans="2:7">
      <c r="B363" s="62"/>
      <c r="C363" s="62"/>
      <c r="D363" s="20"/>
      <c r="E363" s="5"/>
      <c r="F363" s="18"/>
      <c r="G363" s="18"/>
    </row>
    <row r="364" spans="2:7">
      <c r="B364" s="62"/>
      <c r="C364" s="62"/>
      <c r="D364" s="20"/>
      <c r="E364" s="5"/>
      <c r="F364" s="18"/>
      <c r="G364" s="18"/>
    </row>
    <row r="365" spans="2:7">
      <c r="B365" s="62"/>
      <c r="C365" s="62"/>
      <c r="D365" s="20"/>
      <c r="E365" s="5"/>
      <c r="F365" s="18"/>
      <c r="G365" s="18"/>
    </row>
    <row r="366" spans="2:7">
      <c r="B366" s="62"/>
      <c r="C366" s="62"/>
      <c r="D366" s="20"/>
      <c r="E366" s="5"/>
      <c r="F366" s="18"/>
      <c r="G366" s="18"/>
    </row>
    <row r="367" spans="2:7">
      <c r="B367" s="62"/>
      <c r="C367" s="62"/>
      <c r="D367" s="20"/>
      <c r="E367" s="5"/>
      <c r="F367" s="18"/>
      <c r="G367" s="18"/>
    </row>
    <row r="368" spans="2:7">
      <c r="B368" s="62"/>
      <c r="C368" s="62"/>
      <c r="D368" s="20"/>
      <c r="E368" s="5"/>
      <c r="F368" s="18"/>
      <c r="G368" s="18"/>
    </row>
    <row r="369" spans="2:7">
      <c r="B369" s="62"/>
      <c r="C369" s="62"/>
      <c r="D369" s="20"/>
      <c r="E369" s="5"/>
      <c r="F369" s="18"/>
      <c r="G369" s="18"/>
    </row>
    <row r="370" spans="2:7">
      <c r="B370" s="62"/>
      <c r="C370" s="62"/>
      <c r="D370" s="20"/>
      <c r="E370" s="5"/>
      <c r="F370" s="18"/>
      <c r="G370" s="18"/>
    </row>
    <row r="371" spans="2:7">
      <c r="B371" s="62"/>
      <c r="C371" s="62"/>
      <c r="D371" s="20"/>
      <c r="E371" s="5"/>
      <c r="F371" s="18"/>
      <c r="G371" s="18"/>
    </row>
    <row r="372" spans="2:7">
      <c r="B372" s="62"/>
      <c r="C372" s="62"/>
      <c r="D372" s="20"/>
      <c r="E372" s="5"/>
      <c r="F372" s="18"/>
      <c r="G372" s="18"/>
    </row>
    <row r="373" spans="2:7">
      <c r="B373" s="62"/>
      <c r="C373" s="62"/>
      <c r="D373" s="20"/>
      <c r="E373" s="5"/>
      <c r="F373" s="18"/>
      <c r="G373" s="18"/>
    </row>
    <row r="374" spans="2:7">
      <c r="B374" s="62"/>
      <c r="C374" s="62"/>
      <c r="D374" s="20"/>
      <c r="E374" s="5"/>
      <c r="F374" s="18"/>
      <c r="G374" s="18"/>
    </row>
    <row r="375" spans="2:7">
      <c r="B375" s="62"/>
      <c r="C375" s="62"/>
      <c r="D375" s="20"/>
      <c r="E375" s="5"/>
      <c r="F375" s="18"/>
      <c r="G375" s="18"/>
    </row>
    <row r="376" spans="2:7">
      <c r="B376" s="62"/>
      <c r="C376" s="62"/>
      <c r="D376" s="20"/>
      <c r="E376" s="5"/>
      <c r="F376" s="18"/>
      <c r="G376" s="18"/>
    </row>
    <row r="377" spans="2:7">
      <c r="B377" s="62"/>
      <c r="C377" s="62"/>
      <c r="D377" s="20"/>
      <c r="E377" s="5"/>
      <c r="F377" s="18"/>
      <c r="G377" s="18"/>
    </row>
    <row r="378" spans="2:7">
      <c r="B378" s="62"/>
      <c r="C378" s="62"/>
      <c r="D378" s="20"/>
      <c r="E378" s="5"/>
      <c r="F378" s="18"/>
      <c r="G378" s="18"/>
    </row>
    <row r="379" spans="2:7">
      <c r="B379" s="62"/>
      <c r="C379" s="62"/>
      <c r="D379" s="20"/>
      <c r="E379" s="5"/>
      <c r="F379" s="18"/>
      <c r="G379" s="18"/>
    </row>
    <row r="380" spans="2:7">
      <c r="B380" s="62"/>
      <c r="C380" s="62"/>
      <c r="D380" s="20"/>
      <c r="E380" s="5"/>
      <c r="F380" s="18"/>
      <c r="G380" s="18"/>
    </row>
    <row r="381" spans="2:7">
      <c r="B381" s="62"/>
      <c r="C381" s="62"/>
      <c r="D381" s="20"/>
      <c r="E381" s="5"/>
      <c r="F381" s="18"/>
      <c r="G381" s="18"/>
    </row>
    <row r="382" spans="2:7">
      <c r="B382" s="62"/>
      <c r="C382" s="62"/>
      <c r="D382" s="20"/>
      <c r="E382" s="5"/>
      <c r="F382" s="18"/>
      <c r="G382" s="18"/>
    </row>
    <row r="383" spans="2:7">
      <c r="B383" s="62"/>
      <c r="C383" s="62"/>
      <c r="D383" s="20"/>
      <c r="E383" s="5"/>
      <c r="F383" s="18"/>
      <c r="G383" s="18"/>
    </row>
    <row r="384" spans="2:7">
      <c r="B384" s="62"/>
      <c r="C384" s="62"/>
      <c r="D384" s="20"/>
      <c r="E384" s="5"/>
      <c r="F384" s="18"/>
      <c r="G384" s="18"/>
    </row>
    <row r="385" spans="2:7">
      <c r="B385" s="62"/>
      <c r="C385" s="62"/>
      <c r="D385" s="20"/>
      <c r="E385" s="5"/>
      <c r="F385" s="18"/>
      <c r="G385" s="18"/>
    </row>
    <row r="386" spans="2:7">
      <c r="B386" s="62"/>
      <c r="C386" s="62"/>
      <c r="D386" s="20"/>
      <c r="E386" s="5"/>
      <c r="F386" s="18"/>
      <c r="G386" s="18"/>
    </row>
    <row r="387" spans="2:7">
      <c r="B387" s="62"/>
      <c r="C387" s="62"/>
      <c r="D387" s="20"/>
      <c r="E387" s="5"/>
      <c r="F387" s="18"/>
      <c r="G387" s="18"/>
    </row>
    <row r="388" spans="2:7">
      <c r="B388" s="62"/>
      <c r="C388" s="62"/>
      <c r="D388" s="20"/>
      <c r="E388" s="5"/>
      <c r="F388" s="18"/>
      <c r="G388" s="18"/>
    </row>
    <row r="389" spans="2:7">
      <c r="B389" s="62"/>
      <c r="C389" s="62"/>
      <c r="D389" s="20"/>
      <c r="E389" s="5"/>
      <c r="F389" s="18"/>
      <c r="G389" s="18"/>
    </row>
    <row r="390" spans="2:7">
      <c r="B390" s="62"/>
      <c r="C390" s="62"/>
      <c r="D390" s="20"/>
      <c r="E390" s="5"/>
      <c r="F390" s="18"/>
      <c r="G390" s="18"/>
    </row>
    <row r="391" spans="2:7">
      <c r="B391" s="62"/>
      <c r="C391" s="62"/>
      <c r="D391" s="20"/>
      <c r="E391" s="5"/>
      <c r="F391" s="18"/>
      <c r="G391" s="18"/>
    </row>
    <row r="392" spans="2:7">
      <c r="B392" s="62"/>
      <c r="C392" s="62"/>
      <c r="D392" s="20"/>
      <c r="E392" s="5"/>
      <c r="F392" s="18"/>
      <c r="G392" s="18"/>
    </row>
    <row r="393" spans="2:7">
      <c r="B393" s="62"/>
      <c r="C393" s="62"/>
      <c r="D393" s="20"/>
      <c r="E393" s="5"/>
      <c r="F393" s="18"/>
      <c r="G393" s="18"/>
    </row>
    <row r="394" spans="2:7">
      <c r="B394" s="62"/>
      <c r="C394" s="62"/>
      <c r="D394" s="20"/>
      <c r="E394" s="5"/>
      <c r="F394" s="18"/>
      <c r="G394" s="18"/>
    </row>
    <row r="395" spans="2:7">
      <c r="B395" s="62"/>
      <c r="C395" s="62"/>
      <c r="D395" s="20"/>
      <c r="E395" s="5"/>
      <c r="F395" s="18"/>
      <c r="G395" s="18"/>
    </row>
    <row r="396" spans="2:7">
      <c r="B396" s="62"/>
      <c r="C396" s="62"/>
      <c r="D396" s="20"/>
      <c r="E396" s="5"/>
      <c r="F396" s="18"/>
      <c r="G396" s="18"/>
    </row>
    <row r="397" spans="2:7">
      <c r="B397" s="62"/>
      <c r="C397" s="62"/>
      <c r="D397" s="20"/>
      <c r="E397" s="5"/>
      <c r="F397" s="18"/>
      <c r="G397" s="18"/>
    </row>
    <row r="398" spans="2:7">
      <c r="B398" s="62"/>
      <c r="C398" s="62"/>
      <c r="D398" s="20"/>
      <c r="E398" s="5"/>
      <c r="F398" s="18"/>
      <c r="G398" s="18"/>
    </row>
    <row r="399" spans="2:7">
      <c r="B399" s="62"/>
      <c r="C399" s="62"/>
      <c r="D399" s="20"/>
      <c r="E399" s="5"/>
      <c r="F399" s="18"/>
      <c r="G399" s="18"/>
    </row>
    <row r="400" spans="2:7">
      <c r="B400" s="62"/>
      <c r="C400" s="62"/>
      <c r="D400" s="20"/>
      <c r="E400" s="5"/>
      <c r="F400" s="18"/>
      <c r="G400" s="18"/>
    </row>
    <row r="401" spans="2:7">
      <c r="B401" s="62"/>
      <c r="C401" s="62"/>
      <c r="D401" s="20"/>
      <c r="E401" s="5"/>
      <c r="F401" s="18"/>
      <c r="G401" s="18"/>
    </row>
    <row r="402" spans="2:7">
      <c r="B402" s="62"/>
      <c r="C402" s="62"/>
      <c r="D402" s="20"/>
      <c r="E402" s="5"/>
      <c r="F402" s="18"/>
      <c r="G402" s="18"/>
    </row>
    <row r="403" spans="2:7">
      <c r="B403" s="62"/>
      <c r="C403" s="62"/>
      <c r="D403" s="20"/>
      <c r="E403" s="5"/>
      <c r="F403" s="18"/>
      <c r="G403" s="18"/>
    </row>
    <row r="404" spans="2:7">
      <c r="B404" s="62"/>
      <c r="C404" s="62"/>
      <c r="D404" s="20"/>
      <c r="E404" s="5"/>
      <c r="F404" s="18"/>
      <c r="G404" s="18"/>
    </row>
    <row r="405" spans="2:7">
      <c r="B405" s="62"/>
      <c r="C405" s="62"/>
      <c r="D405" s="20"/>
      <c r="E405" s="5"/>
      <c r="F405" s="18"/>
      <c r="G405" s="18"/>
    </row>
    <row r="406" spans="2:7">
      <c r="B406" s="62"/>
      <c r="C406" s="62"/>
      <c r="D406" s="20"/>
      <c r="E406" s="5"/>
      <c r="F406" s="18"/>
      <c r="G406" s="18"/>
    </row>
    <row r="407" spans="2:7">
      <c r="B407" s="62"/>
      <c r="C407" s="62"/>
      <c r="D407" s="20"/>
      <c r="E407" s="5"/>
      <c r="F407" s="18"/>
      <c r="G407" s="18"/>
    </row>
    <row r="408" spans="2:7">
      <c r="B408" s="62"/>
      <c r="C408" s="62"/>
      <c r="D408" s="20"/>
      <c r="E408" s="5"/>
      <c r="F408" s="18"/>
      <c r="G408" s="18"/>
    </row>
    <row r="409" spans="2:7">
      <c r="B409" s="62"/>
      <c r="C409" s="62"/>
      <c r="D409" s="20"/>
      <c r="E409" s="5"/>
      <c r="F409" s="18"/>
      <c r="G409" s="18"/>
    </row>
    <row r="410" spans="2:7">
      <c r="B410" s="62"/>
      <c r="C410" s="62"/>
      <c r="D410" s="20"/>
      <c r="E410" s="5"/>
      <c r="F410" s="18"/>
      <c r="G410" s="18"/>
    </row>
    <row r="411" spans="2:7">
      <c r="B411" s="62"/>
      <c r="C411" s="62"/>
      <c r="D411" s="20"/>
      <c r="E411" s="5"/>
      <c r="F411" s="18"/>
      <c r="G411" s="18"/>
    </row>
    <row r="412" spans="2:7">
      <c r="B412" s="62"/>
      <c r="C412" s="62"/>
      <c r="D412" s="20"/>
      <c r="E412" s="5"/>
      <c r="F412" s="18"/>
      <c r="G412" s="18"/>
    </row>
    <row r="413" spans="2:7">
      <c r="B413" s="62"/>
      <c r="C413" s="62"/>
      <c r="D413" s="20"/>
      <c r="E413" s="5"/>
      <c r="F413" s="18"/>
      <c r="G413" s="18"/>
    </row>
    <row r="414" spans="2:7">
      <c r="B414" s="62"/>
      <c r="C414" s="62"/>
      <c r="D414" s="20"/>
      <c r="E414" s="5"/>
      <c r="F414" s="18"/>
      <c r="G414" s="18"/>
    </row>
    <row r="415" spans="2:7">
      <c r="B415" s="62"/>
      <c r="C415" s="62"/>
      <c r="D415" s="20"/>
      <c r="E415" s="5"/>
      <c r="F415" s="18"/>
      <c r="G415" s="18"/>
    </row>
    <row r="416" spans="2:7">
      <c r="B416" s="62"/>
      <c r="C416" s="62"/>
      <c r="D416" s="20"/>
      <c r="E416" s="5"/>
      <c r="F416" s="18"/>
      <c r="G416" s="18"/>
    </row>
    <row r="417" spans="2:7">
      <c r="B417" s="62"/>
      <c r="C417" s="62"/>
      <c r="D417" s="20"/>
      <c r="E417" s="5"/>
      <c r="F417" s="18"/>
      <c r="G417" s="18"/>
    </row>
    <row r="418" spans="2:7">
      <c r="B418" s="62"/>
      <c r="C418" s="62"/>
      <c r="D418" s="20"/>
      <c r="E418" s="5"/>
      <c r="F418" s="18"/>
      <c r="G418" s="18"/>
    </row>
    <row r="419" spans="2:7">
      <c r="B419" s="62"/>
      <c r="C419" s="62"/>
      <c r="D419" s="20"/>
      <c r="E419" s="5"/>
      <c r="F419" s="18"/>
      <c r="G419" s="18"/>
    </row>
    <row r="420" spans="2:7">
      <c r="B420" s="62"/>
      <c r="C420" s="62"/>
      <c r="D420" s="20"/>
      <c r="E420" s="5"/>
      <c r="F420" s="18"/>
      <c r="G420" s="18"/>
    </row>
    <row r="421" spans="2:7">
      <c r="B421" s="62"/>
      <c r="C421" s="62"/>
      <c r="D421" s="20"/>
      <c r="E421" s="5"/>
      <c r="F421" s="18"/>
      <c r="G421" s="18"/>
    </row>
    <row r="422" spans="2:7">
      <c r="B422" s="62"/>
      <c r="C422" s="62"/>
      <c r="D422" s="20"/>
      <c r="E422" s="5"/>
      <c r="F422" s="18"/>
      <c r="G422" s="18"/>
    </row>
    <row r="423" spans="2:7">
      <c r="B423" s="62"/>
      <c r="C423" s="62"/>
      <c r="D423" s="20"/>
      <c r="E423" s="5"/>
      <c r="F423" s="18"/>
      <c r="G423" s="18"/>
    </row>
    <row r="424" spans="2:7">
      <c r="B424" s="62"/>
      <c r="C424" s="62"/>
      <c r="D424" s="20"/>
      <c r="E424" s="5"/>
      <c r="F424" s="18"/>
      <c r="G424" s="18"/>
    </row>
    <row r="425" spans="2:7">
      <c r="B425" s="62"/>
      <c r="C425" s="62"/>
      <c r="D425" s="20"/>
      <c r="E425" s="5"/>
      <c r="F425" s="18"/>
      <c r="G425" s="18"/>
    </row>
    <row r="426" spans="2:7">
      <c r="B426" s="62"/>
      <c r="C426" s="62"/>
      <c r="D426" s="20"/>
      <c r="E426" s="5"/>
      <c r="F426" s="18"/>
      <c r="G426" s="18"/>
    </row>
    <row r="427" spans="2:7">
      <c r="B427" s="62"/>
      <c r="C427" s="62"/>
      <c r="D427" s="20"/>
      <c r="E427" s="5"/>
      <c r="F427" s="18"/>
      <c r="G427" s="18"/>
    </row>
    <row r="428" spans="2:7">
      <c r="B428" s="62"/>
      <c r="C428" s="62"/>
      <c r="D428" s="20"/>
      <c r="E428" s="5"/>
      <c r="F428" s="18"/>
      <c r="G428" s="18"/>
    </row>
    <row r="429" spans="2:7">
      <c r="B429" s="62"/>
      <c r="C429" s="62"/>
      <c r="D429" s="20"/>
      <c r="E429" s="5"/>
      <c r="F429" s="18"/>
      <c r="G429" s="18"/>
    </row>
    <row r="430" spans="2:7">
      <c r="B430" s="62"/>
      <c r="C430" s="62"/>
      <c r="D430" s="20"/>
      <c r="E430" s="5"/>
      <c r="F430" s="18"/>
      <c r="G430" s="18"/>
    </row>
    <row r="431" spans="2:7">
      <c r="B431" s="62"/>
      <c r="C431" s="62"/>
      <c r="D431" s="20"/>
      <c r="E431" s="5"/>
      <c r="F431" s="18"/>
      <c r="G431" s="18"/>
    </row>
    <row r="432" spans="2:7">
      <c r="B432" s="62"/>
      <c r="C432" s="62"/>
      <c r="D432" s="20"/>
      <c r="E432" s="5"/>
      <c r="F432" s="18"/>
      <c r="G432" s="18"/>
    </row>
    <row r="433" spans="2:7">
      <c r="B433" s="62"/>
      <c r="C433" s="62"/>
      <c r="D433" s="20"/>
      <c r="E433" s="5"/>
      <c r="F433" s="18"/>
      <c r="G433" s="18"/>
    </row>
    <row r="434" spans="2:7">
      <c r="B434" s="62"/>
      <c r="C434" s="62"/>
      <c r="D434" s="20"/>
      <c r="E434" s="5"/>
      <c r="F434" s="18"/>
      <c r="G434" s="18"/>
    </row>
    <row r="435" spans="2:7">
      <c r="B435" s="62"/>
      <c r="C435" s="62"/>
      <c r="D435" s="20"/>
      <c r="E435" s="5"/>
      <c r="F435" s="18"/>
      <c r="G435" s="18"/>
    </row>
    <row r="436" spans="2:7">
      <c r="B436" s="62"/>
      <c r="C436" s="62"/>
      <c r="D436" s="20"/>
      <c r="E436" s="5"/>
      <c r="F436" s="18"/>
      <c r="G436" s="18"/>
    </row>
    <row r="437" spans="2:7">
      <c r="B437" s="62"/>
      <c r="C437" s="62"/>
      <c r="D437" s="20"/>
      <c r="E437" s="5"/>
      <c r="F437" s="18"/>
      <c r="G437" s="18"/>
    </row>
    <row r="438" spans="2:7">
      <c r="B438" s="62"/>
      <c r="C438" s="62"/>
      <c r="D438" s="20"/>
      <c r="E438" s="5"/>
      <c r="F438" s="18"/>
      <c r="G438" s="18"/>
    </row>
    <row r="439" spans="2:7">
      <c r="B439" s="62"/>
      <c r="C439" s="62"/>
      <c r="D439" s="20"/>
      <c r="E439" s="5"/>
      <c r="F439" s="18"/>
      <c r="G439" s="18"/>
    </row>
    <row r="440" spans="2:7">
      <c r="B440" s="62"/>
      <c r="C440" s="62"/>
      <c r="D440" s="20"/>
      <c r="E440" s="5"/>
      <c r="F440" s="18"/>
      <c r="G440" s="18"/>
    </row>
    <row r="441" spans="2:7">
      <c r="B441" s="62"/>
      <c r="C441" s="62"/>
      <c r="D441" s="20"/>
      <c r="E441" s="5"/>
      <c r="F441" s="18"/>
      <c r="G441" s="18"/>
    </row>
    <row r="442" spans="2:7">
      <c r="B442" s="62"/>
      <c r="C442" s="62"/>
      <c r="D442" s="20"/>
      <c r="E442" s="5"/>
      <c r="F442" s="18"/>
      <c r="G442" s="18"/>
    </row>
    <row r="443" spans="2:7">
      <c r="B443" s="62"/>
      <c r="C443" s="62"/>
      <c r="D443" s="20"/>
      <c r="E443" s="5"/>
      <c r="F443" s="18"/>
      <c r="G443" s="18"/>
    </row>
    <row r="444" spans="2:7">
      <c r="B444" s="62"/>
      <c r="C444" s="62"/>
      <c r="D444" s="20"/>
      <c r="E444" s="5"/>
      <c r="F444" s="18"/>
      <c r="G444" s="18"/>
    </row>
    <row r="445" spans="2:7">
      <c r="B445" s="62"/>
      <c r="C445" s="62"/>
      <c r="D445" s="20"/>
      <c r="E445" s="5"/>
      <c r="F445" s="18"/>
      <c r="G445" s="18"/>
    </row>
    <row r="446" spans="2:7">
      <c r="B446" s="62"/>
      <c r="C446" s="62"/>
      <c r="D446" s="20"/>
      <c r="E446" s="5"/>
      <c r="F446" s="18"/>
      <c r="G446" s="18"/>
    </row>
    <row r="447" spans="2:7">
      <c r="B447" s="62"/>
      <c r="C447" s="62"/>
      <c r="D447" s="20"/>
      <c r="E447" s="5"/>
      <c r="F447" s="18"/>
      <c r="G447" s="18"/>
    </row>
    <row r="448" spans="2:7">
      <c r="B448" s="62"/>
      <c r="C448" s="62"/>
      <c r="D448" s="20"/>
      <c r="E448" s="5"/>
      <c r="F448" s="18"/>
      <c r="G448" s="18"/>
    </row>
    <row r="449" spans="2:7">
      <c r="B449" s="62"/>
      <c r="C449" s="62"/>
      <c r="D449" s="20"/>
      <c r="E449" s="5"/>
      <c r="F449" s="18"/>
      <c r="G449" s="18"/>
    </row>
    <row r="450" spans="2:7">
      <c r="B450" s="62"/>
      <c r="C450" s="62"/>
      <c r="D450" s="20"/>
      <c r="E450" s="5"/>
      <c r="F450" s="18"/>
      <c r="G450" s="18"/>
    </row>
    <row r="451" spans="2:7">
      <c r="B451" s="62"/>
      <c r="C451" s="62"/>
      <c r="D451" s="20"/>
      <c r="E451" s="5"/>
      <c r="F451" s="18"/>
      <c r="G451" s="18"/>
    </row>
    <row r="452" spans="2:7">
      <c r="B452" s="62"/>
      <c r="C452" s="62"/>
      <c r="D452" s="20"/>
      <c r="E452" s="5"/>
      <c r="F452" s="18"/>
      <c r="G452" s="18"/>
    </row>
    <row r="453" spans="2:7">
      <c r="B453" s="62"/>
      <c r="C453" s="62"/>
      <c r="D453" s="20"/>
      <c r="E453" s="5"/>
      <c r="F453" s="18"/>
      <c r="G453" s="18"/>
    </row>
    <row r="454" spans="2:7">
      <c r="B454" s="62"/>
      <c r="C454" s="62"/>
      <c r="D454" s="20"/>
      <c r="E454" s="5"/>
      <c r="F454" s="18"/>
      <c r="G454" s="18"/>
    </row>
    <row r="455" spans="2:7">
      <c r="B455" s="62"/>
      <c r="C455" s="62"/>
      <c r="D455" s="20"/>
      <c r="E455" s="5"/>
      <c r="F455" s="18"/>
      <c r="G455" s="18"/>
    </row>
    <row r="456" spans="2:7">
      <c r="B456" s="62"/>
      <c r="C456" s="62"/>
      <c r="D456" s="20"/>
      <c r="E456" s="5"/>
      <c r="F456" s="18"/>
      <c r="G456" s="18"/>
    </row>
    <row r="457" spans="2:7">
      <c r="B457" s="62"/>
      <c r="C457" s="62"/>
      <c r="D457" s="20"/>
      <c r="E457" s="5"/>
      <c r="F457" s="18"/>
      <c r="G457" s="18"/>
    </row>
    <row r="458" spans="2:7">
      <c r="B458" s="62"/>
      <c r="C458" s="62"/>
      <c r="D458" s="20"/>
      <c r="E458" s="5"/>
      <c r="F458" s="18"/>
      <c r="G458" s="18"/>
    </row>
    <row r="459" spans="2:7">
      <c r="B459" s="62"/>
      <c r="C459" s="62"/>
      <c r="D459" s="20"/>
      <c r="E459" s="5"/>
      <c r="F459" s="18"/>
      <c r="G459" s="18"/>
    </row>
    <row r="460" spans="2:7">
      <c r="B460" s="62"/>
      <c r="C460" s="62"/>
      <c r="D460" s="20"/>
      <c r="E460" s="5"/>
      <c r="F460" s="18"/>
      <c r="G460" s="18"/>
    </row>
    <row r="461" spans="2:7">
      <c r="B461" s="62"/>
      <c r="C461" s="62"/>
      <c r="D461" s="20"/>
      <c r="E461" s="5"/>
      <c r="F461" s="18"/>
      <c r="G461" s="18"/>
    </row>
    <row r="462" spans="2:7">
      <c r="B462" s="62"/>
      <c r="C462" s="62"/>
      <c r="D462" s="20"/>
      <c r="E462" s="5"/>
      <c r="F462" s="18"/>
      <c r="G462" s="18"/>
    </row>
    <row r="463" spans="2:7">
      <c r="B463" s="62"/>
      <c r="C463" s="62"/>
      <c r="D463" s="20"/>
      <c r="E463" s="5"/>
      <c r="F463" s="18"/>
      <c r="G463" s="18"/>
    </row>
    <row r="464" spans="2:7">
      <c r="B464" s="62"/>
      <c r="C464" s="62"/>
      <c r="D464" s="20"/>
      <c r="E464" s="5"/>
      <c r="F464" s="18"/>
      <c r="G464" s="18"/>
    </row>
    <row r="465" spans="2:7">
      <c r="B465" s="62"/>
      <c r="C465" s="62"/>
      <c r="D465" s="20"/>
      <c r="E465" s="5"/>
      <c r="F465" s="18"/>
      <c r="G465" s="18"/>
    </row>
    <row r="466" spans="2:7">
      <c r="B466" s="62"/>
      <c r="C466" s="62"/>
      <c r="D466" s="20"/>
      <c r="E466" s="5"/>
      <c r="F466" s="18"/>
      <c r="G466" s="18"/>
    </row>
    <row r="467" spans="2:7">
      <c r="B467" s="62"/>
      <c r="C467" s="62"/>
      <c r="D467" s="20"/>
      <c r="E467" s="5"/>
      <c r="F467" s="18"/>
      <c r="G467" s="18"/>
    </row>
    <row r="468" spans="2:7">
      <c r="B468" s="62"/>
      <c r="C468" s="62"/>
      <c r="D468" s="20"/>
      <c r="E468" s="5"/>
      <c r="F468" s="18"/>
      <c r="G468" s="18"/>
    </row>
    <row r="469" spans="2:7">
      <c r="B469" s="62"/>
      <c r="C469" s="62"/>
      <c r="D469" s="20"/>
      <c r="E469" s="5"/>
      <c r="F469" s="18"/>
      <c r="G469" s="18"/>
    </row>
    <row r="470" spans="2:7">
      <c r="B470" s="62"/>
      <c r="C470" s="62"/>
      <c r="D470" s="20"/>
      <c r="E470" s="5"/>
      <c r="F470" s="18"/>
      <c r="G470" s="18"/>
    </row>
    <row r="471" spans="2:7">
      <c r="B471" s="62"/>
      <c r="C471" s="62"/>
      <c r="D471" s="20"/>
      <c r="E471" s="5"/>
      <c r="F471" s="18"/>
      <c r="G471" s="18"/>
    </row>
    <row r="472" spans="2:7">
      <c r="B472" s="62"/>
      <c r="C472" s="62"/>
      <c r="D472" s="20"/>
      <c r="E472" s="5"/>
      <c r="F472" s="18"/>
      <c r="G472" s="18"/>
    </row>
    <row r="473" spans="2:7">
      <c r="B473" s="62"/>
      <c r="C473" s="62"/>
      <c r="D473" s="20"/>
      <c r="E473" s="5"/>
      <c r="F473" s="18"/>
      <c r="G473" s="18"/>
    </row>
    <row r="474" spans="2:7">
      <c r="B474" s="62"/>
      <c r="C474" s="62"/>
      <c r="D474" s="20"/>
      <c r="E474" s="5"/>
      <c r="F474" s="18"/>
      <c r="G474" s="18"/>
    </row>
    <row r="475" spans="2:7">
      <c r="B475" s="62"/>
      <c r="C475" s="62"/>
      <c r="D475" s="20"/>
      <c r="E475" s="5"/>
      <c r="F475" s="18"/>
      <c r="G475" s="18"/>
    </row>
    <row r="476" spans="2:7">
      <c r="B476" s="62"/>
      <c r="C476" s="62"/>
      <c r="D476" s="20"/>
      <c r="E476" s="5"/>
      <c r="F476" s="18"/>
      <c r="G476" s="18"/>
    </row>
    <row r="477" spans="2:7">
      <c r="B477" s="62"/>
      <c r="C477" s="62"/>
      <c r="D477" s="20"/>
      <c r="E477" s="5"/>
      <c r="F477" s="18"/>
      <c r="G477" s="18"/>
    </row>
    <row r="478" spans="2:7">
      <c r="B478" s="62"/>
      <c r="C478" s="62"/>
      <c r="D478" s="20"/>
      <c r="E478" s="5"/>
      <c r="F478" s="18"/>
      <c r="G478" s="18"/>
    </row>
    <row r="479" spans="2:7">
      <c r="B479" s="62"/>
      <c r="C479" s="62"/>
      <c r="D479" s="20"/>
      <c r="E479" s="5"/>
      <c r="F479" s="18"/>
      <c r="G479" s="18"/>
    </row>
    <row r="480" spans="2:7">
      <c r="B480" s="62"/>
      <c r="C480" s="62"/>
      <c r="D480" s="20"/>
      <c r="E480" s="5"/>
      <c r="F480" s="18"/>
      <c r="G480" s="18"/>
    </row>
    <row r="481" spans="2:7">
      <c r="B481" s="62"/>
      <c r="C481" s="62"/>
      <c r="D481" s="20"/>
      <c r="E481" s="5"/>
      <c r="F481" s="18"/>
      <c r="G481" s="18"/>
    </row>
    <row r="482" spans="2:7">
      <c r="B482" s="62"/>
      <c r="C482" s="62"/>
      <c r="D482" s="20"/>
      <c r="E482" s="5"/>
      <c r="F482" s="18"/>
      <c r="G482" s="18"/>
    </row>
    <row r="483" spans="2:7">
      <c r="B483" s="62"/>
      <c r="C483" s="62"/>
      <c r="D483" s="20"/>
      <c r="E483" s="5"/>
      <c r="F483" s="18"/>
      <c r="G483" s="18"/>
    </row>
    <row r="484" spans="2:7">
      <c r="B484" s="62"/>
      <c r="C484" s="62"/>
      <c r="D484" s="20"/>
      <c r="E484" s="5"/>
      <c r="F484" s="18"/>
      <c r="G484" s="18"/>
    </row>
    <row r="485" spans="2:7">
      <c r="B485" s="62"/>
      <c r="C485" s="62"/>
      <c r="D485" s="20"/>
      <c r="E485" s="5"/>
      <c r="F485" s="18"/>
      <c r="G485" s="18"/>
    </row>
    <row r="486" spans="2:7">
      <c r="B486" s="62"/>
      <c r="C486" s="62"/>
      <c r="D486" s="20"/>
      <c r="E486" s="5"/>
      <c r="F486" s="18"/>
      <c r="G486" s="18"/>
    </row>
  </sheetData>
  <sortState ref="B3:G103">
    <sortCondition ref="G3:G103"/>
    <sortCondition ref="D3:D103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O25"/>
  <sheetViews>
    <sheetView showGridLines="0" workbookViewId="0">
      <pane xSplit="2" ySplit="2" topLeftCell="D3" activePane="bottomRight" state="frozen"/>
      <selection pane="topRight" activeCell="C1" sqref="C1"/>
      <selection pane="bottomLeft" activeCell="A3" sqref="A3"/>
      <selection pane="bottomRight" activeCell="O10" sqref="O10"/>
    </sheetView>
  </sheetViews>
  <sheetFormatPr defaultColWidth="8.75" defaultRowHeight="14.25"/>
  <cols>
    <col min="1" max="1" width="5.75" style="1" customWidth="1"/>
    <col min="2" max="2" width="14.625" style="1" bestFit="1" customWidth="1"/>
    <col min="3" max="15" width="11.75" style="1" customWidth="1"/>
    <col min="16" max="16384" width="8.75" style="1"/>
  </cols>
  <sheetData>
    <row r="1" spans="2:15" ht="9.9499999999999993" customHeight="1">
      <c r="C1" s="37">
        <v>1</v>
      </c>
      <c r="D1" s="37">
        <v>2</v>
      </c>
      <c r="E1" s="37">
        <v>3</v>
      </c>
      <c r="F1" s="37">
        <v>4</v>
      </c>
      <c r="G1" s="37">
        <v>5</v>
      </c>
      <c r="H1" s="37">
        <v>6</v>
      </c>
      <c r="I1" s="37">
        <v>7</v>
      </c>
      <c r="J1" s="37">
        <v>8</v>
      </c>
      <c r="K1" s="37">
        <v>9</v>
      </c>
      <c r="L1" s="37">
        <v>10</v>
      </c>
      <c r="M1" s="37">
        <v>11</v>
      </c>
      <c r="N1" s="37">
        <v>12</v>
      </c>
    </row>
    <row r="2" spans="2:15" ht="15">
      <c r="B2" s="39" t="s">
        <v>56</v>
      </c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6">
        <v>2019</v>
      </c>
    </row>
    <row r="3" spans="2:15">
      <c r="B3" s="4" t="s">
        <v>45</v>
      </c>
      <c r="C3" s="25">
        <f>-(SUMIF('despesas (evento)'!$C$3:$C$9987,'Eventos e Doações'!C$1,'despesas (evento)'!$D$3:$D$9987))</f>
        <v>0</v>
      </c>
      <c r="D3" s="25">
        <f>-(SUMIF('despesas (evento)'!$C$3:$C$9987,'Eventos e Doações'!D$1,'despesas (evento)'!$D$3:$D$9987))</f>
        <v>0</v>
      </c>
      <c r="E3" s="25">
        <f>-(SUMIF('despesas (evento)'!$C$3:$C$9987,'Eventos e Doações'!E$1,'despesas (evento)'!$D$3:$D$9987))</f>
        <v>0</v>
      </c>
      <c r="F3" s="25">
        <f>-(SUMIF('despesas (evento)'!$C$3:$C$9987,'Eventos e Doações'!F$1,'despesas (evento)'!$D$3:$D$9987))</f>
        <v>0</v>
      </c>
      <c r="G3" s="25">
        <f>-(SUMIF('despesas (evento)'!$C$3:$C$9987,'Eventos e Doações'!G$1,'despesas (evento)'!$D$3:$D$9987))</f>
        <v>0</v>
      </c>
      <c r="H3" s="25">
        <f>-(SUMIF('despesas (evento)'!$C$3:$C$9987,'Eventos e Doações'!H$1,'despesas (evento)'!$D$3:$D$9987))</f>
        <v>0</v>
      </c>
      <c r="I3" s="25">
        <f>-(SUMIF('despesas (evento)'!$C$3:$C$9987,'Eventos e Doações'!I$1,'despesas (evento)'!$D$3:$D$9987))</f>
        <v>0</v>
      </c>
      <c r="J3" s="25">
        <f>-(SUMIF('despesas (evento)'!$C$3:$C$9987,'Eventos e Doações'!J$1,'despesas (evento)'!$D$3:$D$9987))</f>
        <v>-50</v>
      </c>
      <c r="K3" s="25">
        <f>-(SUMIF('despesas (evento)'!$C$3:$C$9987,'Eventos e Doações'!K$1,'despesas (evento)'!$D$3:$D$9987))</f>
        <v>0</v>
      </c>
      <c r="L3" s="25">
        <f>-(SUMIF('despesas (evento)'!$C$3:$C$9987,'Eventos e Doações'!L$1,'despesas (evento)'!$D$3:$D$9987))</f>
        <v>0</v>
      </c>
      <c r="M3" s="25">
        <f>-(SUMIF('despesas (evento)'!$C$3:$C$9987,'Eventos e Doações'!M$1,'despesas (evento)'!$D$3:$D$9987))</f>
        <v>0</v>
      </c>
      <c r="N3" s="25">
        <f>-(SUMIF('despesas (evento)'!$C$3:$C$9987,'Eventos e Doações'!N$1,'despesas (evento)'!$D$3:$D$9987))</f>
        <v>0</v>
      </c>
      <c r="O3" s="25">
        <f>SUM(C3:N3)</f>
        <v>-50</v>
      </c>
    </row>
    <row r="4" spans="2:15">
      <c r="B4" s="4" t="s">
        <v>42</v>
      </c>
      <c r="C4" s="25">
        <f>-(SUMIF('despesas (limpeza)'!$C$3:$C$10000,'Eventos e Doações'!C$1,'despesas (limpeza)'!$D$3:$D$10000))</f>
        <v>0</v>
      </c>
      <c r="D4" s="25">
        <f>-(SUMIF('despesas (limpeza)'!$C$3:$C$10000,'Eventos e Doações'!D$1,'despesas (limpeza)'!$D$3:$D$10000))</f>
        <v>0</v>
      </c>
      <c r="E4" s="25">
        <f>-(SUMIF('despesas (limpeza)'!$C$3:$C$10000,'Eventos e Doações'!E$1,'despesas (limpeza)'!$D$3:$D$10000))</f>
        <v>0</v>
      </c>
      <c r="F4" s="25">
        <f>-(SUMIF('despesas (limpeza)'!$C$3:$C$10000,'Eventos e Doações'!F$1,'despesas (limpeza)'!$D$3:$D$10000))</f>
        <v>0</v>
      </c>
      <c r="G4" s="25">
        <f>-(SUMIF('despesas (limpeza)'!$C$3:$C$10000,'Eventos e Doações'!G$1,'despesas (limpeza)'!$D$3:$D$10000))</f>
        <v>0</v>
      </c>
      <c r="H4" s="25">
        <f>-(SUMIF('despesas (limpeza)'!$C$3:$C$10000,'Eventos e Doações'!H$1,'despesas (limpeza)'!$D$3:$D$10000))</f>
        <v>0</v>
      </c>
      <c r="I4" s="25">
        <f>-(SUMIF('despesas (limpeza)'!$C$3:$C$10000,'Eventos e Doações'!I$1,'despesas (limpeza)'!$D$3:$D$10000))</f>
        <v>0</v>
      </c>
      <c r="J4" s="25">
        <f>-(SUMIF('despesas (limpeza)'!$C$3:$C$10000,'Eventos e Doações'!J$1,'despesas (limpeza)'!$D$3:$D$10000))</f>
        <v>0</v>
      </c>
      <c r="K4" s="25">
        <f>-(SUMIF('despesas (limpeza)'!$C$3:$C$10000,'Eventos e Doações'!K$1,'despesas (limpeza)'!$D$3:$D$10000))</f>
        <v>0</v>
      </c>
      <c r="L4" s="25">
        <f>-(SUMIF('despesas (limpeza)'!$C$3:$C$10000,'Eventos e Doações'!L$1,'despesas (limpeza)'!$D$3:$D$10000))</f>
        <v>0</v>
      </c>
      <c r="M4" s="25">
        <f>-(SUMIF('despesas (limpeza)'!$C$3:$C$10000,'Eventos e Doações'!M$1,'despesas (limpeza)'!$D$3:$D$10000))</f>
        <v>0</v>
      </c>
      <c r="N4" s="25">
        <f>-(SUMIF('despesas (limpeza)'!$C$3:$C$10000,'Eventos e Doações'!N$1,'despesas (limpeza)'!$D$3:$D$10000))</f>
        <v>0</v>
      </c>
      <c r="O4" s="25">
        <f t="shared" ref="O4:O6" si="0">SUM(C4:N4)</f>
        <v>0</v>
      </c>
    </row>
    <row r="5" spans="2:15">
      <c r="B5" s="4" t="s">
        <v>46</v>
      </c>
      <c r="C5" s="25">
        <f>-(SUMIF('despesas (descartavel)'!$C$3:$C$10002,'Eventos e Doações'!C$1,'despesas (descartavel)'!$D$3:$D$10002))</f>
        <v>0</v>
      </c>
      <c r="D5" s="25">
        <f>-(SUMIF('despesas (descartavel)'!$C$3:$C$10002,'Eventos e Doações'!D$1,'despesas (descartavel)'!$D$3:$D$10002))</f>
        <v>0</v>
      </c>
      <c r="E5" s="25">
        <f>-(SUMIF('despesas (descartavel)'!$C$3:$C$10002,'Eventos e Doações'!E$1,'despesas (descartavel)'!$D$3:$D$10002))</f>
        <v>0</v>
      </c>
      <c r="F5" s="25">
        <f>-(SUMIF('despesas (descartavel)'!$C$3:$C$10002,'Eventos e Doações'!F$1,'despesas (descartavel)'!$D$3:$D$10002))</f>
        <v>0</v>
      </c>
      <c r="G5" s="25">
        <f>-(SUMIF('despesas (descartavel)'!$C$3:$C$10002,'Eventos e Doações'!G$1,'despesas (descartavel)'!$D$3:$D$10002))</f>
        <v>0</v>
      </c>
      <c r="H5" s="25">
        <f>-(SUMIF('despesas (descartavel)'!$C$3:$C$10002,'Eventos e Doações'!H$1,'despesas (descartavel)'!$D$3:$D$10002))</f>
        <v>0</v>
      </c>
      <c r="I5" s="25">
        <f>-(SUMIF('despesas (descartavel)'!$C$3:$C$10002,'Eventos e Doações'!I$1,'despesas (descartavel)'!$D$3:$D$10002))</f>
        <v>0</v>
      </c>
      <c r="J5" s="25">
        <f>-(SUMIF('despesas (descartavel)'!$C$3:$C$10002,'Eventos e Doações'!J$1,'despesas (descartavel)'!$D$3:$D$10002))</f>
        <v>0</v>
      </c>
      <c r="K5" s="25">
        <f>-(SUMIF('despesas (descartavel)'!$C$3:$C$10002,'Eventos e Doações'!K$1,'despesas (descartavel)'!$D$3:$D$10002))</f>
        <v>0</v>
      </c>
      <c r="L5" s="25">
        <f>-(SUMIF('despesas (descartavel)'!$C$3:$C$10002,'Eventos e Doações'!L$1,'despesas (descartavel)'!$D$3:$D$10002))</f>
        <v>0</v>
      </c>
      <c r="M5" s="25">
        <f>-(SUMIF('despesas (descartavel)'!$C$3:$C$10002,'Eventos e Doações'!M$1,'despesas (descartavel)'!$D$3:$D$10002))</f>
        <v>0</v>
      </c>
      <c r="N5" s="25">
        <f>-(SUMIF('despesas (descartavel)'!$C$3:$C$10002,'Eventos e Doações'!N$1,'despesas (descartavel)'!$D$3:$D$10002))</f>
        <v>0</v>
      </c>
      <c r="O5" s="25">
        <f t="shared" si="0"/>
        <v>0</v>
      </c>
    </row>
    <row r="6" spans="2:15">
      <c r="B6" s="4" t="s">
        <v>43</v>
      </c>
      <c r="C6" s="25">
        <f>-(SUMIF('despesas (art religi)'!$C$3:$C$10002,'Eventos e Doações'!C$1,'despesas (art religi)'!$D$3:$D$10002))</f>
        <v>0</v>
      </c>
      <c r="D6" s="25">
        <f>-(SUMIF('despesas (art religi)'!$C$3:$C$10002,'Eventos e Doações'!D$1,'despesas (art religi)'!$D$3:$D$10002))</f>
        <v>0</v>
      </c>
      <c r="E6" s="25">
        <f>-(SUMIF('despesas (art religi)'!$C$3:$C$10002,'Eventos e Doações'!E$1,'despesas (art religi)'!$D$3:$D$10002))</f>
        <v>0</v>
      </c>
      <c r="F6" s="25">
        <f>-(SUMIF('despesas (art religi)'!$C$3:$C$10002,'Eventos e Doações'!F$1,'despesas (art religi)'!$D$3:$D$10002))</f>
        <v>0</v>
      </c>
      <c r="G6" s="25">
        <f>-(SUMIF('despesas (art religi)'!$C$3:$C$10002,'Eventos e Doações'!G$1,'despesas (art religi)'!$D$3:$D$10002))</f>
        <v>0</v>
      </c>
      <c r="H6" s="25">
        <f>-(SUMIF('despesas (art religi)'!$C$3:$C$10002,'Eventos e Doações'!H$1,'despesas (art religi)'!$D$3:$D$10002))</f>
        <v>0</v>
      </c>
      <c r="I6" s="25">
        <f>-(SUMIF('despesas (art religi)'!$C$3:$C$10002,'Eventos e Doações'!I$1,'despesas (art religi)'!$D$3:$D$10002))</f>
        <v>0</v>
      </c>
      <c r="J6" s="25">
        <f>-(SUMIF('despesas (art religi)'!$C$3:$C$10002,'Eventos e Doações'!J$1,'despesas (art religi)'!$D$3:$D$10002))</f>
        <v>-108</v>
      </c>
      <c r="K6" s="25">
        <f>-(SUMIF('despesas (art religi)'!$C$3:$C$10002,'Eventos e Doações'!K$1,'despesas (art religi)'!$D$3:$D$10002))</f>
        <v>0</v>
      </c>
      <c r="L6" s="25">
        <f>-(SUMIF('despesas (art religi)'!$C$3:$C$10002,'Eventos e Doações'!L$1,'despesas (art religi)'!$D$3:$D$10002))</f>
        <v>0</v>
      </c>
      <c r="M6" s="25">
        <f>-(SUMIF('despesas (art religi)'!$C$3:$C$10002,'Eventos e Doações'!M$1,'despesas (art religi)'!$D$3:$D$10002))</f>
        <v>0</v>
      </c>
      <c r="N6" s="25">
        <f>-(SUMIF('despesas (art religi)'!$C$3:$C$10002,'Eventos e Doações'!N$1,'despesas (art religi)'!$D$3:$D$10002))</f>
        <v>0</v>
      </c>
      <c r="O6" s="25">
        <f t="shared" si="0"/>
        <v>-108</v>
      </c>
    </row>
    <row r="7" spans="2:15" ht="15" thickBot="1">
      <c r="B7" s="8" t="s">
        <v>44</v>
      </c>
      <c r="C7" s="27">
        <f>-(SUMIF('despesas (extra)'!$C$3:$C$10000,'Eventos e Doações'!C$1,'despesas (extra)'!$D$3:$D$10000))</f>
        <v>0</v>
      </c>
      <c r="D7" s="27">
        <f>-(SUMIF('despesas (extra)'!$C$3:$C$10000,'Eventos e Doações'!D$1,'despesas (extra)'!$D$3:$D$10000))</f>
        <v>0</v>
      </c>
      <c r="E7" s="27">
        <f>-(SUMIF('despesas (extra)'!$C$3:$C$10000,'Eventos e Doações'!E$1,'despesas (extra)'!$D$3:$D$10000))</f>
        <v>0</v>
      </c>
      <c r="F7" s="27">
        <f>-(SUMIF('despesas (extra)'!$C$3:$C$10000,'Eventos e Doações'!F$1,'despesas (extra)'!$D$3:$D$10000))</f>
        <v>0</v>
      </c>
      <c r="G7" s="27">
        <f>-(SUMIF('despesas (extra)'!$C$3:$C$10000,'Eventos e Doações'!G$1,'despesas (extra)'!$D$3:$D$10000))</f>
        <v>0</v>
      </c>
      <c r="H7" s="27">
        <f>-(SUMIF('despesas (extra)'!$C$3:$C$10000,'Eventos e Doações'!H$1,'despesas (extra)'!$D$3:$D$10000))</f>
        <v>0</v>
      </c>
      <c r="I7" s="27">
        <f>-(SUMIF('despesas (extra)'!$C$3:$C$10000,'Eventos e Doações'!I$1,'despesas (extra)'!$D$3:$D$10000))</f>
        <v>0</v>
      </c>
      <c r="J7" s="27">
        <f>-(SUMIF('despesas (extra)'!$C$3:$C$10000,'Eventos e Doações'!J$1,'despesas (extra)'!$D$3:$D$10000))</f>
        <v>0</v>
      </c>
      <c r="K7" s="27">
        <f>-(SUMIF('despesas (extra)'!$C$3:$C$10000,'Eventos e Doações'!K$1,'despesas (extra)'!$D$3:$D$10000))</f>
        <v>0</v>
      </c>
      <c r="L7" s="27">
        <f>-(SUMIF('despesas (extra)'!$C$3:$C$10000,'Eventos e Doações'!L$1,'despesas (extra)'!$D$3:$D$10000))</f>
        <v>0</v>
      </c>
      <c r="M7" s="27">
        <f>-(SUMIF('despesas (extra)'!$C$3:$C$10000,'Eventos e Doações'!M$1,'despesas (extra)'!$D$3:$D$10000))</f>
        <v>0</v>
      </c>
      <c r="N7" s="27">
        <f>-(SUMIF('despesas (extra)'!$C$3:$C$10000,'Eventos e Doações'!N$1,'despesas (extra)'!$D$3:$D$10000))</f>
        <v>0</v>
      </c>
      <c r="O7" s="27">
        <f t="shared" ref="O7" si="1">SUM(C7:N7)</f>
        <v>0</v>
      </c>
    </row>
    <row r="8" spans="2:15" ht="16.5" thickTop="1" thickBot="1">
      <c r="B8" s="7" t="s">
        <v>41</v>
      </c>
      <c r="C8" s="29">
        <f t="shared" ref="C8" si="2">SUM(C3:C7)</f>
        <v>0</v>
      </c>
      <c r="D8" s="29">
        <f t="shared" ref="D8" si="3">SUM(D3:D7)</f>
        <v>0</v>
      </c>
      <c r="E8" s="29">
        <f t="shared" ref="E8" si="4">SUM(E3:E7)</f>
        <v>0</v>
      </c>
      <c r="F8" s="29">
        <f t="shared" ref="F8" si="5">SUM(F3:F7)</f>
        <v>0</v>
      </c>
      <c r="G8" s="29">
        <f t="shared" ref="G8" si="6">SUM(G3:G7)</f>
        <v>0</v>
      </c>
      <c r="H8" s="29">
        <f t="shared" ref="H8" si="7">SUM(H3:H7)</f>
        <v>0</v>
      </c>
      <c r="I8" s="29">
        <f t="shared" ref="I8" si="8">SUM(I3:I7)</f>
        <v>0</v>
      </c>
      <c r="J8" s="29">
        <f t="shared" ref="J8" si="9">SUM(J3:J7)</f>
        <v>-158</v>
      </c>
      <c r="K8" s="29">
        <f t="shared" ref="K8" si="10">SUM(K3:K7)</f>
        <v>0</v>
      </c>
      <c r="L8" s="29">
        <f t="shared" ref="L8" si="11">SUM(L3:L7)</f>
        <v>0</v>
      </c>
      <c r="M8" s="29">
        <f t="shared" ref="M8" si="12">SUM(M3:M7)</f>
        <v>0</v>
      </c>
      <c r="N8" s="29">
        <f t="shared" ref="N8" si="13">SUM(N3:N7)</f>
        <v>0</v>
      </c>
      <c r="O8" s="29">
        <f>SUM(O3:O7)</f>
        <v>-158</v>
      </c>
    </row>
    <row r="9" spans="2:15" ht="15" thickTop="1"/>
    <row r="10" spans="2:15" ht="15">
      <c r="B10" s="22" t="s">
        <v>28</v>
      </c>
      <c r="C10" s="46">
        <f>(C12+C8)</f>
        <v>0</v>
      </c>
      <c r="D10" s="46">
        <f>C10+(D12+D8)</f>
        <v>0</v>
      </c>
      <c r="E10" s="46">
        <f t="shared" ref="E10:N10" si="14">D10+(E12+E8)</f>
        <v>0</v>
      </c>
      <c r="F10" s="46">
        <f t="shared" si="14"/>
        <v>225</v>
      </c>
      <c r="G10" s="46">
        <f t="shared" si="14"/>
        <v>516</v>
      </c>
      <c r="H10" s="46">
        <f t="shared" si="14"/>
        <v>822</v>
      </c>
      <c r="I10" s="46">
        <f>H10+(I12+I8)</f>
        <v>1288</v>
      </c>
      <c r="J10" s="46">
        <f t="shared" si="14"/>
        <v>1196</v>
      </c>
      <c r="K10" s="46">
        <f t="shared" si="14"/>
        <v>1196</v>
      </c>
      <c r="L10" s="46">
        <f t="shared" si="14"/>
        <v>1196</v>
      </c>
      <c r="M10" s="46">
        <f t="shared" si="14"/>
        <v>1196</v>
      </c>
      <c r="N10" s="46">
        <f t="shared" si="14"/>
        <v>1196</v>
      </c>
      <c r="O10" s="48">
        <f>(O12+O8)</f>
        <v>1196</v>
      </c>
    </row>
    <row r="11" spans="2:15" ht="15" thickBot="1"/>
    <row r="12" spans="2:15" ht="16.5" thickTop="1" thickBot="1">
      <c r="B12" s="12" t="s">
        <v>41</v>
      </c>
      <c r="C12" s="13">
        <f t="shared" ref="C12:O12" si="15">SUM(C14:C19)</f>
        <v>0</v>
      </c>
      <c r="D12" s="13">
        <f t="shared" si="15"/>
        <v>0</v>
      </c>
      <c r="E12" s="13">
        <f t="shared" si="15"/>
        <v>0</v>
      </c>
      <c r="F12" s="13">
        <f t="shared" si="15"/>
        <v>225</v>
      </c>
      <c r="G12" s="13">
        <f t="shared" si="15"/>
        <v>291</v>
      </c>
      <c r="H12" s="13">
        <f t="shared" si="15"/>
        <v>306</v>
      </c>
      <c r="I12" s="13">
        <f t="shared" si="15"/>
        <v>466</v>
      </c>
      <c r="J12" s="13">
        <f t="shared" si="15"/>
        <v>66</v>
      </c>
      <c r="K12" s="13">
        <f t="shared" si="15"/>
        <v>0</v>
      </c>
      <c r="L12" s="13">
        <f t="shared" si="15"/>
        <v>0</v>
      </c>
      <c r="M12" s="13">
        <f t="shared" si="15"/>
        <v>0</v>
      </c>
      <c r="N12" s="13">
        <f t="shared" si="15"/>
        <v>0</v>
      </c>
      <c r="O12" s="13">
        <f t="shared" si="15"/>
        <v>1354</v>
      </c>
    </row>
    <row r="13" spans="2:15" ht="15.75" thickTop="1">
      <c r="B13" s="38" t="s">
        <v>57</v>
      </c>
      <c r="C13" s="10" t="s">
        <v>0</v>
      </c>
      <c r="D13" s="10" t="s">
        <v>1</v>
      </c>
      <c r="E13" s="10" t="s">
        <v>2</v>
      </c>
      <c r="F13" s="10" t="s">
        <v>3</v>
      </c>
      <c r="G13" s="10" t="s">
        <v>4</v>
      </c>
      <c r="H13" s="10" t="s">
        <v>5</v>
      </c>
      <c r="I13" s="10" t="s">
        <v>6</v>
      </c>
      <c r="J13" s="10" t="s">
        <v>10</v>
      </c>
      <c r="K13" s="10" t="s">
        <v>11</v>
      </c>
      <c r="L13" s="10" t="s">
        <v>12</v>
      </c>
      <c r="M13" s="10" t="s">
        <v>13</v>
      </c>
      <c r="N13" s="10" t="s">
        <v>14</v>
      </c>
      <c r="O13" s="11">
        <v>2019</v>
      </c>
    </row>
    <row r="14" spans="2:15">
      <c r="B14" s="4" t="s">
        <v>45</v>
      </c>
      <c r="C14" s="5">
        <f>eventos!C4</f>
        <v>0</v>
      </c>
      <c r="D14" s="5">
        <f>eventos!D4</f>
        <v>0</v>
      </c>
      <c r="E14" s="5">
        <f>eventos!E4</f>
        <v>0</v>
      </c>
      <c r="F14" s="5">
        <f>eventos!F4</f>
        <v>0</v>
      </c>
      <c r="G14" s="5">
        <f>eventos!G4</f>
        <v>0</v>
      </c>
      <c r="H14" s="5">
        <f>eventos!H4</f>
        <v>0</v>
      </c>
      <c r="I14" s="5">
        <f>eventos!I4</f>
        <v>0</v>
      </c>
      <c r="J14" s="5">
        <f>eventos!J4</f>
        <v>0</v>
      </c>
      <c r="K14" s="5">
        <f>eventos!K4</f>
        <v>0</v>
      </c>
      <c r="L14" s="5">
        <f>eventos!L4</f>
        <v>0</v>
      </c>
      <c r="M14" s="5">
        <f>eventos!M4</f>
        <v>0</v>
      </c>
      <c r="N14" s="5">
        <f>eventos!N4</f>
        <v>0</v>
      </c>
      <c r="O14" s="5">
        <f>SUM(C14:N14)</f>
        <v>0</v>
      </c>
    </row>
    <row r="15" spans="2:15">
      <c r="B15" s="4" t="s">
        <v>26</v>
      </c>
      <c r="C15" s="5">
        <f>SUMIF(arrecadações!$C$3:$C$10000,'Eventos e Doações'!C$1,arrecadações!$E$3:$E$10000)</f>
        <v>0</v>
      </c>
      <c r="D15" s="5">
        <f>SUMIF(arrecadações!$C$3:$C$10000,'Eventos e Doações'!D$1,arrecadações!$E$3:$E$10000)</f>
        <v>0</v>
      </c>
      <c r="E15" s="5">
        <f>SUMIF(arrecadações!$C$3:$C$10000,'Eventos e Doações'!E$1,arrecadações!$E$3:$E$10000)</f>
        <v>0</v>
      </c>
      <c r="F15" s="5">
        <f>SUMIF(arrecadações!$C$3:$C$10000,'Eventos e Doações'!F$1,arrecadações!$E$3:$E$10000)</f>
        <v>0</v>
      </c>
      <c r="G15" s="5">
        <f>SUMIF(arrecadações!$C$3:$C$10000,'Eventos e Doações'!G$1,arrecadações!$E$3:$E$10000)</f>
        <v>0</v>
      </c>
      <c r="H15" s="5">
        <f>SUMIF(arrecadações!$C$3:$C$10000,'Eventos e Doações'!H$1,arrecadações!$E$3:$E$10000)</f>
        <v>0</v>
      </c>
      <c r="I15" s="5">
        <f>SUMIF(arrecadações!$C$3:$C$10000,'Eventos e Doações'!I$1,arrecadações!$E$3:$E$10000)</f>
        <v>0</v>
      </c>
      <c r="J15" s="5">
        <f>SUMIF(arrecadações!$C$3:$C$10000,'Eventos e Doações'!J$1,arrecadações!$E$3:$E$10000)</f>
        <v>0</v>
      </c>
      <c r="K15" s="5">
        <f>SUMIF(arrecadações!$C$3:$C$10000,'Eventos e Doações'!K$1,arrecadações!$E$3:$E$10000)</f>
        <v>0</v>
      </c>
      <c r="L15" s="5">
        <f>SUMIF(arrecadações!$C$3:$C$10000,'Eventos e Doações'!L$1,arrecadações!$E$3:$E$10000)</f>
        <v>0</v>
      </c>
      <c r="M15" s="5">
        <f>SUMIF(arrecadações!$C$3:$C$10000,'Eventos e Doações'!M$1,arrecadações!$E$3:$E$10000)</f>
        <v>0</v>
      </c>
      <c r="N15" s="5">
        <f>SUMIF(arrecadações!$C$3:$C$10000,'Eventos e Doações'!N$1,arrecadações!$E$3:$E$10000)</f>
        <v>0</v>
      </c>
      <c r="O15" s="5">
        <f t="shared" ref="O15:O19" si="16">SUM(C15:N15)</f>
        <v>0</v>
      </c>
    </row>
    <row r="16" spans="2:15">
      <c r="B16" s="4" t="s">
        <v>47</v>
      </c>
      <c r="C16" s="5">
        <f>SUMIF(banho!$A$3:$A$10001,'Eventos e Doações'!C$1,banho!$E$3:$E$10001)</f>
        <v>0</v>
      </c>
      <c r="D16" s="5">
        <f>SUMIF(banho!$A$3:$A$10001,'Eventos e Doações'!D$1,banho!$E$3:$E$10001)</f>
        <v>0</v>
      </c>
      <c r="E16" s="5">
        <f>SUMIF(banho!$A$3:$A$10001,'Eventos e Doações'!E$1,banho!$E$3:$E$10001)</f>
        <v>0</v>
      </c>
      <c r="F16" s="5">
        <f>SUMIF(banho!$A$3:$A$10001,'Eventos e Doações'!F$1,banho!$E$3:$E$10001)</f>
        <v>0</v>
      </c>
      <c r="G16" s="5">
        <f>SUMIF(banho!$A$3:$A$10001,'Eventos e Doações'!G$1,banho!$E$3:$E$10001)</f>
        <v>6</v>
      </c>
      <c r="H16" s="5">
        <f>SUMIF(banho!$A$3:$A$10001,'Eventos e Doações'!H$1,banho!$E$3:$E$10001)</f>
        <v>6</v>
      </c>
      <c r="I16" s="5">
        <f>SUMIF(banho!$A$3:$A$10001,'Eventos e Doações'!I$1,banho!$E$3:$E$10001)</f>
        <v>16</v>
      </c>
      <c r="J16" s="5">
        <f>SUMIF(banho!$A$3:$A$10001,'Eventos e Doações'!J$1,banho!$E$3:$E$10001)</f>
        <v>6</v>
      </c>
      <c r="K16" s="5">
        <f>SUMIF(banho!$A$3:$A$10001,'Eventos e Doações'!K$1,banho!$E$3:$E$10001)</f>
        <v>0</v>
      </c>
      <c r="L16" s="5">
        <f>SUMIF(banho!$A$3:$A$10001,'Eventos e Doações'!L$1,banho!$E$3:$E$10001)</f>
        <v>0</v>
      </c>
      <c r="M16" s="5">
        <f>SUMIF(banho!$A$3:$A$10001,'Eventos e Doações'!M$1,banho!$E$3:$E$10001)</f>
        <v>0</v>
      </c>
      <c r="N16" s="5">
        <f>SUMIF(banho!$A$3:$A$10001,'Eventos e Doações'!N$1,banho!$E$3:$E$10001)</f>
        <v>0</v>
      </c>
      <c r="O16" s="5">
        <f t="shared" si="16"/>
        <v>34</v>
      </c>
    </row>
    <row r="17" spans="2:15">
      <c r="B17" s="4" t="s">
        <v>535</v>
      </c>
      <c r="C17" s="5">
        <f>SUMIF(Prato!$B:$B,'Eventos e Doações'!C1,Prato!$E:$E)</f>
        <v>0</v>
      </c>
      <c r="D17" s="5">
        <f>SUMIF(Prato!$B:$B,'Eventos e Doações'!D1,Prato!$E:$E)</f>
        <v>0</v>
      </c>
      <c r="E17" s="5">
        <f>SUMIF(Prato!$B:$B,'Eventos e Doações'!E1,Prato!$E:$E)</f>
        <v>0</v>
      </c>
      <c r="F17" s="5">
        <f>SUMIF(Prato!$B:$B,'Eventos e Doações'!F1,Prato!$E:$E)</f>
        <v>225</v>
      </c>
      <c r="G17" s="5">
        <f>SUMIF(Prato!$B:$B,'Eventos e Doações'!G1,Prato!$E:$E)</f>
        <v>285</v>
      </c>
      <c r="H17" s="5">
        <f>SUMIF(Prato!$B:$B,'Eventos e Doações'!H1,Prato!$E:$E)</f>
        <v>300</v>
      </c>
      <c r="I17" s="5">
        <f>SUMIF(Prato!$B:$B,'Eventos e Doações'!I1,Prato!$E:$E)</f>
        <v>225</v>
      </c>
      <c r="J17" s="5">
        <f>SUMIF(Prato!$B:$B,'Eventos e Doações'!J1,Prato!$E:$E)</f>
        <v>60</v>
      </c>
      <c r="K17" s="5">
        <f>SUMIF(Prato!$B:$B,'Eventos e Doações'!K1,Prato!$E:$E)</f>
        <v>0</v>
      </c>
      <c r="L17" s="5">
        <f>SUMIF(Prato!$B:$B,'Eventos e Doações'!L1,Prato!$E:$E)</f>
        <v>0</v>
      </c>
      <c r="M17" s="5">
        <f>SUMIF(Prato!$B:$B,'Eventos e Doações'!M1,Prato!$E:$E)</f>
        <v>0</v>
      </c>
      <c r="N17" s="5">
        <f>SUMIF(Prato!$B:$B,'Eventos e Doações'!N1,Prato!$E:$E)</f>
        <v>0</v>
      </c>
      <c r="O17" s="5">
        <f t="shared" si="16"/>
        <v>1095</v>
      </c>
    </row>
    <row r="18" spans="2:15">
      <c r="B18" s="4" t="s">
        <v>539</v>
      </c>
      <c r="C18" s="5">
        <f>SUMIF(Praia!$B:$B,'Eventos e Doações'!C$1,Praia!$E:$E)</f>
        <v>0</v>
      </c>
      <c r="D18" s="5">
        <f>SUMIF(Praia!$B:$B,'Eventos e Doações'!D$1,Praia!$E:$E)</f>
        <v>0</v>
      </c>
      <c r="E18" s="5">
        <f>SUMIF(Praia!$B:$B,'Eventos e Doações'!E$1,Praia!$E:$E)</f>
        <v>0</v>
      </c>
      <c r="F18" s="5">
        <f>SUMIF(Praia!$B:$B,'Eventos e Doações'!F$1,Praia!$E:$E)</f>
        <v>0</v>
      </c>
      <c r="G18" s="5">
        <f>SUMIF(Praia!$B:$B,'Eventos e Doações'!G$1,Praia!$E:$E)</f>
        <v>0</v>
      </c>
      <c r="H18" s="5">
        <f>SUMIF(Praia!$B:$B,'Eventos e Doações'!H$1,Praia!$E:$E)</f>
        <v>0</v>
      </c>
      <c r="I18" s="5">
        <f>SUMIF(Praia!$B:$B,'Eventos e Doações'!I$1,Praia!$E:$E)</f>
        <v>225</v>
      </c>
      <c r="J18" s="5">
        <f>SUMIF(Praia!$B:$B,'Eventos e Doações'!J$1,Praia!$E:$E)</f>
        <v>0</v>
      </c>
      <c r="K18" s="5">
        <f>SUMIF(Praia!$B:$B,'Eventos e Doações'!K$1,Praia!$E:$E)</f>
        <v>0</v>
      </c>
      <c r="L18" s="5">
        <f>SUMIF(Praia!$B:$B,'Eventos e Doações'!L$1,Praia!$E:$E)</f>
        <v>0</v>
      </c>
      <c r="M18" s="5">
        <f>SUMIF(Praia!$B:$B,'Eventos e Doações'!M$1,Praia!$E:$E)</f>
        <v>0</v>
      </c>
      <c r="N18" s="5">
        <f>SUMIF(Praia!$B:$B,'Eventos e Doações'!N$1,Praia!$E:$E)</f>
        <v>0</v>
      </c>
      <c r="O18" s="5">
        <f t="shared" si="16"/>
        <v>225</v>
      </c>
    </row>
    <row r="19" spans="2:15">
      <c r="B19" s="4" t="s">
        <v>48</v>
      </c>
      <c r="C19" s="5">
        <f>SUMIF(descarrego!$C$3:$C$10000,'Eventos e Doações'!C$1,descarrego!$E$3:$E$10000)</f>
        <v>0</v>
      </c>
      <c r="D19" s="5">
        <f>SUMIF(descarrego!$C$3:$C$10000,'Eventos e Doações'!D$1,descarrego!$E$3:$E$10000)</f>
        <v>0</v>
      </c>
      <c r="E19" s="5">
        <f>SUMIF(descarrego!$C$3:$C$10000,'Eventos e Doações'!E$1,descarrego!$E$3:$E$10000)</f>
        <v>0</v>
      </c>
      <c r="F19" s="5">
        <f>SUMIF(descarrego!$C$3:$C$10000,'Eventos e Doações'!F$1,descarrego!$E$3:$E$10000)</f>
        <v>0</v>
      </c>
      <c r="G19" s="5">
        <f>SUMIF(descarrego!$C$3:$C$10000,'Eventos e Doações'!G$1,descarrego!$E$3:$E$10000)</f>
        <v>0</v>
      </c>
      <c r="H19" s="5">
        <f>SUMIF(descarrego!$C$3:$C$10000,'Eventos e Doações'!H$1,descarrego!$E$3:$E$10000)</f>
        <v>0</v>
      </c>
      <c r="I19" s="5">
        <f>SUMIF(descarrego!$C$3:$C$10000,'Eventos e Doações'!I$1,descarrego!$E$3:$E$10000)</f>
        <v>0</v>
      </c>
      <c r="J19" s="5">
        <f>SUMIF(descarrego!$C$3:$C$10000,'Eventos e Doações'!J$1,descarrego!$E$3:$E$10000)</f>
        <v>0</v>
      </c>
      <c r="K19" s="5">
        <f>SUMIF(descarrego!$C$3:$C$10000,'Eventos e Doações'!K$1,descarrego!$E$3:$E$10000)</f>
        <v>0</v>
      </c>
      <c r="L19" s="5">
        <f>SUMIF(descarrego!$C$3:$C$10000,'Eventos e Doações'!L$1,descarrego!$E$3:$E$10000)</f>
        <v>0</v>
      </c>
      <c r="M19" s="5">
        <f>SUMIF(descarrego!$C$3:$C$10000,'Eventos e Doações'!M$1,descarrego!$E$3:$E$10000)</f>
        <v>0</v>
      </c>
      <c r="N19" s="5">
        <f>SUMIF(descarrego!$C$3:$C$10000,'Eventos e Doações'!N$1,descarrego!$E$3:$E$10000)</f>
        <v>0</v>
      </c>
      <c r="O19" s="5">
        <f t="shared" si="16"/>
        <v>0</v>
      </c>
    </row>
    <row r="20" spans="2:15">
      <c r="G20" s="1" t="s">
        <v>77</v>
      </c>
    </row>
    <row r="21" spans="2:15" s="33" customFormat="1">
      <c r="B21" s="32" t="s">
        <v>45</v>
      </c>
      <c r="C21" s="31" t="s">
        <v>49</v>
      </c>
      <c r="D21" s="31"/>
      <c r="E21" s="31" t="s">
        <v>50</v>
      </c>
      <c r="F21" s="31" t="s">
        <v>51</v>
      </c>
      <c r="G21" s="31" t="s">
        <v>52</v>
      </c>
      <c r="H21" s="31" t="s">
        <v>53</v>
      </c>
      <c r="I21" s="31" t="s">
        <v>54</v>
      </c>
      <c r="J21" s="31" t="s">
        <v>505</v>
      </c>
      <c r="K21" s="31"/>
      <c r="L21" s="31"/>
      <c r="M21" s="31" t="s">
        <v>79</v>
      </c>
      <c r="N21" s="31" t="s">
        <v>83</v>
      </c>
      <c r="O21" s="31"/>
    </row>
    <row r="25" spans="2:15">
      <c r="L25" s="14"/>
    </row>
  </sheetData>
  <pageMargins left="0.70866141732283472" right="0.70866141732283472" top="0.74803149606299213" bottom="0.74803149606299213" header="0.31496062992125984" footer="0.31496062992125984"/>
  <pageSetup paperSize="9" scale="7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O66"/>
  <sheetViews>
    <sheetView showGridLines="0" workbookViewId="0">
      <pane xSplit="2" ySplit="5" topLeftCell="C6" activePane="bottomRight" state="frozen"/>
      <selection activeCell="E58" sqref="E58"/>
      <selection pane="topRight" activeCell="E58" sqref="E58"/>
      <selection pane="bottomLeft" activeCell="E58" sqref="E58"/>
      <selection pane="bottomRight" activeCell="B6" sqref="B6"/>
    </sheetView>
  </sheetViews>
  <sheetFormatPr defaultColWidth="8.75" defaultRowHeight="14.25"/>
  <cols>
    <col min="1" max="1" width="5.75" style="1" customWidth="1"/>
    <col min="2" max="2" width="19.5" style="1" bestFit="1" customWidth="1"/>
    <col min="3" max="3" width="10.25" style="1" bestFit="1" customWidth="1"/>
    <col min="4" max="4" width="9.75" style="1" customWidth="1"/>
    <col min="5" max="5" width="11.625" style="1" bestFit="1" customWidth="1"/>
    <col min="6" max="10" width="9.75" style="1" customWidth="1"/>
    <col min="11" max="11" width="13.375" style="1" bestFit="1" customWidth="1"/>
    <col min="12" max="15" width="9.75" style="1" customWidth="1"/>
    <col min="16" max="16384" width="8.75" style="1"/>
  </cols>
  <sheetData>
    <row r="1" spans="2:15" ht="9.9499999999999993" customHeight="1"/>
    <row r="2" spans="2:15" s="33" customFormat="1">
      <c r="B2" s="32" t="s">
        <v>45</v>
      </c>
      <c r="C2" s="31"/>
      <c r="D2" s="31"/>
      <c r="E2" s="31"/>
      <c r="F2" s="31" t="s">
        <v>51</v>
      </c>
      <c r="G2" s="31" t="s">
        <v>52</v>
      </c>
      <c r="H2" s="31" t="s">
        <v>53</v>
      </c>
      <c r="I2" s="31" t="s">
        <v>54</v>
      </c>
      <c r="J2" s="31" t="s">
        <v>58</v>
      </c>
      <c r="K2" s="31" t="s">
        <v>76</v>
      </c>
      <c r="L2" s="31"/>
      <c r="M2" s="31"/>
      <c r="N2" s="31"/>
      <c r="O2" s="31"/>
    </row>
    <row r="3" spans="2:15" ht="9.9499999999999993" customHeight="1" thickBot="1"/>
    <row r="4" spans="2:15" ht="16.5" thickTop="1" thickBot="1">
      <c r="B4" s="12" t="s">
        <v>61</v>
      </c>
      <c r="C4" s="13">
        <f t="shared" ref="C4:N4" si="0">SUM(C6:C94)</f>
        <v>0</v>
      </c>
      <c r="D4" s="13">
        <f t="shared" si="0"/>
        <v>0</v>
      </c>
      <c r="E4" s="13">
        <f t="shared" si="0"/>
        <v>0</v>
      </c>
      <c r="F4" s="13">
        <f t="shared" si="0"/>
        <v>0</v>
      </c>
      <c r="G4" s="13">
        <f t="shared" si="0"/>
        <v>0</v>
      </c>
      <c r="H4" s="13">
        <f t="shared" si="0"/>
        <v>0</v>
      </c>
      <c r="I4" s="13">
        <f t="shared" si="0"/>
        <v>0</v>
      </c>
      <c r="J4" s="13">
        <f t="shared" si="0"/>
        <v>0</v>
      </c>
      <c r="K4" s="13">
        <f t="shared" si="0"/>
        <v>0</v>
      </c>
      <c r="L4" s="13">
        <f t="shared" si="0"/>
        <v>0</v>
      </c>
      <c r="M4" s="13">
        <f t="shared" si="0"/>
        <v>0</v>
      </c>
      <c r="N4" s="13">
        <f t="shared" si="0"/>
        <v>0</v>
      </c>
      <c r="O4" s="13">
        <f t="shared" ref="O4" si="1">SUM(C4:N4)</f>
        <v>0</v>
      </c>
    </row>
    <row r="5" spans="2:15" ht="15" thickTop="1">
      <c r="B5" s="9"/>
      <c r="C5" s="10" t="s">
        <v>0</v>
      </c>
      <c r="D5" s="10" t="s">
        <v>1</v>
      </c>
      <c r="E5" s="10" t="s">
        <v>2</v>
      </c>
      <c r="F5" s="10" t="s">
        <v>3</v>
      </c>
      <c r="G5" s="10" t="s">
        <v>4</v>
      </c>
      <c r="H5" s="10" t="s">
        <v>5</v>
      </c>
      <c r="I5" s="10" t="s">
        <v>6</v>
      </c>
      <c r="J5" s="10" t="s">
        <v>10</v>
      </c>
      <c r="K5" s="10" t="s">
        <v>11</v>
      </c>
      <c r="L5" s="10" t="s">
        <v>12</v>
      </c>
      <c r="M5" s="10" t="s">
        <v>13</v>
      </c>
      <c r="N5" s="10" t="s">
        <v>14</v>
      </c>
      <c r="O5" s="11">
        <v>2019</v>
      </c>
    </row>
    <row r="6" spans="2:15"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</row>
    <row r="7" spans="2:15"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2:15">
      <c r="B8" s="4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  <row r="9" spans="2:15">
      <c r="B9" s="4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5">
      <c r="B10" s="4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 spans="2:15">
      <c r="B11" s="4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</row>
    <row r="12" spans="2:15">
      <c r="B12" s="4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2:15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4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</row>
    <row r="15" spans="2:15">
      <c r="B15" s="4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2:1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2:1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2:15"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2:15"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</row>
    <row r="20" spans="2:15"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2:15">
      <c r="B21" s="4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2:15"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4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2:15">
      <c r="B24" s="4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2:15"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2:15"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2:15"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2:15"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  <row r="29" spans="2:15"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</row>
    <row r="30" spans="2:15"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</row>
    <row r="31" spans="2:15"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</row>
    <row r="33" spans="2:15"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</row>
    <row r="34" spans="2:15">
      <c r="B34" s="4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</row>
    <row r="35" spans="2:15">
      <c r="B35" s="4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</row>
    <row r="36" spans="2:15">
      <c r="B36" s="4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</row>
    <row r="37" spans="2:15">
      <c r="B37" s="4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</row>
    <row r="38" spans="2:15">
      <c r="B38" s="4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</row>
    <row r="39" spans="2:15">
      <c r="B39" s="4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</row>
    <row r="40" spans="2:15">
      <c r="B40" s="4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2:15">
      <c r="B41" s="4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</row>
    <row r="42" spans="2:15">
      <c r="B42" s="4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</row>
    <row r="43" spans="2:15"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</row>
    <row r="44" spans="2:15"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</row>
    <row r="45" spans="2:1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5">
      <c r="B46" s="4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</row>
    <row r="47" spans="2:15">
      <c r="B47" s="4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</row>
    <row r="48" spans="2:15">
      <c r="B48" s="4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</row>
    <row r="49" spans="2:15">
      <c r="B49" s="4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  <row r="50" spans="2:15">
      <c r="B50" s="4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</row>
    <row r="51" spans="2:15">
      <c r="B51" s="4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</row>
    <row r="52" spans="2:15">
      <c r="B52" s="4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</row>
    <row r="53" spans="2:15">
      <c r="B53" s="4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</row>
    <row r="54" spans="2:15">
      <c r="B54" s="4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</row>
    <row r="55" spans="2:15">
      <c r="B55" s="4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</row>
    <row r="56" spans="2:15">
      <c r="B56" s="4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</row>
    <row r="57" spans="2:15">
      <c r="B57" s="4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</row>
    <row r="58" spans="2:15">
      <c r="B58" s="4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</row>
    <row r="59" spans="2:15">
      <c r="B59" s="4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</row>
    <row r="60" spans="2:15">
      <c r="B60" s="4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</row>
    <row r="61" spans="2:15">
      <c r="B61" s="4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</row>
    <row r="62" spans="2:15">
      <c r="B62" s="4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</row>
    <row r="63" spans="2:15">
      <c r="B63" s="4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</row>
    <row r="64" spans="2:15">
      <c r="B64" s="4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</row>
    <row r="65" spans="2:15">
      <c r="B65" s="4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</row>
    <row r="66" spans="2:15">
      <c r="B66" s="4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</row>
  </sheetData>
  <autoFilter ref="B5:O58"/>
  <printOptions horizontalCentered="1"/>
  <pageMargins left="0.31496062992125984" right="0.31496062992125984" top="0.74803149606299213" bottom="0.74803149606299213" header="0.31496062992125984" footer="0.31496062992125984"/>
  <pageSetup paperSize="9" scale="5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M196"/>
  <sheetViews>
    <sheetView showGridLines="0" workbookViewId="0">
      <selection activeCell="B5" sqref="B5"/>
    </sheetView>
  </sheetViews>
  <sheetFormatPr defaultRowHeight="14.25"/>
  <cols>
    <col min="2" max="2" width="3" bestFit="1" customWidth="1"/>
    <col min="3" max="3" width="7.75" style="142" bestFit="1" customWidth="1"/>
    <col min="4" max="4" width="9.875" bestFit="1" customWidth="1"/>
    <col min="5" max="5" width="10.375" bestFit="1" customWidth="1"/>
    <col min="6" max="7" width="9" customWidth="1"/>
    <col min="10" max="10" width="14.5" bestFit="1" customWidth="1"/>
    <col min="13" max="13" width="14.875" bestFit="1" customWidth="1"/>
  </cols>
  <sheetData>
    <row r="1" spans="2:13">
      <c r="E1" s="49"/>
    </row>
    <row r="2" spans="2:13" ht="15">
      <c r="B2" s="15" t="s">
        <v>29</v>
      </c>
      <c r="C2" s="143" t="s">
        <v>30</v>
      </c>
      <c r="D2" s="16" t="s">
        <v>36</v>
      </c>
      <c r="E2" s="16" t="s">
        <v>31</v>
      </c>
      <c r="F2" s="17" t="s">
        <v>38</v>
      </c>
      <c r="G2" s="16" t="s">
        <v>33</v>
      </c>
      <c r="J2" s="128" t="s">
        <v>455</v>
      </c>
      <c r="M2" s="128" t="s">
        <v>456</v>
      </c>
    </row>
    <row r="3" spans="2:13">
      <c r="B3" s="62">
        <f>IF(G3="","",MONTH(G3))</f>
        <v>7</v>
      </c>
      <c r="C3" s="144" t="s">
        <v>6</v>
      </c>
      <c r="D3" s="20" t="s">
        <v>19</v>
      </c>
      <c r="E3" s="5">
        <v>75</v>
      </c>
      <c r="F3" s="18" t="s">
        <v>39</v>
      </c>
      <c r="G3" s="18">
        <v>43656</v>
      </c>
      <c r="J3" s="112">
        <v>2243</v>
      </c>
      <c r="M3" s="63">
        <f>ROUND(SUM(J3+J6)/150,0)</f>
        <v>22</v>
      </c>
    </row>
    <row r="4" spans="2:13">
      <c r="B4" s="62">
        <f t="shared" ref="B4:B5" si="0">IF(G4="","",MONTH(G4))</f>
        <v>7</v>
      </c>
      <c r="C4" s="144" t="s">
        <v>6</v>
      </c>
      <c r="D4" s="20" t="s">
        <v>81</v>
      </c>
      <c r="E4" s="5">
        <v>75</v>
      </c>
      <c r="F4" s="18" t="s">
        <v>39</v>
      </c>
      <c r="G4" s="18">
        <v>43656</v>
      </c>
    </row>
    <row r="5" spans="2:13" ht="15">
      <c r="B5" s="62">
        <f t="shared" si="0"/>
        <v>7</v>
      </c>
      <c r="C5" s="144" t="s">
        <v>6</v>
      </c>
      <c r="D5" s="20" t="s">
        <v>515</v>
      </c>
      <c r="E5" s="5">
        <v>75</v>
      </c>
      <c r="F5" s="18" t="s">
        <v>39</v>
      </c>
      <c r="G5" s="18">
        <v>43656</v>
      </c>
      <c r="J5" s="128" t="s">
        <v>457</v>
      </c>
      <c r="M5" s="128" t="s">
        <v>189</v>
      </c>
    </row>
    <row r="6" spans="2:13">
      <c r="B6" s="62"/>
      <c r="C6" s="144"/>
      <c r="D6" s="20"/>
      <c r="E6" s="5"/>
      <c r="F6" s="18"/>
      <c r="G6" s="18"/>
      <c r="J6" s="112">
        <v>1000</v>
      </c>
      <c r="M6" s="71">
        <f>SUM(E:E)</f>
        <v>225</v>
      </c>
    </row>
    <row r="7" spans="2:13">
      <c r="B7" s="62"/>
      <c r="C7" s="144"/>
      <c r="D7" s="20"/>
      <c r="E7" s="5"/>
      <c r="F7" s="18"/>
      <c r="G7" s="18"/>
    </row>
    <row r="8" spans="2:13">
      <c r="B8" s="62"/>
      <c r="C8" s="144"/>
      <c r="D8" s="20"/>
      <c r="E8" s="5"/>
      <c r="F8" s="18"/>
      <c r="G8" s="18"/>
    </row>
    <row r="9" spans="2:13">
      <c r="B9" s="62"/>
      <c r="C9" s="144"/>
      <c r="D9" s="20"/>
      <c r="E9" s="5"/>
      <c r="F9" s="18"/>
      <c r="G9" s="18"/>
    </row>
    <row r="10" spans="2:13">
      <c r="B10" s="62"/>
      <c r="C10" s="144"/>
      <c r="D10" s="20"/>
      <c r="E10" s="5"/>
      <c r="F10" s="18"/>
      <c r="G10" s="18"/>
    </row>
    <row r="11" spans="2:13">
      <c r="B11" s="62"/>
      <c r="C11" s="144"/>
      <c r="D11" s="20"/>
      <c r="E11" s="5"/>
      <c r="F11" s="18"/>
      <c r="G11" s="18"/>
    </row>
    <row r="12" spans="2:13">
      <c r="B12" s="62"/>
      <c r="C12" s="144"/>
      <c r="D12" s="20"/>
      <c r="E12" s="5"/>
      <c r="F12" s="18"/>
      <c r="G12" s="18"/>
    </row>
    <row r="13" spans="2:13">
      <c r="B13" s="62"/>
      <c r="C13" s="144"/>
      <c r="D13" s="20"/>
      <c r="E13" s="5"/>
      <c r="F13" s="18"/>
      <c r="G13" s="18"/>
    </row>
    <row r="14" spans="2:13">
      <c r="B14" s="62"/>
      <c r="C14" s="144"/>
      <c r="D14" s="20"/>
      <c r="E14" s="5"/>
      <c r="F14" s="18"/>
      <c r="G14" s="18"/>
    </row>
    <row r="15" spans="2:13">
      <c r="B15" s="62"/>
      <c r="C15" s="144"/>
      <c r="D15" s="20"/>
      <c r="E15" s="5"/>
      <c r="F15" s="18"/>
      <c r="G15" s="18"/>
    </row>
    <row r="16" spans="2:13">
      <c r="B16" s="62"/>
      <c r="C16" s="144"/>
      <c r="D16" s="20"/>
      <c r="E16" s="5"/>
      <c r="F16" s="18"/>
      <c r="G16" s="18"/>
    </row>
    <row r="17" spans="2:7">
      <c r="B17" s="62"/>
      <c r="C17" s="144"/>
      <c r="D17" s="20"/>
      <c r="E17" s="5"/>
      <c r="F17" s="18"/>
      <c r="G17" s="18"/>
    </row>
    <row r="18" spans="2:7">
      <c r="B18" s="62"/>
      <c r="C18" s="144"/>
      <c r="D18" s="20"/>
      <c r="E18" s="5"/>
      <c r="F18" s="18"/>
      <c r="G18" s="18"/>
    </row>
    <row r="19" spans="2:7">
      <c r="B19" s="62"/>
      <c r="C19" s="144"/>
      <c r="D19" s="20"/>
      <c r="E19" s="5"/>
      <c r="F19" s="18"/>
      <c r="G19" s="18"/>
    </row>
    <row r="20" spans="2:7">
      <c r="B20" s="62"/>
      <c r="C20" s="144"/>
      <c r="D20" s="20"/>
      <c r="E20" s="5"/>
      <c r="F20" s="18"/>
      <c r="G20" s="18"/>
    </row>
    <row r="21" spans="2:7">
      <c r="B21" s="62"/>
      <c r="C21" s="144"/>
      <c r="D21" s="20"/>
      <c r="E21" s="5"/>
      <c r="F21" s="18"/>
      <c r="G21" s="18"/>
    </row>
    <row r="22" spans="2:7">
      <c r="B22" s="62"/>
      <c r="C22" s="144"/>
      <c r="D22" s="20"/>
      <c r="E22" s="5"/>
      <c r="F22" s="18"/>
      <c r="G22" s="18"/>
    </row>
    <row r="23" spans="2:7">
      <c r="B23" s="62"/>
      <c r="C23" s="144"/>
      <c r="D23" s="20"/>
      <c r="E23" s="5"/>
      <c r="F23" s="18"/>
      <c r="G23" s="18"/>
    </row>
    <row r="24" spans="2:7">
      <c r="B24" s="62"/>
      <c r="C24" s="144"/>
      <c r="D24" s="20"/>
      <c r="E24" s="5"/>
      <c r="F24" s="18"/>
      <c r="G24" s="18"/>
    </row>
    <row r="25" spans="2:7">
      <c r="B25" s="62"/>
      <c r="C25" s="144"/>
      <c r="D25" s="20"/>
      <c r="E25" s="5"/>
      <c r="F25" s="18"/>
      <c r="G25" s="18"/>
    </row>
    <row r="26" spans="2:7">
      <c r="B26" s="62"/>
      <c r="C26" s="144"/>
      <c r="D26" s="20"/>
      <c r="E26" s="5"/>
      <c r="F26" s="18"/>
      <c r="G26" s="18"/>
    </row>
    <row r="27" spans="2:7">
      <c r="B27" s="62"/>
      <c r="C27" s="144"/>
      <c r="D27" s="20"/>
      <c r="E27" s="5"/>
      <c r="F27" s="18"/>
      <c r="G27" s="18"/>
    </row>
    <row r="28" spans="2:7">
      <c r="B28" s="62"/>
      <c r="C28" s="144"/>
      <c r="D28" s="20"/>
      <c r="E28" s="5"/>
      <c r="F28" s="18"/>
      <c r="G28" s="18"/>
    </row>
    <row r="29" spans="2:7">
      <c r="B29" s="62"/>
      <c r="C29" s="144"/>
      <c r="D29" s="20"/>
      <c r="E29" s="5"/>
      <c r="F29" s="18"/>
      <c r="G29" s="18"/>
    </row>
    <row r="30" spans="2:7">
      <c r="B30" s="62"/>
      <c r="C30" s="144"/>
      <c r="D30" s="20"/>
      <c r="E30" s="5"/>
      <c r="F30" s="18"/>
      <c r="G30" s="18"/>
    </row>
    <row r="31" spans="2:7">
      <c r="B31" s="62"/>
      <c r="C31" s="144"/>
      <c r="D31" s="20"/>
      <c r="E31" s="5"/>
      <c r="F31" s="18"/>
      <c r="G31" s="18"/>
    </row>
    <row r="32" spans="2:7">
      <c r="B32" s="62"/>
      <c r="C32" s="144"/>
      <c r="D32" s="20"/>
      <c r="E32" s="5"/>
      <c r="F32" s="18"/>
      <c r="G32" s="18"/>
    </row>
    <row r="33" spans="2:7">
      <c r="B33" s="62"/>
      <c r="C33" s="144"/>
      <c r="D33" s="20"/>
      <c r="E33" s="5"/>
      <c r="F33" s="18"/>
      <c r="G33" s="18"/>
    </row>
    <row r="34" spans="2:7">
      <c r="B34" s="62"/>
      <c r="C34" s="144"/>
      <c r="D34" s="20"/>
      <c r="E34" s="5"/>
      <c r="F34" s="18"/>
      <c r="G34" s="18"/>
    </row>
    <row r="35" spans="2:7">
      <c r="B35" s="62"/>
      <c r="C35" s="144"/>
      <c r="D35" s="20"/>
      <c r="E35" s="5"/>
      <c r="F35" s="18"/>
      <c r="G35" s="18"/>
    </row>
    <row r="36" spans="2:7">
      <c r="B36" s="62"/>
      <c r="C36" s="144"/>
      <c r="D36" s="20"/>
      <c r="E36" s="5"/>
      <c r="F36" s="18"/>
      <c r="G36" s="18"/>
    </row>
    <row r="37" spans="2:7">
      <c r="B37" s="62"/>
      <c r="C37" s="144"/>
      <c r="D37" s="20"/>
      <c r="E37" s="5"/>
      <c r="F37" s="18"/>
      <c r="G37" s="18"/>
    </row>
    <row r="38" spans="2:7">
      <c r="B38" s="62"/>
      <c r="C38" s="144"/>
      <c r="D38" s="20"/>
      <c r="E38" s="5"/>
      <c r="F38" s="18"/>
      <c r="G38" s="18"/>
    </row>
    <row r="39" spans="2:7">
      <c r="B39" s="62"/>
      <c r="C39" s="144"/>
      <c r="D39" s="20"/>
      <c r="E39" s="5"/>
      <c r="F39" s="18"/>
      <c r="G39" s="18"/>
    </row>
    <row r="40" spans="2:7">
      <c r="B40" s="62"/>
      <c r="C40" s="144"/>
      <c r="D40" s="20"/>
      <c r="E40" s="5"/>
      <c r="F40" s="18"/>
      <c r="G40" s="18"/>
    </row>
    <row r="41" spans="2:7">
      <c r="B41" s="62"/>
      <c r="C41" s="144"/>
      <c r="D41" s="20"/>
      <c r="E41" s="5"/>
      <c r="F41" s="18"/>
      <c r="G41" s="18"/>
    </row>
    <row r="42" spans="2:7">
      <c r="B42" s="62"/>
      <c r="C42" s="144"/>
      <c r="D42" s="20"/>
      <c r="E42" s="5"/>
      <c r="F42" s="18"/>
      <c r="G42" s="18"/>
    </row>
    <row r="43" spans="2:7">
      <c r="B43" s="62"/>
      <c r="C43" s="144"/>
      <c r="D43" s="20"/>
      <c r="E43" s="5"/>
      <c r="F43" s="18"/>
      <c r="G43" s="18"/>
    </row>
    <row r="44" spans="2:7">
      <c r="B44" s="62"/>
      <c r="C44" s="144"/>
      <c r="D44" s="20"/>
      <c r="E44" s="5"/>
      <c r="F44" s="18"/>
      <c r="G44" s="18"/>
    </row>
    <row r="45" spans="2:7">
      <c r="B45" s="62"/>
      <c r="C45" s="144"/>
      <c r="D45" s="20"/>
      <c r="E45" s="5"/>
      <c r="F45" s="18"/>
      <c r="G45" s="18"/>
    </row>
    <row r="46" spans="2:7">
      <c r="B46" s="62"/>
      <c r="C46" s="144"/>
      <c r="D46" s="20"/>
      <c r="E46" s="5"/>
      <c r="F46" s="18"/>
      <c r="G46" s="18"/>
    </row>
    <row r="47" spans="2:7">
      <c r="B47" s="62"/>
      <c r="C47" s="144"/>
      <c r="D47" s="20"/>
      <c r="E47" s="5"/>
      <c r="F47" s="18"/>
      <c r="G47" s="18"/>
    </row>
    <row r="48" spans="2:7">
      <c r="B48" s="62"/>
      <c r="C48" s="144"/>
      <c r="D48" s="20"/>
      <c r="E48" s="5"/>
      <c r="F48" s="18"/>
      <c r="G48" s="18"/>
    </row>
    <row r="49" spans="2:7">
      <c r="B49" s="62"/>
      <c r="C49" s="144"/>
      <c r="D49" s="20"/>
      <c r="E49" s="5"/>
      <c r="F49" s="18"/>
      <c r="G49" s="18"/>
    </row>
    <row r="50" spans="2:7">
      <c r="B50" s="62"/>
      <c r="C50" s="144"/>
      <c r="D50" s="20"/>
      <c r="E50" s="5"/>
      <c r="F50" s="18"/>
      <c r="G50" s="18"/>
    </row>
    <row r="51" spans="2:7">
      <c r="B51" s="62"/>
      <c r="C51" s="144"/>
      <c r="D51" s="20"/>
      <c r="E51" s="5"/>
      <c r="F51" s="18"/>
      <c r="G51" s="18"/>
    </row>
    <row r="52" spans="2:7">
      <c r="B52" s="62"/>
      <c r="C52" s="144"/>
      <c r="D52" s="20"/>
      <c r="E52" s="5"/>
      <c r="F52" s="18"/>
      <c r="G52" s="18"/>
    </row>
    <row r="53" spans="2:7">
      <c r="B53" s="62"/>
      <c r="C53" s="144"/>
      <c r="D53" s="20"/>
      <c r="E53" s="5"/>
      <c r="F53" s="18"/>
      <c r="G53" s="18"/>
    </row>
    <row r="54" spans="2:7">
      <c r="B54" s="62"/>
      <c r="C54" s="144"/>
      <c r="D54" s="20"/>
      <c r="E54" s="5"/>
      <c r="F54" s="18"/>
      <c r="G54" s="18"/>
    </row>
    <row r="55" spans="2:7">
      <c r="B55" s="62"/>
      <c r="C55" s="144"/>
      <c r="D55" s="20"/>
      <c r="E55" s="5"/>
      <c r="F55" s="18"/>
      <c r="G55" s="18"/>
    </row>
    <row r="56" spans="2:7">
      <c r="B56" s="62"/>
      <c r="C56" s="144"/>
      <c r="D56" s="20"/>
      <c r="E56" s="5"/>
      <c r="F56" s="18"/>
      <c r="G56" s="18"/>
    </row>
    <row r="57" spans="2:7">
      <c r="B57" s="62"/>
      <c r="C57" s="144"/>
      <c r="D57" s="20"/>
      <c r="E57" s="5"/>
      <c r="F57" s="18"/>
      <c r="G57" s="18"/>
    </row>
    <row r="58" spans="2:7">
      <c r="B58" s="62"/>
      <c r="C58" s="144"/>
      <c r="D58" s="20"/>
      <c r="E58" s="5"/>
      <c r="F58" s="18"/>
      <c r="G58" s="18"/>
    </row>
    <row r="59" spans="2:7">
      <c r="B59" s="62"/>
      <c r="C59" s="144"/>
      <c r="D59" s="20"/>
      <c r="E59" s="5"/>
      <c r="F59" s="18"/>
      <c r="G59" s="18"/>
    </row>
    <row r="60" spans="2:7">
      <c r="B60" s="62"/>
      <c r="C60" s="144"/>
      <c r="D60" s="20"/>
      <c r="E60" s="5"/>
      <c r="F60" s="18"/>
      <c r="G60" s="18"/>
    </row>
    <row r="61" spans="2:7">
      <c r="B61" s="62"/>
      <c r="C61" s="144"/>
      <c r="D61" s="20"/>
      <c r="E61" s="5"/>
      <c r="F61" s="18"/>
      <c r="G61" s="18"/>
    </row>
    <row r="62" spans="2:7">
      <c r="B62" s="62"/>
      <c r="C62" s="144"/>
      <c r="D62" s="20"/>
      <c r="E62" s="5"/>
      <c r="F62" s="18"/>
      <c r="G62" s="18"/>
    </row>
    <row r="63" spans="2:7">
      <c r="B63" s="62"/>
      <c r="C63" s="144"/>
      <c r="D63" s="20"/>
      <c r="E63" s="5"/>
      <c r="F63" s="18"/>
      <c r="G63" s="18"/>
    </row>
    <row r="64" spans="2:7">
      <c r="B64" s="62"/>
      <c r="C64" s="144"/>
      <c r="D64" s="20"/>
      <c r="E64" s="5"/>
      <c r="F64" s="18"/>
      <c r="G64" s="18"/>
    </row>
    <row r="65" spans="2:7">
      <c r="B65" s="62"/>
      <c r="C65" s="144"/>
      <c r="D65" s="20"/>
      <c r="E65" s="5"/>
      <c r="F65" s="18"/>
      <c r="G65" s="18"/>
    </row>
    <row r="66" spans="2:7">
      <c r="B66" s="62"/>
      <c r="C66" s="144"/>
      <c r="D66" s="20"/>
      <c r="E66" s="5"/>
      <c r="F66" s="18"/>
      <c r="G66" s="18"/>
    </row>
    <row r="67" spans="2:7">
      <c r="B67" s="62"/>
      <c r="C67" s="144"/>
      <c r="D67" s="20"/>
      <c r="E67" s="5"/>
      <c r="F67" s="18"/>
      <c r="G67" s="18"/>
    </row>
    <row r="68" spans="2:7">
      <c r="B68" s="62"/>
      <c r="C68" s="144"/>
      <c r="D68" s="20"/>
      <c r="E68" s="5"/>
      <c r="F68" s="18"/>
      <c r="G68" s="18"/>
    </row>
    <row r="69" spans="2:7">
      <c r="B69" s="62"/>
      <c r="C69" s="144"/>
      <c r="D69" s="20"/>
      <c r="E69" s="5"/>
      <c r="F69" s="18"/>
      <c r="G69" s="18"/>
    </row>
    <row r="70" spans="2:7">
      <c r="B70" s="62"/>
      <c r="C70" s="144"/>
      <c r="D70" s="20"/>
      <c r="E70" s="5"/>
      <c r="F70" s="18"/>
      <c r="G70" s="18"/>
    </row>
    <row r="71" spans="2:7">
      <c r="B71" s="62"/>
      <c r="C71" s="144"/>
      <c r="D71" s="20"/>
      <c r="E71" s="5"/>
      <c r="F71" s="18"/>
      <c r="G71" s="18"/>
    </row>
    <row r="72" spans="2:7">
      <c r="B72" s="62"/>
      <c r="C72" s="144"/>
      <c r="D72" s="20"/>
      <c r="E72" s="5"/>
      <c r="F72" s="18"/>
      <c r="G72" s="18"/>
    </row>
    <row r="73" spans="2:7">
      <c r="B73" s="62"/>
      <c r="C73" s="144"/>
      <c r="D73" s="20"/>
      <c r="E73" s="5"/>
      <c r="F73" s="18"/>
      <c r="G73" s="18"/>
    </row>
    <row r="74" spans="2:7">
      <c r="B74" s="62"/>
      <c r="C74" s="144"/>
      <c r="D74" s="20"/>
      <c r="E74" s="5"/>
      <c r="F74" s="18"/>
      <c r="G74" s="18"/>
    </row>
    <row r="75" spans="2:7">
      <c r="B75" s="62"/>
      <c r="C75" s="144"/>
      <c r="D75" s="20"/>
      <c r="E75" s="5"/>
      <c r="F75" s="18"/>
      <c r="G75" s="18"/>
    </row>
    <row r="76" spans="2:7">
      <c r="B76" s="62"/>
      <c r="C76" s="144"/>
      <c r="D76" s="20"/>
      <c r="E76" s="5"/>
      <c r="F76" s="18"/>
      <c r="G76" s="18"/>
    </row>
    <row r="77" spans="2:7">
      <c r="B77" s="62"/>
      <c r="C77" s="144"/>
      <c r="D77" s="20"/>
      <c r="E77" s="5"/>
      <c r="F77" s="18"/>
      <c r="G77" s="18"/>
    </row>
    <row r="78" spans="2:7">
      <c r="B78" s="62"/>
      <c r="C78" s="144"/>
      <c r="D78" s="20"/>
      <c r="E78" s="5"/>
      <c r="F78" s="18"/>
      <c r="G78" s="18"/>
    </row>
    <row r="79" spans="2:7">
      <c r="B79" s="62"/>
      <c r="C79" s="144"/>
      <c r="D79" s="20"/>
      <c r="E79" s="5"/>
      <c r="F79" s="18"/>
      <c r="G79" s="18"/>
    </row>
    <row r="80" spans="2:7">
      <c r="B80" s="62"/>
      <c r="C80" s="144"/>
      <c r="D80" s="20"/>
      <c r="E80" s="5"/>
      <c r="F80" s="18"/>
      <c r="G80" s="18"/>
    </row>
    <row r="81" spans="2:7">
      <c r="B81" s="62"/>
      <c r="C81" s="144"/>
      <c r="D81" s="20"/>
      <c r="E81" s="5"/>
      <c r="F81" s="18"/>
      <c r="G81" s="18"/>
    </row>
    <row r="82" spans="2:7">
      <c r="B82" s="62"/>
      <c r="C82" s="144"/>
      <c r="D82" s="20"/>
      <c r="E82" s="5"/>
      <c r="F82" s="18"/>
      <c r="G82" s="18"/>
    </row>
    <row r="83" spans="2:7">
      <c r="B83" s="62"/>
      <c r="C83" s="144"/>
      <c r="D83" s="20"/>
      <c r="E83" s="5"/>
      <c r="F83" s="18"/>
      <c r="G83" s="18"/>
    </row>
    <row r="84" spans="2:7">
      <c r="B84" s="62"/>
      <c r="C84" s="144"/>
      <c r="D84" s="20"/>
      <c r="E84" s="5"/>
      <c r="F84" s="18"/>
      <c r="G84" s="18"/>
    </row>
    <row r="85" spans="2:7">
      <c r="B85" s="62"/>
      <c r="C85" s="144"/>
      <c r="D85" s="20"/>
      <c r="E85" s="5"/>
      <c r="F85" s="18"/>
      <c r="G85" s="18"/>
    </row>
    <row r="86" spans="2:7">
      <c r="B86" s="62"/>
      <c r="C86" s="144"/>
      <c r="D86" s="20"/>
      <c r="E86" s="5"/>
      <c r="F86" s="18"/>
      <c r="G86" s="18"/>
    </row>
    <row r="87" spans="2:7">
      <c r="B87" s="62"/>
      <c r="C87" s="144"/>
      <c r="D87" s="20"/>
      <c r="E87" s="5"/>
      <c r="F87" s="18"/>
      <c r="G87" s="18"/>
    </row>
    <row r="88" spans="2:7">
      <c r="B88" s="62"/>
      <c r="C88" s="144"/>
      <c r="D88" s="20"/>
      <c r="E88" s="5"/>
      <c r="F88" s="18"/>
      <c r="G88" s="18"/>
    </row>
    <row r="89" spans="2:7">
      <c r="B89" s="62"/>
      <c r="C89" s="144"/>
      <c r="D89" s="20"/>
      <c r="E89" s="5"/>
      <c r="F89" s="18"/>
      <c r="G89" s="18"/>
    </row>
    <row r="90" spans="2:7">
      <c r="B90" s="62"/>
      <c r="C90" s="144"/>
      <c r="D90" s="20"/>
      <c r="E90" s="5"/>
      <c r="F90" s="18"/>
      <c r="G90" s="18"/>
    </row>
    <row r="91" spans="2:7">
      <c r="B91" s="62"/>
      <c r="C91" s="144"/>
      <c r="D91" s="20"/>
      <c r="E91" s="5"/>
      <c r="F91" s="18"/>
      <c r="G91" s="18"/>
    </row>
    <row r="92" spans="2:7">
      <c r="B92" s="62"/>
      <c r="C92" s="144"/>
      <c r="D92" s="20"/>
      <c r="E92" s="5"/>
      <c r="F92" s="18"/>
      <c r="G92" s="18"/>
    </row>
    <row r="93" spans="2:7">
      <c r="B93" s="62"/>
      <c r="C93" s="144"/>
      <c r="D93" s="20"/>
      <c r="E93" s="5"/>
      <c r="F93" s="18"/>
      <c r="G93" s="18"/>
    </row>
    <row r="94" spans="2:7">
      <c r="B94" s="62"/>
      <c r="C94" s="144"/>
      <c r="D94" s="20"/>
      <c r="E94" s="5"/>
      <c r="F94" s="18"/>
      <c r="G94" s="18"/>
    </row>
    <row r="95" spans="2:7">
      <c r="B95" s="62"/>
      <c r="C95" s="144"/>
      <c r="D95" s="20"/>
      <c r="E95" s="5"/>
      <c r="F95" s="18"/>
      <c r="G95" s="18"/>
    </row>
    <row r="96" spans="2:7">
      <c r="B96" s="62"/>
      <c r="C96" s="144"/>
      <c r="D96" s="20"/>
      <c r="E96" s="5"/>
      <c r="F96" s="18"/>
      <c r="G96" s="18"/>
    </row>
    <row r="97" spans="2:7">
      <c r="B97" s="62"/>
      <c r="C97" s="144"/>
      <c r="D97" s="20"/>
      <c r="E97" s="5"/>
      <c r="F97" s="18"/>
      <c r="G97" s="18"/>
    </row>
    <row r="98" spans="2:7">
      <c r="B98" s="62"/>
      <c r="C98" s="144"/>
      <c r="D98" s="20"/>
      <c r="E98" s="5"/>
      <c r="F98" s="18"/>
      <c r="G98" s="18"/>
    </row>
    <row r="99" spans="2:7">
      <c r="B99" s="62"/>
      <c r="C99" s="144"/>
      <c r="D99" s="20"/>
      <c r="E99" s="5"/>
      <c r="F99" s="18"/>
      <c r="G99" s="18"/>
    </row>
    <row r="100" spans="2:7">
      <c r="B100" s="62"/>
      <c r="C100" s="144"/>
      <c r="D100" s="20"/>
      <c r="E100" s="5"/>
      <c r="F100" s="18"/>
      <c r="G100" s="18"/>
    </row>
    <row r="101" spans="2:7">
      <c r="B101" s="62"/>
      <c r="C101" s="144"/>
      <c r="D101" s="20"/>
      <c r="E101" s="5"/>
      <c r="F101" s="18"/>
      <c r="G101" s="18"/>
    </row>
    <row r="102" spans="2:7">
      <c r="B102" s="62"/>
      <c r="C102" s="144"/>
      <c r="D102" s="20"/>
      <c r="E102" s="5"/>
      <c r="F102" s="18"/>
      <c r="G102" s="18"/>
    </row>
    <row r="103" spans="2:7">
      <c r="B103" s="62"/>
      <c r="C103" s="144"/>
      <c r="D103" s="20"/>
      <c r="E103" s="5"/>
      <c r="F103" s="18"/>
      <c r="G103" s="18"/>
    </row>
    <row r="104" spans="2:7">
      <c r="B104" s="62"/>
      <c r="C104" s="144"/>
      <c r="D104" s="20"/>
      <c r="E104" s="5"/>
      <c r="F104" s="18"/>
      <c r="G104" s="18"/>
    </row>
    <row r="105" spans="2:7">
      <c r="B105" s="62"/>
      <c r="C105" s="144"/>
      <c r="D105" s="20"/>
      <c r="E105" s="5"/>
      <c r="F105" s="18"/>
      <c r="G105" s="18"/>
    </row>
    <row r="106" spans="2:7">
      <c r="B106" s="62"/>
      <c r="C106" s="144"/>
      <c r="D106" s="20"/>
      <c r="E106" s="5"/>
      <c r="F106" s="18"/>
      <c r="G106" s="18"/>
    </row>
    <row r="107" spans="2:7">
      <c r="B107" s="62"/>
      <c r="C107" s="144"/>
      <c r="D107" s="20"/>
      <c r="E107" s="5"/>
      <c r="F107" s="18"/>
      <c r="G107" s="18"/>
    </row>
    <row r="108" spans="2:7">
      <c r="B108" s="62"/>
      <c r="C108" s="144"/>
      <c r="D108" s="20"/>
      <c r="E108" s="5"/>
      <c r="F108" s="18"/>
      <c r="G108" s="18"/>
    </row>
    <row r="109" spans="2:7">
      <c r="B109" s="62"/>
      <c r="C109" s="144"/>
      <c r="D109" s="20"/>
      <c r="E109" s="5"/>
      <c r="F109" s="18"/>
      <c r="G109" s="18"/>
    </row>
    <row r="110" spans="2:7">
      <c r="B110" s="62"/>
      <c r="C110" s="144"/>
      <c r="D110" s="20"/>
      <c r="E110" s="5"/>
      <c r="F110" s="18"/>
      <c r="G110" s="18"/>
    </row>
    <row r="111" spans="2:7">
      <c r="B111" s="62"/>
      <c r="C111" s="144"/>
      <c r="D111" s="20"/>
      <c r="E111" s="5"/>
      <c r="F111" s="18"/>
      <c r="G111" s="18"/>
    </row>
    <row r="112" spans="2:7">
      <c r="B112" s="62"/>
      <c r="C112" s="144"/>
      <c r="D112" s="20"/>
      <c r="E112" s="5"/>
      <c r="F112" s="18"/>
      <c r="G112" s="18"/>
    </row>
    <row r="113" spans="2:7">
      <c r="B113" s="62"/>
      <c r="C113" s="144"/>
      <c r="D113" s="20"/>
      <c r="E113" s="5"/>
      <c r="F113" s="18"/>
      <c r="G113" s="18"/>
    </row>
    <row r="114" spans="2:7">
      <c r="B114" s="62"/>
      <c r="C114" s="144"/>
      <c r="D114" s="20"/>
      <c r="E114" s="5"/>
      <c r="F114" s="18"/>
      <c r="G114" s="18"/>
    </row>
    <row r="115" spans="2:7">
      <c r="B115" s="62"/>
      <c r="C115" s="144"/>
      <c r="D115" s="20"/>
      <c r="E115" s="5"/>
      <c r="F115" s="18"/>
      <c r="G115" s="18"/>
    </row>
    <row r="116" spans="2:7">
      <c r="B116" s="62"/>
      <c r="C116" s="144"/>
      <c r="D116" s="20"/>
      <c r="E116" s="5"/>
      <c r="F116" s="18"/>
      <c r="G116" s="18"/>
    </row>
    <row r="117" spans="2:7">
      <c r="B117" s="62"/>
      <c r="C117" s="144"/>
      <c r="D117" s="20"/>
      <c r="E117" s="5"/>
      <c r="F117" s="18"/>
      <c r="G117" s="18"/>
    </row>
    <row r="118" spans="2:7">
      <c r="B118" s="62"/>
      <c r="C118" s="144"/>
      <c r="D118" s="20"/>
      <c r="E118" s="5"/>
      <c r="F118" s="18"/>
      <c r="G118" s="18"/>
    </row>
    <row r="119" spans="2:7">
      <c r="B119" s="62"/>
      <c r="C119" s="144"/>
      <c r="D119" s="20"/>
      <c r="E119" s="5"/>
      <c r="F119" s="18"/>
      <c r="G119" s="18"/>
    </row>
    <row r="120" spans="2:7">
      <c r="B120" s="62"/>
      <c r="C120" s="144"/>
      <c r="D120" s="20"/>
      <c r="E120" s="5"/>
      <c r="F120" s="18"/>
      <c r="G120" s="18"/>
    </row>
    <row r="121" spans="2:7">
      <c r="B121" s="62"/>
      <c r="C121" s="144"/>
      <c r="D121" s="20"/>
      <c r="E121" s="5"/>
      <c r="F121" s="18"/>
      <c r="G121" s="18"/>
    </row>
    <row r="122" spans="2:7">
      <c r="B122" s="62"/>
      <c r="C122" s="144"/>
      <c r="D122" s="20"/>
      <c r="E122" s="5"/>
      <c r="F122" s="18"/>
      <c r="G122" s="18"/>
    </row>
    <row r="123" spans="2:7">
      <c r="B123" s="62"/>
      <c r="C123" s="144"/>
      <c r="D123" s="20"/>
      <c r="E123" s="5"/>
      <c r="F123" s="18"/>
      <c r="G123" s="18"/>
    </row>
    <row r="124" spans="2:7">
      <c r="B124" s="62"/>
      <c r="C124" s="144"/>
      <c r="D124" s="20"/>
      <c r="E124" s="5"/>
      <c r="F124" s="18"/>
      <c r="G124" s="18"/>
    </row>
    <row r="125" spans="2:7">
      <c r="B125" s="62"/>
      <c r="C125" s="144"/>
      <c r="D125" s="20"/>
      <c r="E125" s="5"/>
      <c r="F125" s="18"/>
      <c r="G125" s="18"/>
    </row>
    <row r="126" spans="2:7">
      <c r="B126" s="62"/>
      <c r="C126" s="144"/>
      <c r="D126" s="20"/>
      <c r="E126" s="5"/>
      <c r="F126" s="18"/>
      <c r="G126" s="18"/>
    </row>
    <row r="127" spans="2:7">
      <c r="B127" s="62"/>
      <c r="C127" s="144"/>
      <c r="D127" s="20"/>
      <c r="E127" s="5"/>
      <c r="F127" s="18"/>
      <c r="G127" s="18"/>
    </row>
    <row r="128" spans="2:7">
      <c r="B128" s="62"/>
      <c r="C128" s="144"/>
      <c r="D128" s="20"/>
      <c r="E128" s="5"/>
      <c r="F128" s="18"/>
      <c r="G128" s="18"/>
    </row>
    <row r="129" spans="2:7">
      <c r="B129" s="62"/>
      <c r="C129" s="144"/>
      <c r="D129" s="20"/>
      <c r="E129" s="5"/>
      <c r="F129" s="18"/>
      <c r="G129" s="18"/>
    </row>
    <row r="130" spans="2:7">
      <c r="B130" s="62"/>
      <c r="C130" s="144"/>
      <c r="D130" s="20"/>
      <c r="E130" s="5"/>
      <c r="F130" s="18"/>
      <c r="G130" s="18"/>
    </row>
    <row r="131" spans="2:7">
      <c r="B131" s="62"/>
      <c r="C131" s="144"/>
      <c r="D131" s="20"/>
      <c r="E131" s="5"/>
      <c r="F131" s="18"/>
      <c r="G131" s="18"/>
    </row>
    <row r="132" spans="2:7">
      <c r="B132" s="62"/>
      <c r="C132" s="144"/>
      <c r="D132" s="20"/>
      <c r="E132" s="5"/>
      <c r="F132" s="18"/>
      <c r="G132" s="18"/>
    </row>
    <row r="133" spans="2:7">
      <c r="B133" s="62"/>
      <c r="C133" s="144"/>
      <c r="D133" s="20"/>
      <c r="E133" s="5"/>
      <c r="F133" s="18"/>
      <c r="G133" s="18"/>
    </row>
    <row r="134" spans="2:7">
      <c r="B134" s="62"/>
      <c r="C134" s="144"/>
      <c r="D134" s="20"/>
      <c r="E134" s="5"/>
      <c r="F134" s="18"/>
      <c r="G134" s="18"/>
    </row>
    <row r="135" spans="2:7">
      <c r="B135" s="62"/>
      <c r="C135" s="144"/>
      <c r="D135" s="20"/>
      <c r="E135" s="5"/>
      <c r="F135" s="18"/>
      <c r="G135" s="18"/>
    </row>
    <row r="136" spans="2:7">
      <c r="B136" s="62"/>
      <c r="C136" s="144"/>
      <c r="D136" s="20"/>
      <c r="E136" s="5"/>
      <c r="F136" s="18"/>
      <c r="G136" s="18"/>
    </row>
    <row r="137" spans="2:7">
      <c r="B137" s="62"/>
      <c r="C137" s="144"/>
      <c r="D137" s="20"/>
      <c r="E137" s="5"/>
      <c r="F137" s="18"/>
      <c r="G137" s="18"/>
    </row>
    <row r="138" spans="2:7">
      <c r="B138" s="62"/>
      <c r="C138" s="144"/>
      <c r="D138" s="20"/>
      <c r="E138" s="5"/>
      <c r="F138" s="18"/>
      <c r="G138" s="18"/>
    </row>
    <row r="139" spans="2:7">
      <c r="B139" s="62"/>
      <c r="C139" s="144"/>
      <c r="D139" s="20"/>
      <c r="E139" s="5"/>
      <c r="F139" s="18"/>
      <c r="G139" s="18"/>
    </row>
    <row r="140" spans="2:7">
      <c r="B140" s="62"/>
      <c r="C140" s="144"/>
      <c r="D140" s="20"/>
      <c r="E140" s="5"/>
      <c r="F140" s="18"/>
      <c r="G140" s="18"/>
    </row>
    <row r="141" spans="2:7">
      <c r="B141" s="62"/>
      <c r="C141" s="144"/>
      <c r="D141" s="20"/>
      <c r="E141" s="5"/>
      <c r="F141" s="18"/>
      <c r="G141" s="18"/>
    </row>
    <row r="142" spans="2:7">
      <c r="B142" s="62"/>
      <c r="C142" s="144"/>
      <c r="D142" s="20"/>
      <c r="E142" s="5"/>
      <c r="F142" s="18"/>
      <c r="G142" s="18"/>
    </row>
    <row r="143" spans="2:7">
      <c r="B143" s="62"/>
      <c r="C143" s="144"/>
      <c r="D143" s="20"/>
      <c r="E143" s="5"/>
      <c r="F143" s="18"/>
      <c r="G143" s="18"/>
    </row>
    <row r="144" spans="2:7">
      <c r="B144" s="62"/>
      <c r="C144" s="144"/>
      <c r="D144" s="20"/>
      <c r="E144" s="5"/>
      <c r="F144" s="18"/>
      <c r="G144" s="18"/>
    </row>
    <row r="145" spans="2:7">
      <c r="B145" s="62"/>
      <c r="C145" s="144"/>
      <c r="D145" s="20"/>
      <c r="E145" s="5"/>
      <c r="F145" s="18"/>
      <c r="G145" s="18"/>
    </row>
    <row r="146" spans="2:7">
      <c r="B146" s="62"/>
      <c r="C146" s="144"/>
      <c r="D146" s="20"/>
      <c r="E146" s="5"/>
      <c r="F146" s="18"/>
      <c r="G146" s="18"/>
    </row>
    <row r="147" spans="2:7">
      <c r="B147" s="62"/>
      <c r="C147" s="144"/>
      <c r="D147" s="20"/>
      <c r="E147" s="5"/>
      <c r="F147" s="18"/>
      <c r="G147" s="18"/>
    </row>
    <row r="148" spans="2:7">
      <c r="B148" s="62"/>
      <c r="C148" s="144"/>
      <c r="D148" s="20"/>
      <c r="E148" s="5"/>
      <c r="F148" s="18"/>
      <c r="G148" s="18"/>
    </row>
    <row r="149" spans="2:7">
      <c r="B149" s="62"/>
      <c r="C149" s="144"/>
      <c r="D149" s="20"/>
      <c r="E149" s="5"/>
      <c r="F149" s="18"/>
      <c r="G149" s="18"/>
    </row>
    <row r="150" spans="2:7">
      <c r="B150" s="62"/>
      <c r="C150" s="144"/>
      <c r="D150" s="20"/>
      <c r="E150" s="5"/>
      <c r="F150" s="18"/>
      <c r="G150" s="18"/>
    </row>
    <row r="151" spans="2:7">
      <c r="B151" s="62"/>
      <c r="C151" s="144"/>
      <c r="D151" s="20"/>
      <c r="E151" s="5"/>
      <c r="F151" s="18"/>
      <c r="G151" s="18"/>
    </row>
    <row r="152" spans="2:7">
      <c r="B152" s="62"/>
      <c r="C152" s="144"/>
      <c r="D152" s="20"/>
      <c r="E152" s="5"/>
      <c r="F152" s="18"/>
      <c r="G152" s="18"/>
    </row>
    <row r="153" spans="2:7">
      <c r="B153" s="62"/>
      <c r="C153" s="144"/>
      <c r="D153" s="20"/>
      <c r="E153" s="5"/>
      <c r="F153" s="18"/>
      <c r="G153" s="18"/>
    </row>
    <row r="154" spans="2:7">
      <c r="B154" s="62"/>
      <c r="C154" s="144"/>
      <c r="D154" s="20"/>
      <c r="E154" s="5"/>
      <c r="F154" s="18"/>
      <c r="G154" s="18"/>
    </row>
    <row r="155" spans="2:7">
      <c r="B155" s="62"/>
      <c r="C155" s="144"/>
      <c r="D155" s="20"/>
      <c r="E155" s="5"/>
      <c r="F155" s="18"/>
      <c r="G155" s="18"/>
    </row>
    <row r="156" spans="2:7">
      <c r="B156" s="62"/>
      <c r="C156" s="144"/>
      <c r="D156" s="20"/>
      <c r="E156" s="5"/>
      <c r="F156" s="18"/>
      <c r="G156" s="18"/>
    </row>
    <row r="157" spans="2:7">
      <c r="B157" s="62"/>
      <c r="C157" s="144"/>
      <c r="D157" s="20"/>
      <c r="E157" s="5"/>
      <c r="F157" s="18"/>
      <c r="G157" s="18"/>
    </row>
    <row r="158" spans="2:7">
      <c r="B158" s="62"/>
      <c r="C158" s="144"/>
      <c r="D158" s="20"/>
      <c r="E158" s="5"/>
      <c r="F158" s="18"/>
      <c r="G158" s="18"/>
    </row>
    <row r="159" spans="2:7">
      <c r="B159" s="62"/>
      <c r="C159" s="144"/>
      <c r="D159" s="20"/>
      <c r="E159" s="5"/>
      <c r="F159" s="18"/>
      <c r="G159" s="18"/>
    </row>
    <row r="160" spans="2:7">
      <c r="B160" s="62"/>
      <c r="C160" s="144"/>
      <c r="D160" s="20"/>
      <c r="E160" s="5"/>
      <c r="F160" s="18"/>
      <c r="G160" s="18"/>
    </row>
    <row r="161" spans="2:7">
      <c r="B161" s="62"/>
      <c r="C161" s="144"/>
      <c r="D161" s="20"/>
      <c r="E161" s="5"/>
      <c r="F161" s="18"/>
      <c r="G161" s="18"/>
    </row>
    <row r="162" spans="2:7">
      <c r="B162" s="62"/>
      <c r="C162" s="144"/>
      <c r="D162" s="20"/>
      <c r="E162" s="5"/>
      <c r="F162" s="18"/>
      <c r="G162" s="18"/>
    </row>
    <row r="163" spans="2:7">
      <c r="B163" s="62"/>
      <c r="C163" s="144"/>
      <c r="D163" s="20"/>
      <c r="E163" s="5"/>
      <c r="F163" s="18"/>
      <c r="G163" s="18"/>
    </row>
    <row r="164" spans="2:7">
      <c r="B164" s="62"/>
      <c r="C164" s="144"/>
      <c r="D164" s="20"/>
      <c r="E164" s="5"/>
      <c r="F164" s="18"/>
      <c r="G164" s="18"/>
    </row>
    <row r="165" spans="2:7">
      <c r="B165" s="62"/>
      <c r="C165" s="144"/>
      <c r="D165" s="20"/>
      <c r="E165" s="5"/>
      <c r="F165" s="18"/>
      <c r="G165" s="18"/>
    </row>
    <row r="166" spans="2:7">
      <c r="B166" s="62"/>
      <c r="C166" s="144"/>
      <c r="D166" s="20"/>
      <c r="E166" s="5"/>
      <c r="F166" s="18"/>
      <c r="G166" s="18"/>
    </row>
    <row r="167" spans="2:7">
      <c r="B167" s="62"/>
      <c r="C167" s="144"/>
      <c r="D167" s="20"/>
      <c r="E167" s="5"/>
      <c r="F167" s="18"/>
      <c r="G167" s="18"/>
    </row>
    <row r="168" spans="2:7">
      <c r="B168" s="62"/>
      <c r="C168" s="144"/>
      <c r="D168" s="20"/>
      <c r="E168" s="5"/>
      <c r="F168" s="18"/>
      <c r="G168" s="18"/>
    </row>
    <row r="169" spans="2:7">
      <c r="B169" s="62"/>
      <c r="C169" s="144"/>
      <c r="D169" s="20"/>
      <c r="E169" s="5"/>
      <c r="F169" s="18"/>
      <c r="G169" s="18"/>
    </row>
    <row r="170" spans="2:7">
      <c r="B170" s="62"/>
      <c r="C170" s="144"/>
      <c r="D170" s="20"/>
      <c r="E170" s="5"/>
      <c r="F170" s="18"/>
      <c r="G170" s="18"/>
    </row>
    <row r="171" spans="2:7">
      <c r="B171" s="62"/>
      <c r="C171" s="144"/>
      <c r="D171" s="20"/>
      <c r="E171" s="5"/>
      <c r="F171" s="18"/>
      <c r="G171" s="18"/>
    </row>
    <row r="172" spans="2:7">
      <c r="B172" s="62"/>
      <c r="C172" s="144"/>
      <c r="D172" s="20"/>
      <c r="E172" s="5"/>
      <c r="F172" s="18"/>
      <c r="G172" s="18"/>
    </row>
    <row r="173" spans="2:7">
      <c r="B173" s="62"/>
      <c r="C173" s="144"/>
      <c r="D173" s="20"/>
      <c r="E173" s="5"/>
      <c r="F173" s="18"/>
      <c r="G173" s="18"/>
    </row>
    <row r="174" spans="2:7">
      <c r="B174" s="62"/>
      <c r="C174" s="144"/>
      <c r="D174" s="20"/>
      <c r="E174" s="5"/>
      <c r="F174" s="18"/>
      <c r="G174" s="18"/>
    </row>
    <row r="175" spans="2:7">
      <c r="B175" s="62"/>
      <c r="C175" s="144"/>
      <c r="D175" s="20"/>
      <c r="E175" s="5"/>
      <c r="F175" s="18"/>
      <c r="G175" s="18"/>
    </row>
    <row r="176" spans="2:7">
      <c r="B176" s="62"/>
      <c r="C176" s="144"/>
      <c r="D176" s="20"/>
      <c r="E176" s="5"/>
      <c r="F176" s="18"/>
      <c r="G176" s="18"/>
    </row>
    <row r="177" spans="2:7">
      <c r="B177" s="62"/>
      <c r="C177" s="144"/>
      <c r="D177" s="20"/>
      <c r="E177" s="5"/>
      <c r="F177" s="18"/>
      <c r="G177" s="18"/>
    </row>
    <row r="178" spans="2:7">
      <c r="B178" s="62"/>
      <c r="C178" s="144"/>
      <c r="D178" s="20"/>
      <c r="E178" s="5"/>
      <c r="F178" s="18"/>
      <c r="G178" s="18"/>
    </row>
    <row r="179" spans="2:7">
      <c r="B179" s="62"/>
      <c r="C179" s="144"/>
      <c r="D179" s="20"/>
      <c r="E179" s="5"/>
      <c r="F179" s="18"/>
      <c r="G179" s="18"/>
    </row>
    <row r="180" spans="2:7">
      <c r="B180" s="62"/>
      <c r="C180" s="144"/>
      <c r="D180" s="20"/>
      <c r="E180" s="5"/>
      <c r="F180" s="18"/>
      <c r="G180" s="18"/>
    </row>
    <row r="181" spans="2:7">
      <c r="B181" s="62"/>
      <c r="C181" s="144"/>
      <c r="D181" s="20"/>
      <c r="E181" s="5"/>
      <c r="F181" s="18"/>
      <c r="G181" s="18"/>
    </row>
    <row r="182" spans="2:7">
      <c r="B182" s="62"/>
      <c r="C182" s="144"/>
      <c r="D182" s="20"/>
      <c r="E182" s="5"/>
      <c r="F182" s="18"/>
      <c r="G182" s="18"/>
    </row>
    <row r="183" spans="2:7">
      <c r="B183" s="62"/>
      <c r="C183" s="144"/>
      <c r="D183" s="20"/>
      <c r="E183" s="5"/>
      <c r="F183" s="18"/>
      <c r="G183" s="18"/>
    </row>
    <row r="184" spans="2:7">
      <c r="B184" s="62"/>
      <c r="C184" s="144"/>
      <c r="D184" s="20"/>
      <c r="E184" s="5"/>
      <c r="F184" s="18"/>
      <c r="G184" s="18"/>
    </row>
    <row r="185" spans="2:7">
      <c r="B185" s="62"/>
      <c r="C185" s="144"/>
      <c r="D185" s="20"/>
      <c r="E185" s="5"/>
      <c r="F185" s="18"/>
      <c r="G185" s="18"/>
    </row>
    <row r="186" spans="2:7">
      <c r="B186" s="62"/>
      <c r="C186" s="144"/>
      <c r="D186" s="20"/>
      <c r="E186" s="5"/>
      <c r="F186" s="18"/>
      <c r="G186" s="18"/>
    </row>
    <row r="187" spans="2:7">
      <c r="B187" s="62"/>
      <c r="C187" s="144"/>
      <c r="D187" s="20"/>
      <c r="E187" s="5"/>
      <c r="F187" s="18"/>
      <c r="G187" s="18"/>
    </row>
    <row r="188" spans="2:7">
      <c r="B188" s="62"/>
      <c r="C188" s="144"/>
      <c r="D188" s="20"/>
      <c r="E188" s="5"/>
      <c r="F188" s="18"/>
      <c r="G188" s="18"/>
    </row>
    <row r="189" spans="2:7">
      <c r="B189" s="62"/>
      <c r="C189" s="144"/>
      <c r="D189" s="20"/>
      <c r="E189" s="5"/>
      <c r="F189" s="18"/>
      <c r="G189" s="18"/>
    </row>
    <row r="190" spans="2:7">
      <c r="B190" s="62"/>
      <c r="C190" s="144"/>
      <c r="D190" s="20"/>
      <c r="E190" s="5"/>
      <c r="F190" s="18"/>
      <c r="G190" s="18"/>
    </row>
    <row r="191" spans="2:7">
      <c r="B191" s="62"/>
      <c r="C191" s="144"/>
      <c r="D191" s="20"/>
      <c r="E191" s="5"/>
      <c r="F191" s="18"/>
      <c r="G191" s="18"/>
    </row>
    <row r="192" spans="2:7">
      <c r="B192" s="62"/>
      <c r="C192" s="144"/>
      <c r="D192" s="20"/>
      <c r="E192" s="5"/>
      <c r="F192" s="18"/>
      <c r="G192" s="18"/>
    </row>
    <row r="193" spans="2:7">
      <c r="B193" s="62"/>
      <c r="C193" s="144"/>
      <c r="D193" s="20"/>
      <c r="E193" s="5"/>
      <c r="F193" s="18"/>
      <c r="G193" s="18"/>
    </row>
    <row r="194" spans="2:7">
      <c r="B194" s="62"/>
      <c r="C194" s="144"/>
      <c r="D194" s="20"/>
      <c r="E194" s="5"/>
      <c r="F194" s="18"/>
      <c r="G194" s="18"/>
    </row>
    <row r="195" spans="2:7">
      <c r="B195" s="62"/>
      <c r="C195" s="144"/>
      <c r="D195" s="20"/>
      <c r="E195" s="5"/>
      <c r="F195" s="18"/>
      <c r="G195" s="18"/>
    </row>
    <row r="196" spans="2:7">
      <c r="B196" s="62"/>
      <c r="C196" s="144"/>
      <c r="D196" s="20"/>
      <c r="E196" s="5"/>
      <c r="F196" s="18"/>
      <c r="G196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E220"/>
  <sheetViews>
    <sheetView showGridLines="0" workbookViewId="0">
      <pane ySplit="2" topLeftCell="A3" activePane="bottomLeft" state="frozen"/>
      <selection activeCell="E58" sqref="E58"/>
      <selection pane="bottomLeft" activeCell="D3" sqref="D3"/>
    </sheetView>
  </sheetViews>
  <sheetFormatPr defaultRowHeight="14.25"/>
  <cols>
    <col min="2" max="3" width="11.75" style="35" customWidth="1"/>
    <col min="4" max="5" width="11.75" customWidth="1"/>
  </cols>
  <sheetData>
    <row r="1" spans="2:5" ht="15">
      <c r="B1" s="50" t="s">
        <v>538</v>
      </c>
    </row>
    <row r="2" spans="2:5">
      <c r="B2" s="15" t="s">
        <v>55</v>
      </c>
      <c r="C2" s="15" t="s">
        <v>30</v>
      </c>
      <c r="D2" s="16" t="s">
        <v>36</v>
      </c>
      <c r="E2" s="16" t="s">
        <v>31</v>
      </c>
    </row>
    <row r="3" spans="2:5">
      <c r="B3" s="41"/>
      <c r="C3" s="34"/>
      <c r="D3" s="20"/>
      <c r="E3" s="21"/>
    </row>
    <row r="4" spans="2:5">
      <c r="B4" s="36"/>
      <c r="C4" s="34"/>
      <c r="D4" s="20"/>
      <c r="E4" s="21"/>
    </row>
    <row r="5" spans="2:5">
      <c r="B5" s="41"/>
      <c r="C5" s="34"/>
      <c r="D5" s="20"/>
      <c r="E5" s="21"/>
    </row>
    <row r="6" spans="2:5">
      <c r="B6" s="41"/>
      <c r="C6" s="34"/>
      <c r="D6" s="20"/>
      <c r="E6" s="21"/>
    </row>
    <row r="7" spans="2:5">
      <c r="B7" s="41"/>
      <c r="C7" s="34"/>
      <c r="D7" s="20"/>
      <c r="E7" s="21"/>
    </row>
    <row r="8" spans="2:5">
      <c r="B8" s="41"/>
      <c r="C8" s="34"/>
      <c r="D8" s="20"/>
      <c r="E8" s="21"/>
    </row>
    <row r="9" spans="2:5">
      <c r="B9" s="41"/>
      <c r="C9" s="34"/>
      <c r="D9" s="20"/>
      <c r="E9" s="21"/>
    </row>
    <row r="10" spans="2:5">
      <c r="B10" s="41"/>
      <c r="C10" s="34"/>
      <c r="D10" s="20"/>
      <c r="E10" s="21"/>
    </row>
    <row r="11" spans="2:5">
      <c r="B11" s="41"/>
      <c r="C11" s="34"/>
      <c r="D11" s="20"/>
      <c r="E11" s="21"/>
    </row>
    <row r="12" spans="2:5">
      <c r="B12" s="41"/>
      <c r="C12" s="34"/>
      <c r="D12" s="20"/>
      <c r="E12" s="21"/>
    </row>
    <row r="13" spans="2:5">
      <c r="B13" s="41"/>
      <c r="C13" s="34"/>
      <c r="D13" s="20"/>
      <c r="E13" s="21"/>
    </row>
    <row r="14" spans="2:5">
      <c r="B14" s="61"/>
      <c r="C14" s="34"/>
      <c r="D14" s="20"/>
      <c r="E14" s="21"/>
    </row>
    <row r="15" spans="2:5">
      <c r="B15" s="41"/>
      <c r="C15" s="34"/>
      <c r="D15" s="20"/>
      <c r="E15" s="21"/>
    </row>
    <row r="16" spans="2:5">
      <c r="B16" s="41"/>
      <c r="C16" s="34"/>
      <c r="D16" s="20"/>
      <c r="E16" s="21"/>
    </row>
    <row r="18" spans="2:5">
      <c r="B18" s="34"/>
      <c r="C18" s="34"/>
      <c r="D18" s="20"/>
      <c r="E18" s="21"/>
    </row>
    <row r="19" spans="2:5">
      <c r="B19" s="34"/>
      <c r="C19" s="34"/>
      <c r="D19" s="20"/>
      <c r="E19" s="21"/>
    </row>
    <row r="20" spans="2:5">
      <c r="B20" s="34"/>
      <c r="C20" s="34"/>
      <c r="D20" s="20"/>
      <c r="E20" s="21"/>
    </row>
    <row r="21" spans="2:5">
      <c r="B21" s="34"/>
      <c r="C21" s="34"/>
      <c r="D21" s="20"/>
      <c r="E21" s="21"/>
    </row>
    <row r="22" spans="2:5">
      <c r="B22" s="34"/>
      <c r="C22" s="34"/>
      <c r="D22" s="20"/>
      <c r="E22" s="21"/>
    </row>
    <row r="23" spans="2:5">
      <c r="B23" s="34"/>
      <c r="C23" s="34"/>
      <c r="D23" s="20"/>
      <c r="E23" s="21"/>
    </row>
    <row r="24" spans="2:5">
      <c r="B24" s="34"/>
      <c r="C24" s="34"/>
      <c r="D24" s="20"/>
      <c r="E24" s="21"/>
    </row>
    <row r="25" spans="2:5">
      <c r="B25" s="34"/>
      <c r="C25" s="34"/>
      <c r="D25" s="20"/>
      <c r="E25" s="21"/>
    </row>
    <row r="26" spans="2:5">
      <c r="B26" s="34"/>
      <c r="C26" s="34"/>
      <c r="D26" s="20"/>
      <c r="E26" s="21"/>
    </row>
    <row r="27" spans="2:5">
      <c r="B27" s="34"/>
      <c r="C27" s="34"/>
      <c r="D27" s="20"/>
      <c r="E27" s="21"/>
    </row>
    <row r="28" spans="2:5">
      <c r="B28" s="34"/>
      <c r="C28" s="34"/>
      <c r="D28" s="20"/>
      <c r="E28" s="21"/>
    </row>
    <row r="29" spans="2:5">
      <c r="B29" s="34"/>
      <c r="C29" s="34"/>
      <c r="D29" s="20"/>
      <c r="E29" s="21"/>
    </row>
    <row r="30" spans="2:5">
      <c r="B30" s="34"/>
      <c r="C30" s="34"/>
      <c r="D30" s="20"/>
      <c r="E30" s="21"/>
    </row>
    <row r="31" spans="2:5">
      <c r="B31" s="34"/>
      <c r="C31" s="34"/>
      <c r="D31" s="20"/>
      <c r="E31" s="21"/>
    </row>
    <row r="32" spans="2:5">
      <c r="B32" s="34"/>
      <c r="C32" s="34"/>
      <c r="D32" s="20"/>
      <c r="E32" s="21"/>
    </row>
    <row r="33" spans="2:5">
      <c r="B33" s="34"/>
      <c r="C33" s="34"/>
      <c r="D33" s="20"/>
      <c r="E33" s="21"/>
    </row>
    <row r="34" spans="2:5">
      <c r="B34" s="34"/>
      <c r="C34" s="34"/>
      <c r="D34" s="20"/>
      <c r="E34" s="21"/>
    </row>
    <row r="35" spans="2:5">
      <c r="B35" s="34"/>
      <c r="C35" s="34"/>
      <c r="D35" s="20"/>
      <c r="E35" s="21"/>
    </row>
    <row r="36" spans="2:5">
      <c r="B36" s="34"/>
      <c r="C36" s="34"/>
      <c r="D36" s="20"/>
      <c r="E36" s="21"/>
    </row>
    <row r="37" spans="2:5">
      <c r="B37" s="34"/>
      <c r="C37" s="34"/>
      <c r="D37" s="20"/>
      <c r="E37" s="21"/>
    </row>
    <row r="38" spans="2:5">
      <c r="B38" s="34"/>
      <c r="C38" s="34"/>
      <c r="D38" s="20"/>
      <c r="E38" s="21"/>
    </row>
    <row r="39" spans="2:5">
      <c r="B39" s="34"/>
      <c r="C39" s="34"/>
      <c r="D39" s="20"/>
      <c r="E39" s="21"/>
    </row>
    <row r="40" spans="2:5">
      <c r="B40" s="34"/>
      <c r="C40" s="34"/>
      <c r="D40" s="20"/>
      <c r="E40" s="21"/>
    </row>
    <row r="41" spans="2:5">
      <c r="B41" s="34"/>
      <c r="C41" s="34"/>
      <c r="D41" s="20"/>
      <c r="E41" s="21"/>
    </row>
    <row r="42" spans="2:5">
      <c r="B42" s="34"/>
      <c r="C42" s="34"/>
      <c r="D42" s="20"/>
      <c r="E42" s="21"/>
    </row>
    <row r="43" spans="2:5">
      <c r="B43" s="34"/>
      <c r="C43" s="34"/>
      <c r="D43" s="20"/>
      <c r="E43" s="21"/>
    </row>
    <row r="44" spans="2:5">
      <c r="B44" s="34"/>
      <c r="C44" s="34"/>
      <c r="D44" s="20"/>
      <c r="E44" s="21"/>
    </row>
    <row r="45" spans="2:5">
      <c r="B45" s="34"/>
      <c r="C45" s="34"/>
      <c r="D45" s="20"/>
      <c r="E45" s="21"/>
    </row>
    <row r="46" spans="2:5">
      <c r="B46" s="34"/>
      <c r="C46" s="34"/>
      <c r="D46" s="20"/>
      <c r="E46" s="21"/>
    </row>
    <row r="47" spans="2:5">
      <c r="B47" s="34"/>
      <c r="C47" s="34"/>
      <c r="D47" s="20"/>
      <c r="E47" s="21"/>
    </row>
    <row r="48" spans="2:5">
      <c r="B48" s="34"/>
      <c r="C48" s="34"/>
      <c r="D48" s="20"/>
      <c r="E48" s="21"/>
    </row>
    <row r="49" spans="2:5">
      <c r="B49" s="34"/>
      <c r="C49" s="34"/>
      <c r="D49" s="20"/>
      <c r="E49" s="21"/>
    </row>
    <row r="50" spans="2:5">
      <c r="B50" s="34"/>
      <c r="C50" s="34"/>
      <c r="D50" s="20"/>
      <c r="E50" s="21"/>
    </row>
    <row r="51" spans="2:5">
      <c r="B51" s="34"/>
      <c r="C51" s="34"/>
      <c r="D51" s="20"/>
      <c r="E51" s="21"/>
    </row>
    <row r="52" spans="2:5">
      <c r="B52" s="34"/>
      <c r="C52" s="34"/>
      <c r="D52" s="20"/>
      <c r="E52" s="21"/>
    </row>
    <row r="53" spans="2:5">
      <c r="B53" s="34"/>
      <c r="C53" s="34"/>
      <c r="D53" s="20"/>
      <c r="E53" s="21"/>
    </row>
    <row r="54" spans="2:5">
      <c r="B54" s="34"/>
      <c r="C54" s="34"/>
      <c r="D54" s="20"/>
      <c r="E54" s="21"/>
    </row>
    <row r="55" spans="2:5">
      <c r="B55" s="34"/>
      <c r="C55" s="34"/>
      <c r="D55" s="20"/>
      <c r="E55" s="21"/>
    </row>
    <row r="56" spans="2:5">
      <c r="B56" s="34"/>
      <c r="C56" s="34"/>
      <c r="D56" s="20"/>
      <c r="E56" s="21"/>
    </row>
    <row r="57" spans="2:5">
      <c r="B57" s="34"/>
      <c r="C57" s="34"/>
      <c r="D57" s="20"/>
      <c r="E57" s="21"/>
    </row>
    <row r="58" spans="2:5">
      <c r="B58" s="34"/>
      <c r="C58" s="34"/>
      <c r="D58" s="20"/>
      <c r="E58" s="21"/>
    </row>
    <row r="59" spans="2:5">
      <c r="B59" s="34"/>
      <c r="C59" s="34"/>
      <c r="D59" s="20"/>
      <c r="E59" s="21"/>
    </row>
    <row r="60" spans="2:5">
      <c r="B60" s="34"/>
      <c r="C60" s="34"/>
      <c r="D60" s="20"/>
      <c r="E60" s="21"/>
    </row>
    <row r="61" spans="2:5">
      <c r="B61" s="34"/>
      <c r="C61" s="34"/>
      <c r="D61" s="20"/>
      <c r="E61" s="21"/>
    </row>
    <row r="62" spans="2:5">
      <c r="B62" s="34"/>
      <c r="C62" s="34"/>
      <c r="D62" s="20"/>
      <c r="E62" s="21"/>
    </row>
    <row r="63" spans="2:5">
      <c r="B63" s="34"/>
      <c r="C63" s="34"/>
      <c r="D63" s="20"/>
      <c r="E63" s="21"/>
    </row>
    <row r="64" spans="2:5">
      <c r="B64" s="34"/>
      <c r="C64" s="34"/>
      <c r="D64" s="20"/>
      <c r="E64" s="21"/>
    </row>
    <row r="65" spans="2:5">
      <c r="B65" s="34"/>
      <c r="C65" s="34"/>
      <c r="D65" s="20"/>
      <c r="E65" s="21"/>
    </row>
    <row r="66" spans="2:5">
      <c r="B66" s="34"/>
      <c r="C66" s="34"/>
      <c r="D66" s="20"/>
      <c r="E66" s="21"/>
    </row>
    <row r="67" spans="2:5">
      <c r="B67" s="34"/>
      <c r="C67" s="34"/>
      <c r="D67" s="20"/>
      <c r="E67" s="21"/>
    </row>
    <row r="68" spans="2:5">
      <c r="B68" s="34"/>
      <c r="C68" s="34"/>
      <c r="D68" s="20"/>
      <c r="E68" s="21"/>
    </row>
    <row r="69" spans="2:5">
      <c r="B69" s="34"/>
      <c r="C69" s="34"/>
      <c r="D69" s="20"/>
      <c r="E69" s="21"/>
    </row>
    <row r="70" spans="2:5">
      <c r="B70" s="34"/>
      <c r="C70" s="34"/>
      <c r="D70" s="20"/>
      <c r="E70" s="21"/>
    </row>
    <row r="71" spans="2:5">
      <c r="B71" s="34"/>
      <c r="C71" s="34"/>
      <c r="D71" s="20"/>
      <c r="E71" s="21"/>
    </row>
    <row r="72" spans="2:5">
      <c r="B72" s="34"/>
      <c r="C72" s="34"/>
      <c r="D72" s="20"/>
      <c r="E72" s="21"/>
    </row>
    <row r="73" spans="2:5">
      <c r="B73" s="34"/>
      <c r="C73" s="34"/>
      <c r="D73" s="20"/>
      <c r="E73" s="21"/>
    </row>
    <row r="74" spans="2:5">
      <c r="B74" s="34"/>
      <c r="C74" s="34"/>
      <c r="D74" s="20"/>
      <c r="E74" s="21"/>
    </row>
    <row r="75" spans="2:5">
      <c r="B75" s="34"/>
      <c r="C75" s="34"/>
      <c r="D75" s="20"/>
      <c r="E75" s="21"/>
    </row>
    <row r="76" spans="2:5">
      <c r="B76" s="34"/>
      <c r="C76" s="34"/>
      <c r="D76" s="20"/>
      <c r="E76" s="21"/>
    </row>
    <row r="77" spans="2:5">
      <c r="B77" s="34"/>
      <c r="C77" s="34"/>
      <c r="D77" s="20"/>
      <c r="E77" s="21"/>
    </row>
    <row r="78" spans="2:5">
      <c r="B78" s="34"/>
      <c r="C78" s="34"/>
      <c r="D78" s="20"/>
      <c r="E78" s="21"/>
    </row>
    <row r="79" spans="2:5">
      <c r="B79" s="34"/>
      <c r="C79" s="34"/>
      <c r="D79" s="20"/>
      <c r="E79" s="21"/>
    </row>
    <row r="80" spans="2:5">
      <c r="B80" s="34"/>
      <c r="C80" s="34"/>
      <c r="D80" s="20"/>
      <c r="E80" s="21"/>
    </row>
    <row r="81" spans="2:5">
      <c r="B81" s="34"/>
      <c r="C81" s="34"/>
      <c r="D81" s="20"/>
      <c r="E81" s="21"/>
    </row>
    <row r="82" spans="2:5">
      <c r="B82" s="34"/>
      <c r="C82" s="34"/>
      <c r="D82" s="20"/>
      <c r="E82" s="21"/>
    </row>
    <row r="83" spans="2:5">
      <c r="B83" s="34"/>
      <c r="C83" s="34"/>
      <c r="D83" s="20"/>
      <c r="E83" s="21"/>
    </row>
    <row r="84" spans="2:5">
      <c r="B84" s="34"/>
      <c r="C84" s="34"/>
      <c r="D84" s="20"/>
      <c r="E84" s="21"/>
    </row>
    <row r="85" spans="2:5">
      <c r="B85" s="34"/>
      <c r="C85" s="34"/>
      <c r="D85" s="20"/>
      <c r="E85" s="21"/>
    </row>
    <row r="86" spans="2:5">
      <c r="B86" s="34"/>
      <c r="C86" s="34"/>
      <c r="D86" s="20"/>
      <c r="E86" s="21"/>
    </row>
    <row r="87" spans="2:5">
      <c r="B87" s="34"/>
      <c r="C87" s="34"/>
      <c r="D87" s="20"/>
      <c r="E87" s="21"/>
    </row>
    <row r="88" spans="2:5">
      <c r="B88" s="34"/>
      <c r="C88" s="34"/>
      <c r="D88" s="20"/>
      <c r="E88" s="21"/>
    </row>
    <row r="89" spans="2:5">
      <c r="B89" s="34"/>
      <c r="C89" s="34"/>
      <c r="D89" s="20"/>
      <c r="E89" s="21"/>
    </row>
    <row r="90" spans="2:5">
      <c r="B90" s="34"/>
      <c r="C90" s="34"/>
      <c r="D90" s="20"/>
      <c r="E90" s="21"/>
    </row>
    <row r="91" spans="2:5">
      <c r="B91" s="34"/>
      <c r="C91" s="34"/>
      <c r="D91" s="20"/>
      <c r="E91" s="21"/>
    </row>
    <row r="92" spans="2:5">
      <c r="B92" s="34"/>
      <c r="C92" s="34"/>
      <c r="D92" s="20"/>
      <c r="E92" s="21"/>
    </row>
    <row r="93" spans="2:5">
      <c r="B93" s="34"/>
      <c r="C93" s="34"/>
      <c r="D93" s="20"/>
      <c r="E93" s="21"/>
    </row>
    <row r="94" spans="2:5">
      <c r="B94" s="34"/>
      <c r="C94" s="34"/>
      <c r="D94" s="20"/>
      <c r="E94" s="21"/>
    </row>
    <row r="95" spans="2:5">
      <c r="B95" s="34"/>
      <c r="C95" s="34"/>
      <c r="D95" s="20"/>
      <c r="E95" s="21"/>
    </row>
    <row r="96" spans="2:5">
      <c r="B96" s="34"/>
      <c r="C96" s="34"/>
      <c r="D96" s="20"/>
      <c r="E96" s="21"/>
    </row>
    <row r="97" spans="2:5">
      <c r="B97" s="34"/>
      <c r="C97" s="34"/>
      <c r="D97" s="20"/>
      <c r="E97" s="21"/>
    </row>
    <row r="98" spans="2:5">
      <c r="B98" s="34"/>
      <c r="C98" s="34"/>
      <c r="D98" s="20"/>
      <c r="E98" s="21"/>
    </row>
    <row r="99" spans="2:5">
      <c r="B99" s="34"/>
      <c r="C99" s="34"/>
      <c r="D99" s="20"/>
      <c r="E99" s="21"/>
    </row>
    <row r="100" spans="2:5">
      <c r="B100" s="34"/>
      <c r="C100" s="34"/>
      <c r="D100" s="20"/>
      <c r="E100" s="21"/>
    </row>
    <row r="101" spans="2:5">
      <c r="B101" s="34"/>
      <c r="C101" s="34"/>
      <c r="D101" s="20"/>
      <c r="E101" s="21"/>
    </row>
    <row r="102" spans="2:5">
      <c r="B102" s="34"/>
      <c r="C102" s="34"/>
      <c r="D102" s="20"/>
      <c r="E102" s="21"/>
    </row>
    <row r="103" spans="2:5">
      <c r="B103" s="34"/>
      <c r="C103" s="34"/>
      <c r="D103" s="20"/>
      <c r="E103" s="21"/>
    </row>
    <row r="104" spans="2:5">
      <c r="B104" s="34"/>
      <c r="C104" s="34"/>
      <c r="D104" s="20"/>
      <c r="E104" s="21"/>
    </row>
    <row r="105" spans="2:5">
      <c r="B105" s="34"/>
      <c r="C105" s="34"/>
      <c r="D105" s="20"/>
      <c r="E105" s="21"/>
    </row>
    <row r="106" spans="2:5">
      <c r="B106" s="34"/>
      <c r="C106" s="34"/>
      <c r="D106" s="20"/>
      <c r="E106" s="21"/>
    </row>
    <row r="107" spans="2:5">
      <c r="B107" s="34"/>
      <c r="C107" s="34"/>
      <c r="D107" s="20"/>
      <c r="E107" s="21"/>
    </row>
    <row r="108" spans="2:5">
      <c r="B108" s="34"/>
      <c r="C108" s="34"/>
      <c r="D108" s="20"/>
      <c r="E108" s="21"/>
    </row>
    <row r="109" spans="2:5">
      <c r="B109" s="34"/>
      <c r="C109" s="34"/>
      <c r="D109" s="20"/>
      <c r="E109" s="21"/>
    </row>
    <row r="110" spans="2:5">
      <c r="B110" s="34"/>
      <c r="C110" s="34"/>
      <c r="D110" s="20"/>
      <c r="E110" s="21"/>
    </row>
    <row r="111" spans="2:5">
      <c r="B111" s="34"/>
      <c r="C111" s="34"/>
      <c r="D111" s="20"/>
      <c r="E111" s="21"/>
    </row>
    <row r="112" spans="2:5">
      <c r="B112" s="34"/>
      <c r="C112" s="34"/>
      <c r="D112" s="20"/>
      <c r="E112" s="21"/>
    </row>
    <row r="113" spans="2:5">
      <c r="B113" s="34"/>
      <c r="C113" s="34"/>
      <c r="D113" s="20"/>
      <c r="E113" s="21"/>
    </row>
    <row r="114" spans="2:5">
      <c r="B114" s="34"/>
      <c r="C114" s="34"/>
      <c r="D114" s="20"/>
      <c r="E114" s="21"/>
    </row>
    <row r="115" spans="2:5">
      <c r="B115" s="34"/>
      <c r="C115" s="34"/>
      <c r="D115" s="20"/>
      <c r="E115" s="21"/>
    </row>
    <row r="116" spans="2:5">
      <c r="B116" s="34"/>
      <c r="C116" s="34"/>
      <c r="D116" s="20"/>
      <c r="E116" s="21"/>
    </row>
    <row r="117" spans="2:5">
      <c r="B117" s="34"/>
      <c r="C117" s="34"/>
      <c r="D117" s="20"/>
      <c r="E117" s="21"/>
    </row>
    <row r="118" spans="2:5">
      <c r="B118" s="34"/>
      <c r="C118" s="34"/>
      <c r="D118" s="20"/>
      <c r="E118" s="21"/>
    </row>
    <row r="119" spans="2:5">
      <c r="B119" s="34"/>
      <c r="C119" s="34"/>
      <c r="D119" s="20"/>
      <c r="E119" s="21"/>
    </row>
    <row r="120" spans="2:5">
      <c r="B120" s="34"/>
      <c r="C120" s="34"/>
      <c r="D120" s="20"/>
      <c r="E120" s="21"/>
    </row>
    <row r="121" spans="2:5">
      <c r="B121" s="34"/>
      <c r="C121" s="34"/>
      <c r="D121" s="20"/>
      <c r="E121" s="21"/>
    </row>
    <row r="122" spans="2:5">
      <c r="B122" s="34"/>
      <c r="C122" s="34"/>
      <c r="D122" s="20"/>
      <c r="E122" s="21"/>
    </row>
    <row r="123" spans="2:5">
      <c r="B123" s="34"/>
      <c r="C123" s="34"/>
      <c r="D123" s="20"/>
      <c r="E123" s="21"/>
    </row>
    <row r="124" spans="2:5">
      <c r="B124" s="34"/>
      <c r="C124" s="34"/>
      <c r="D124" s="20"/>
      <c r="E124" s="21"/>
    </row>
    <row r="125" spans="2:5">
      <c r="B125" s="34"/>
      <c r="C125" s="34"/>
      <c r="D125" s="20"/>
      <c r="E125" s="21"/>
    </row>
    <row r="126" spans="2:5">
      <c r="B126" s="34"/>
      <c r="C126" s="34"/>
      <c r="D126" s="20"/>
      <c r="E126" s="21"/>
    </row>
    <row r="127" spans="2:5">
      <c r="B127" s="34"/>
      <c r="C127" s="34"/>
      <c r="D127" s="20"/>
      <c r="E127" s="21"/>
    </row>
    <row r="128" spans="2:5">
      <c r="B128" s="34"/>
      <c r="C128" s="34"/>
      <c r="D128" s="20"/>
      <c r="E128" s="21"/>
    </row>
    <row r="129" spans="2:5">
      <c r="B129" s="34"/>
      <c r="C129" s="34"/>
      <c r="D129" s="20"/>
      <c r="E129" s="21"/>
    </row>
    <row r="130" spans="2:5">
      <c r="B130" s="34"/>
      <c r="C130" s="34"/>
      <c r="D130" s="20"/>
      <c r="E130" s="21"/>
    </row>
    <row r="131" spans="2:5">
      <c r="B131" s="34"/>
      <c r="C131" s="34"/>
      <c r="D131" s="20"/>
      <c r="E131" s="21"/>
    </row>
    <row r="132" spans="2:5">
      <c r="B132" s="34"/>
      <c r="C132" s="34"/>
      <c r="D132" s="20"/>
      <c r="E132" s="21"/>
    </row>
    <row r="133" spans="2:5">
      <c r="B133" s="34"/>
      <c r="C133" s="34"/>
      <c r="D133" s="20"/>
      <c r="E133" s="21"/>
    </row>
    <row r="134" spans="2:5">
      <c r="B134" s="34"/>
      <c r="C134" s="34"/>
      <c r="D134" s="20"/>
      <c r="E134" s="21"/>
    </row>
    <row r="135" spans="2:5">
      <c r="B135" s="34"/>
      <c r="C135" s="34"/>
      <c r="D135" s="20"/>
      <c r="E135" s="21"/>
    </row>
    <row r="136" spans="2:5">
      <c r="B136" s="34"/>
      <c r="C136" s="34"/>
      <c r="D136" s="20"/>
      <c r="E136" s="21"/>
    </row>
    <row r="137" spans="2:5">
      <c r="B137" s="34"/>
      <c r="C137" s="34"/>
      <c r="D137" s="20"/>
      <c r="E137" s="21"/>
    </row>
    <row r="138" spans="2:5">
      <c r="B138" s="34"/>
      <c r="C138" s="34"/>
      <c r="D138" s="20"/>
      <c r="E138" s="21"/>
    </row>
    <row r="139" spans="2:5">
      <c r="B139" s="34"/>
      <c r="C139" s="34"/>
      <c r="D139" s="20"/>
      <c r="E139" s="21"/>
    </row>
    <row r="140" spans="2:5">
      <c r="B140" s="34"/>
      <c r="C140" s="34"/>
      <c r="D140" s="20"/>
      <c r="E140" s="21"/>
    </row>
    <row r="141" spans="2:5">
      <c r="B141" s="34"/>
      <c r="C141" s="34"/>
      <c r="D141" s="20"/>
      <c r="E141" s="21"/>
    </row>
    <row r="142" spans="2:5">
      <c r="B142" s="34"/>
      <c r="C142" s="34"/>
      <c r="D142" s="20"/>
      <c r="E142" s="21"/>
    </row>
    <row r="143" spans="2:5">
      <c r="B143" s="34"/>
      <c r="C143" s="34"/>
      <c r="D143" s="20"/>
      <c r="E143" s="21"/>
    </row>
    <row r="144" spans="2:5">
      <c r="B144" s="34"/>
      <c r="C144" s="34"/>
      <c r="D144" s="20"/>
      <c r="E144" s="21"/>
    </row>
    <row r="145" spans="2:5">
      <c r="B145" s="34"/>
      <c r="C145" s="34"/>
      <c r="D145" s="20"/>
      <c r="E145" s="21"/>
    </row>
    <row r="146" spans="2:5">
      <c r="B146" s="34"/>
      <c r="C146" s="34"/>
      <c r="D146" s="20"/>
      <c r="E146" s="21"/>
    </row>
    <row r="147" spans="2:5">
      <c r="B147" s="34"/>
      <c r="C147" s="34"/>
      <c r="D147" s="20"/>
      <c r="E147" s="21"/>
    </row>
    <row r="148" spans="2:5">
      <c r="B148" s="34"/>
      <c r="C148" s="34"/>
      <c r="D148" s="20"/>
      <c r="E148" s="21"/>
    </row>
    <row r="149" spans="2:5">
      <c r="B149" s="34"/>
      <c r="C149" s="34"/>
      <c r="D149" s="20"/>
      <c r="E149" s="21"/>
    </row>
    <row r="150" spans="2:5">
      <c r="B150" s="34"/>
      <c r="C150" s="34"/>
      <c r="D150" s="20"/>
      <c r="E150" s="21"/>
    </row>
    <row r="151" spans="2:5">
      <c r="B151" s="34"/>
      <c r="C151" s="34"/>
      <c r="D151" s="20"/>
      <c r="E151" s="21"/>
    </row>
    <row r="152" spans="2:5">
      <c r="B152" s="34"/>
      <c r="C152" s="34"/>
      <c r="D152" s="20"/>
      <c r="E152" s="21"/>
    </row>
    <row r="153" spans="2:5">
      <c r="B153" s="34"/>
      <c r="C153" s="34"/>
      <c r="D153" s="20"/>
      <c r="E153" s="21"/>
    </row>
    <row r="154" spans="2:5">
      <c r="B154" s="34"/>
      <c r="C154" s="34"/>
      <c r="D154" s="20"/>
      <c r="E154" s="21"/>
    </row>
    <row r="155" spans="2:5">
      <c r="B155" s="34"/>
      <c r="C155" s="34"/>
      <c r="D155" s="20"/>
      <c r="E155" s="21"/>
    </row>
    <row r="156" spans="2:5">
      <c r="B156" s="34"/>
      <c r="C156" s="34"/>
      <c r="D156" s="20"/>
      <c r="E156" s="21"/>
    </row>
    <row r="157" spans="2:5">
      <c r="B157" s="34"/>
      <c r="C157" s="34"/>
      <c r="D157" s="20"/>
      <c r="E157" s="21"/>
    </row>
    <row r="158" spans="2:5">
      <c r="B158" s="34"/>
      <c r="C158" s="34"/>
      <c r="D158" s="20"/>
      <c r="E158" s="21"/>
    </row>
    <row r="159" spans="2:5">
      <c r="B159" s="34"/>
      <c r="C159" s="34"/>
      <c r="D159" s="20"/>
      <c r="E159" s="21"/>
    </row>
    <row r="160" spans="2:5">
      <c r="B160" s="34"/>
      <c r="C160" s="34"/>
      <c r="D160" s="20"/>
      <c r="E160" s="21"/>
    </row>
    <row r="161" spans="2:5">
      <c r="B161" s="34"/>
      <c r="C161" s="34"/>
      <c r="D161" s="20"/>
      <c r="E161" s="21"/>
    </row>
    <row r="162" spans="2:5">
      <c r="B162" s="34"/>
      <c r="C162" s="34"/>
      <c r="D162" s="20"/>
      <c r="E162" s="21"/>
    </row>
    <row r="163" spans="2:5">
      <c r="B163" s="34"/>
      <c r="C163" s="34"/>
      <c r="D163" s="20"/>
      <c r="E163" s="21"/>
    </row>
    <row r="164" spans="2:5">
      <c r="B164" s="34"/>
      <c r="C164" s="34"/>
      <c r="D164" s="20"/>
      <c r="E164" s="21"/>
    </row>
    <row r="165" spans="2:5">
      <c r="B165" s="34"/>
      <c r="C165" s="34"/>
      <c r="D165" s="20"/>
      <c r="E165" s="21"/>
    </row>
    <row r="166" spans="2:5">
      <c r="B166" s="34"/>
      <c r="C166" s="34"/>
      <c r="D166" s="20"/>
      <c r="E166" s="21"/>
    </row>
    <row r="167" spans="2:5">
      <c r="B167" s="34"/>
      <c r="C167" s="34"/>
      <c r="D167" s="20"/>
      <c r="E167" s="21"/>
    </row>
    <row r="168" spans="2:5">
      <c r="B168" s="34"/>
      <c r="C168" s="34"/>
      <c r="D168" s="20"/>
      <c r="E168" s="21"/>
    </row>
    <row r="169" spans="2:5">
      <c r="B169" s="34"/>
      <c r="C169" s="34"/>
      <c r="D169" s="20"/>
      <c r="E169" s="21"/>
    </row>
    <row r="170" spans="2:5">
      <c r="B170" s="34"/>
      <c r="C170" s="34"/>
      <c r="D170" s="20"/>
      <c r="E170" s="21"/>
    </row>
    <row r="171" spans="2:5">
      <c r="B171" s="34"/>
      <c r="C171" s="34"/>
      <c r="D171" s="20"/>
      <c r="E171" s="21"/>
    </row>
    <row r="172" spans="2:5">
      <c r="B172" s="34"/>
      <c r="C172" s="34"/>
      <c r="D172" s="20"/>
      <c r="E172" s="21"/>
    </row>
    <row r="173" spans="2:5">
      <c r="B173" s="34"/>
      <c r="C173" s="34"/>
      <c r="D173" s="20"/>
      <c r="E173" s="21"/>
    </row>
    <row r="174" spans="2:5">
      <c r="B174" s="34"/>
      <c r="C174" s="34"/>
      <c r="D174" s="20"/>
      <c r="E174" s="21"/>
    </row>
    <row r="175" spans="2:5">
      <c r="B175" s="34"/>
      <c r="C175" s="34"/>
      <c r="D175" s="20"/>
      <c r="E175" s="21"/>
    </row>
    <row r="176" spans="2:5">
      <c r="B176" s="34"/>
      <c r="C176" s="34"/>
      <c r="D176" s="20"/>
      <c r="E176" s="21"/>
    </row>
    <row r="177" spans="2:5">
      <c r="B177" s="34"/>
      <c r="C177" s="34"/>
      <c r="D177" s="20"/>
      <c r="E177" s="21"/>
    </row>
    <row r="178" spans="2:5">
      <c r="B178" s="34"/>
      <c r="C178" s="34"/>
      <c r="D178" s="20"/>
      <c r="E178" s="21"/>
    </row>
    <row r="179" spans="2:5">
      <c r="B179" s="34"/>
      <c r="C179" s="34"/>
      <c r="D179" s="20"/>
      <c r="E179" s="21"/>
    </row>
    <row r="180" spans="2:5">
      <c r="B180" s="34"/>
      <c r="C180" s="34"/>
      <c r="D180" s="20"/>
      <c r="E180" s="21"/>
    </row>
    <row r="181" spans="2:5">
      <c r="B181" s="34"/>
      <c r="C181" s="34"/>
      <c r="D181" s="20"/>
      <c r="E181" s="21"/>
    </row>
    <row r="182" spans="2:5">
      <c r="B182" s="34"/>
      <c r="C182" s="34"/>
      <c r="D182" s="20"/>
      <c r="E182" s="21"/>
    </row>
    <row r="183" spans="2:5">
      <c r="B183" s="34"/>
      <c r="C183" s="34"/>
      <c r="D183" s="20"/>
      <c r="E183" s="21"/>
    </row>
    <row r="184" spans="2:5">
      <c r="B184" s="34"/>
      <c r="C184" s="34"/>
      <c r="D184" s="20"/>
      <c r="E184" s="21"/>
    </row>
    <row r="185" spans="2:5">
      <c r="B185" s="34"/>
      <c r="C185" s="34"/>
      <c r="D185" s="20"/>
      <c r="E185" s="21"/>
    </row>
    <row r="186" spans="2:5">
      <c r="B186" s="34"/>
      <c r="C186" s="34"/>
      <c r="D186" s="20"/>
      <c r="E186" s="21"/>
    </row>
    <row r="187" spans="2:5">
      <c r="B187" s="34"/>
      <c r="C187" s="34"/>
      <c r="D187" s="20"/>
      <c r="E187" s="21"/>
    </row>
    <row r="188" spans="2:5">
      <c r="B188" s="34"/>
      <c r="C188" s="34"/>
      <c r="D188" s="20"/>
      <c r="E188" s="21"/>
    </row>
    <row r="189" spans="2:5">
      <c r="B189" s="34"/>
      <c r="C189" s="34"/>
      <c r="D189" s="20"/>
      <c r="E189" s="21"/>
    </row>
    <row r="190" spans="2:5">
      <c r="B190" s="34"/>
      <c r="C190" s="34"/>
      <c r="D190" s="20"/>
      <c r="E190" s="21"/>
    </row>
    <row r="191" spans="2:5">
      <c r="B191" s="34"/>
      <c r="C191" s="34"/>
      <c r="D191" s="20"/>
      <c r="E191" s="21"/>
    </row>
    <row r="192" spans="2:5">
      <c r="B192" s="34"/>
      <c r="C192" s="34"/>
      <c r="D192" s="20"/>
      <c r="E192" s="21"/>
    </row>
    <row r="193" spans="2:5">
      <c r="B193" s="34"/>
      <c r="C193" s="34"/>
      <c r="D193" s="20"/>
      <c r="E193" s="21"/>
    </row>
    <row r="194" spans="2:5">
      <c r="B194" s="34"/>
      <c r="C194" s="34"/>
      <c r="D194" s="20"/>
      <c r="E194" s="21"/>
    </row>
    <row r="195" spans="2:5">
      <c r="B195" s="34"/>
      <c r="C195" s="34"/>
      <c r="D195" s="20"/>
      <c r="E195" s="21"/>
    </row>
    <row r="196" spans="2:5">
      <c r="B196" s="34"/>
      <c r="C196" s="34"/>
      <c r="D196" s="20"/>
      <c r="E196" s="21"/>
    </row>
    <row r="197" spans="2:5">
      <c r="B197" s="34"/>
      <c r="C197" s="34"/>
      <c r="D197" s="20"/>
      <c r="E197" s="21"/>
    </row>
    <row r="198" spans="2:5">
      <c r="B198" s="34"/>
      <c r="C198" s="34"/>
      <c r="D198" s="20"/>
      <c r="E198" s="21"/>
    </row>
    <row r="199" spans="2:5">
      <c r="B199" s="34"/>
      <c r="C199" s="34"/>
      <c r="D199" s="20"/>
      <c r="E199" s="21"/>
    </row>
    <row r="200" spans="2:5">
      <c r="B200" s="34"/>
      <c r="C200" s="34"/>
      <c r="D200" s="20"/>
      <c r="E200" s="21"/>
    </row>
    <row r="201" spans="2:5">
      <c r="B201" s="34"/>
      <c r="C201" s="34"/>
      <c r="D201" s="20"/>
      <c r="E201" s="21"/>
    </row>
    <row r="202" spans="2:5">
      <c r="B202" s="34"/>
      <c r="C202" s="34"/>
      <c r="D202" s="20"/>
      <c r="E202" s="21"/>
    </row>
    <row r="203" spans="2:5">
      <c r="B203" s="34"/>
      <c r="C203" s="34"/>
      <c r="D203" s="20"/>
      <c r="E203" s="21"/>
    </row>
    <row r="204" spans="2:5">
      <c r="B204" s="34"/>
      <c r="C204" s="34"/>
      <c r="D204" s="20"/>
      <c r="E204" s="21"/>
    </row>
    <row r="205" spans="2:5">
      <c r="B205" s="34"/>
      <c r="C205" s="34"/>
      <c r="D205" s="20"/>
      <c r="E205" s="21"/>
    </row>
    <row r="206" spans="2:5">
      <c r="B206" s="34"/>
      <c r="C206" s="34"/>
      <c r="D206" s="20"/>
      <c r="E206" s="21"/>
    </row>
    <row r="207" spans="2:5">
      <c r="B207" s="34"/>
      <c r="C207" s="34"/>
      <c r="D207" s="20"/>
      <c r="E207" s="21"/>
    </row>
    <row r="208" spans="2:5">
      <c r="B208" s="34"/>
      <c r="C208" s="34"/>
      <c r="D208" s="20"/>
      <c r="E208" s="21"/>
    </row>
    <row r="209" spans="2:5">
      <c r="B209" s="34"/>
      <c r="C209" s="34"/>
      <c r="D209" s="20"/>
      <c r="E209" s="21"/>
    </row>
    <row r="210" spans="2:5">
      <c r="B210" s="34"/>
      <c r="C210" s="34"/>
      <c r="D210" s="20"/>
      <c r="E210" s="21"/>
    </row>
    <row r="211" spans="2:5">
      <c r="B211" s="34"/>
      <c r="C211" s="34"/>
      <c r="D211" s="20"/>
      <c r="E211" s="21"/>
    </row>
    <row r="212" spans="2:5">
      <c r="B212" s="34"/>
      <c r="C212" s="34"/>
      <c r="D212" s="20"/>
      <c r="E212" s="21"/>
    </row>
    <row r="213" spans="2:5">
      <c r="B213" s="34"/>
      <c r="C213" s="34"/>
      <c r="D213" s="20"/>
      <c r="E213" s="21"/>
    </row>
    <row r="214" spans="2:5">
      <c r="B214" s="34"/>
      <c r="C214" s="34"/>
      <c r="D214" s="20"/>
      <c r="E214" s="21"/>
    </row>
    <row r="215" spans="2:5">
      <c r="B215" s="34"/>
      <c r="C215" s="34"/>
      <c r="D215" s="20"/>
      <c r="E215" s="21"/>
    </row>
    <row r="216" spans="2:5">
      <c r="B216" s="34"/>
      <c r="C216" s="34"/>
      <c r="D216" s="20"/>
      <c r="E216" s="21"/>
    </row>
    <row r="217" spans="2:5">
      <c r="B217" s="34"/>
      <c r="C217" s="34"/>
      <c r="D217" s="20"/>
      <c r="E217" s="21"/>
    </row>
    <row r="218" spans="2:5">
      <c r="B218" s="34"/>
      <c r="C218" s="34"/>
      <c r="D218" s="20"/>
      <c r="E218" s="21"/>
    </row>
    <row r="219" spans="2:5">
      <c r="B219" s="34"/>
      <c r="C219" s="34"/>
      <c r="D219" s="20"/>
      <c r="E219" s="21"/>
    </row>
    <row r="220" spans="2:5">
      <c r="B220" s="34"/>
      <c r="C220" s="34"/>
      <c r="D220" s="20"/>
      <c r="E220" s="21"/>
    </row>
  </sheetData>
  <autoFilter ref="B2:E2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786"/>
  <sheetViews>
    <sheetView showGridLines="0" workbookViewId="0">
      <pane ySplit="2" topLeftCell="A3" activePane="bottomLeft" state="frozen"/>
      <selection activeCell="C4" sqref="C4"/>
      <selection pane="bottomLeft" activeCell="C3" sqref="C3"/>
    </sheetView>
  </sheetViews>
  <sheetFormatPr defaultRowHeight="14.25"/>
  <cols>
    <col min="2" max="3" width="11.75" style="35" customWidth="1"/>
    <col min="4" max="4" width="19.75" bestFit="1" customWidth="1"/>
    <col min="5" max="5" width="11.75" customWidth="1"/>
  </cols>
  <sheetData>
    <row r="1" spans="1:5" ht="15">
      <c r="B1" s="50" t="s">
        <v>47</v>
      </c>
    </row>
    <row r="2" spans="1:5">
      <c r="B2" s="15" t="s">
        <v>55</v>
      </c>
      <c r="C2" s="15" t="s">
        <v>30</v>
      </c>
      <c r="D2" s="16" t="s">
        <v>36</v>
      </c>
      <c r="E2" s="16" t="s">
        <v>31</v>
      </c>
    </row>
    <row r="3" spans="1:5">
      <c r="A3">
        <f>MONTH(B3)</f>
        <v>5</v>
      </c>
      <c r="B3" s="36">
        <v>43595</v>
      </c>
      <c r="C3" s="34" t="s">
        <v>4</v>
      </c>
      <c r="D3" s="20" t="s">
        <v>517</v>
      </c>
      <c r="E3" s="21">
        <v>6</v>
      </c>
    </row>
    <row r="4" spans="1:5">
      <c r="A4">
        <f>MONTH(B4)</f>
        <v>6</v>
      </c>
      <c r="B4" s="36">
        <v>43626</v>
      </c>
      <c r="C4" s="34" t="s">
        <v>5</v>
      </c>
      <c r="D4" s="20" t="s">
        <v>517</v>
      </c>
      <c r="E4" s="21">
        <v>6</v>
      </c>
    </row>
    <row r="5" spans="1:5">
      <c r="A5">
        <f>MONTH(B5)</f>
        <v>7</v>
      </c>
      <c r="B5" s="36">
        <v>43656</v>
      </c>
      <c r="C5" s="34" t="s">
        <v>6</v>
      </c>
      <c r="D5" s="20" t="s">
        <v>517</v>
      </c>
      <c r="E5" s="21">
        <v>6</v>
      </c>
    </row>
    <row r="6" spans="1:5">
      <c r="A6">
        <f>MONTH(B6)</f>
        <v>8</v>
      </c>
      <c r="B6" s="36">
        <v>43687</v>
      </c>
      <c r="C6" s="34" t="s">
        <v>10</v>
      </c>
      <c r="D6" s="20" t="s">
        <v>517</v>
      </c>
      <c r="E6" s="21">
        <v>6</v>
      </c>
    </row>
    <row r="7" spans="1:5">
      <c r="A7">
        <f>MONTH(B7)</f>
        <v>7</v>
      </c>
      <c r="B7" s="36">
        <v>43656</v>
      </c>
      <c r="C7" s="34" t="s">
        <v>6</v>
      </c>
      <c r="D7" s="20" t="s">
        <v>78</v>
      </c>
      <c r="E7" s="21">
        <v>10</v>
      </c>
    </row>
    <row r="8" spans="1:5">
      <c r="B8" s="36"/>
      <c r="C8" s="34"/>
      <c r="D8" s="20"/>
      <c r="E8" s="21"/>
    </row>
    <row r="9" spans="1:5">
      <c r="B9" s="36"/>
      <c r="C9" s="34"/>
      <c r="D9" s="20"/>
      <c r="E9" s="21"/>
    </row>
    <row r="10" spans="1:5">
      <c r="B10" s="36"/>
      <c r="C10" s="34"/>
      <c r="D10" s="20"/>
      <c r="E10" s="21"/>
    </row>
    <row r="11" spans="1:5">
      <c r="B11" s="36"/>
      <c r="C11" s="34"/>
      <c r="D11" s="20"/>
      <c r="E11" s="21"/>
    </row>
    <row r="12" spans="1:5">
      <c r="B12" s="36"/>
      <c r="C12" s="34"/>
      <c r="D12" s="20"/>
      <c r="E12" s="21"/>
    </row>
    <row r="13" spans="1:5">
      <c r="B13" s="36"/>
      <c r="C13" s="34"/>
      <c r="D13" s="20"/>
      <c r="E13" s="21"/>
    </row>
    <row r="14" spans="1:5">
      <c r="B14" s="36"/>
      <c r="C14" s="34"/>
      <c r="D14" s="20"/>
      <c r="E14" s="21"/>
    </row>
    <row r="15" spans="1:5">
      <c r="B15" s="36"/>
      <c r="C15" s="34"/>
      <c r="D15" s="20"/>
      <c r="E15" s="21"/>
    </row>
    <row r="16" spans="1:5">
      <c r="B16" s="36"/>
      <c r="C16" s="34"/>
      <c r="D16" s="20"/>
      <c r="E16" s="21"/>
    </row>
    <row r="17" spans="2:5">
      <c r="B17" s="36"/>
      <c r="C17" s="34"/>
      <c r="D17" s="20"/>
      <c r="E17" s="21"/>
    </row>
    <row r="18" spans="2:5">
      <c r="B18" s="36"/>
      <c r="C18" s="34"/>
      <c r="D18" s="20"/>
      <c r="E18" s="21"/>
    </row>
    <row r="19" spans="2:5">
      <c r="B19" s="36"/>
      <c r="C19" s="34"/>
      <c r="D19" s="20"/>
      <c r="E19" s="21"/>
    </row>
    <row r="20" spans="2:5">
      <c r="B20" s="36"/>
      <c r="C20" s="34"/>
      <c r="D20" s="20"/>
      <c r="E20" s="21"/>
    </row>
    <row r="21" spans="2:5">
      <c r="B21" s="36"/>
      <c r="C21" s="34"/>
      <c r="D21" s="20"/>
      <c r="E21" s="21"/>
    </row>
    <row r="22" spans="2:5">
      <c r="B22" s="36"/>
      <c r="C22" s="34"/>
      <c r="D22" s="20"/>
      <c r="E22" s="21"/>
    </row>
    <row r="23" spans="2:5">
      <c r="B23" s="36"/>
      <c r="C23" s="34"/>
      <c r="D23" s="20"/>
      <c r="E23" s="21"/>
    </row>
    <row r="24" spans="2:5">
      <c r="B24" s="36"/>
      <c r="C24" s="34"/>
      <c r="D24" s="20"/>
      <c r="E24" s="21"/>
    </row>
    <row r="25" spans="2:5">
      <c r="B25" s="36"/>
      <c r="C25" s="34"/>
      <c r="D25" s="20"/>
      <c r="E25" s="21"/>
    </row>
    <row r="26" spans="2:5">
      <c r="B26" s="36"/>
      <c r="C26" s="34"/>
      <c r="D26" s="20"/>
      <c r="E26" s="21"/>
    </row>
    <row r="27" spans="2:5">
      <c r="B27" s="36"/>
      <c r="C27" s="34"/>
      <c r="D27" s="20"/>
      <c r="E27" s="21"/>
    </row>
    <row r="28" spans="2:5">
      <c r="B28" s="36"/>
      <c r="C28" s="34"/>
      <c r="D28" s="20"/>
      <c r="E28" s="21"/>
    </row>
    <row r="29" spans="2:5">
      <c r="B29" s="36"/>
      <c r="C29" s="34"/>
      <c r="D29" s="20"/>
      <c r="E29" s="21"/>
    </row>
    <row r="30" spans="2:5">
      <c r="B30" s="36"/>
      <c r="C30" s="34"/>
      <c r="D30" s="20"/>
      <c r="E30" s="21"/>
    </row>
    <row r="31" spans="2:5">
      <c r="B31" s="36"/>
      <c r="C31" s="34"/>
      <c r="D31" s="20"/>
      <c r="E31" s="21"/>
    </row>
    <row r="32" spans="2:5">
      <c r="B32" s="36"/>
      <c r="C32" s="34"/>
      <c r="D32" s="20"/>
      <c r="E32" s="21"/>
    </row>
    <row r="33" spans="2:5">
      <c r="B33" s="36"/>
      <c r="C33" s="34"/>
      <c r="D33" s="20"/>
      <c r="E33" s="21"/>
    </row>
    <row r="34" spans="2:5">
      <c r="B34" s="36"/>
      <c r="C34" s="34"/>
      <c r="D34" s="20"/>
      <c r="E34" s="21"/>
    </row>
    <row r="35" spans="2:5">
      <c r="B35" s="36"/>
      <c r="C35" s="34"/>
      <c r="D35" s="20"/>
      <c r="E35" s="21"/>
    </row>
    <row r="36" spans="2:5">
      <c r="B36" s="36"/>
      <c r="C36" s="34"/>
      <c r="D36" s="20"/>
      <c r="E36" s="21"/>
    </row>
    <row r="37" spans="2:5">
      <c r="B37" s="36"/>
      <c r="C37" s="34"/>
      <c r="D37" s="20"/>
      <c r="E37" s="21"/>
    </row>
    <row r="38" spans="2:5">
      <c r="B38" s="36"/>
      <c r="C38" s="34"/>
      <c r="D38" s="20"/>
      <c r="E38" s="21"/>
    </row>
    <row r="39" spans="2:5">
      <c r="B39" s="36"/>
      <c r="C39" s="34"/>
      <c r="D39" s="20"/>
      <c r="E39" s="21"/>
    </row>
    <row r="40" spans="2:5">
      <c r="B40" s="36"/>
      <c r="C40" s="34"/>
      <c r="D40" s="20"/>
      <c r="E40" s="21"/>
    </row>
    <row r="41" spans="2:5">
      <c r="B41" s="36"/>
      <c r="C41" s="34"/>
      <c r="D41" s="20"/>
      <c r="E41" s="21"/>
    </row>
    <row r="42" spans="2:5">
      <c r="B42" s="36"/>
      <c r="C42" s="34"/>
      <c r="D42" s="20"/>
      <c r="E42" s="21"/>
    </row>
    <row r="43" spans="2:5">
      <c r="B43" s="36"/>
      <c r="C43" s="34"/>
      <c r="D43" s="20"/>
      <c r="E43" s="21"/>
    </row>
    <row r="44" spans="2:5">
      <c r="B44" s="36"/>
      <c r="C44" s="34"/>
      <c r="D44" s="20"/>
      <c r="E44" s="21"/>
    </row>
    <row r="45" spans="2:5">
      <c r="B45" s="36"/>
      <c r="C45" s="34"/>
      <c r="D45" s="20"/>
      <c r="E45" s="21"/>
    </row>
    <row r="46" spans="2:5">
      <c r="B46" s="36"/>
      <c r="C46" s="34"/>
      <c r="D46" s="20"/>
      <c r="E46" s="21"/>
    </row>
    <row r="47" spans="2:5">
      <c r="B47" s="36"/>
      <c r="C47" s="34"/>
      <c r="D47" s="20"/>
      <c r="E47" s="21"/>
    </row>
    <row r="48" spans="2:5">
      <c r="B48" s="36"/>
      <c r="C48" s="34"/>
      <c r="D48" s="20"/>
      <c r="E48" s="21"/>
    </row>
    <row r="49" spans="2:5">
      <c r="B49" s="36"/>
      <c r="C49" s="34"/>
      <c r="D49" s="20"/>
      <c r="E49" s="21"/>
    </row>
    <row r="50" spans="2:5">
      <c r="B50" s="36"/>
      <c r="C50" s="34"/>
      <c r="D50" s="20"/>
      <c r="E50" s="21"/>
    </row>
    <row r="51" spans="2:5">
      <c r="B51" s="36"/>
      <c r="C51" s="34"/>
      <c r="D51" s="20"/>
      <c r="E51" s="21"/>
    </row>
    <row r="52" spans="2:5">
      <c r="B52" s="36"/>
      <c r="C52" s="34"/>
      <c r="D52" s="20"/>
      <c r="E52" s="21"/>
    </row>
    <row r="53" spans="2:5">
      <c r="B53" s="36"/>
      <c r="C53" s="34"/>
      <c r="D53" s="20"/>
      <c r="E53" s="21"/>
    </row>
    <row r="54" spans="2:5">
      <c r="B54" s="36"/>
      <c r="C54" s="34"/>
      <c r="D54" s="20"/>
      <c r="E54" s="21"/>
    </row>
    <row r="55" spans="2:5">
      <c r="B55" s="36"/>
      <c r="C55" s="34"/>
      <c r="D55" s="20"/>
      <c r="E55" s="21"/>
    </row>
    <row r="56" spans="2:5">
      <c r="B56" s="36"/>
      <c r="C56" s="34"/>
      <c r="D56" s="20"/>
      <c r="E56" s="21"/>
    </row>
    <row r="57" spans="2:5">
      <c r="B57" s="36"/>
      <c r="C57" s="34"/>
      <c r="D57" s="20"/>
      <c r="E57" s="21"/>
    </row>
    <row r="58" spans="2:5">
      <c r="B58" s="36"/>
      <c r="C58" s="34"/>
      <c r="D58" s="20"/>
      <c r="E58" s="21"/>
    </row>
    <row r="59" spans="2:5">
      <c r="B59" s="36"/>
      <c r="C59" s="34"/>
      <c r="D59" s="20"/>
      <c r="E59" s="21"/>
    </row>
    <row r="60" spans="2:5">
      <c r="B60" s="36"/>
      <c r="C60" s="34"/>
      <c r="D60" s="20"/>
      <c r="E60" s="21"/>
    </row>
    <row r="61" spans="2:5">
      <c r="B61" s="36"/>
      <c r="C61" s="34"/>
      <c r="D61" s="20"/>
      <c r="E61" s="21"/>
    </row>
    <row r="62" spans="2:5">
      <c r="B62" s="36"/>
      <c r="C62" s="34"/>
      <c r="D62" s="20"/>
      <c r="E62" s="21"/>
    </row>
    <row r="63" spans="2:5">
      <c r="B63" s="36"/>
      <c r="C63" s="34"/>
      <c r="D63" s="20"/>
      <c r="E63" s="21"/>
    </row>
    <row r="64" spans="2:5">
      <c r="B64" s="36"/>
      <c r="C64" s="34"/>
      <c r="D64" s="20"/>
      <c r="E64" s="21"/>
    </row>
    <row r="65" spans="2:5">
      <c r="B65" s="36"/>
      <c r="C65" s="34"/>
      <c r="D65" s="20"/>
      <c r="E65" s="21"/>
    </row>
    <row r="66" spans="2:5">
      <c r="B66" s="36"/>
      <c r="C66" s="34"/>
      <c r="D66" s="20"/>
      <c r="E66" s="21"/>
    </row>
    <row r="67" spans="2:5">
      <c r="B67" s="36"/>
      <c r="C67" s="34"/>
      <c r="D67" s="20"/>
      <c r="E67" s="21"/>
    </row>
    <row r="68" spans="2:5">
      <c r="B68" s="36"/>
      <c r="C68" s="34"/>
      <c r="D68" s="20"/>
      <c r="E68" s="21"/>
    </row>
    <row r="69" spans="2:5">
      <c r="B69" s="36"/>
      <c r="C69" s="34"/>
      <c r="D69" s="20"/>
      <c r="E69" s="21"/>
    </row>
    <row r="70" spans="2:5">
      <c r="B70" s="36"/>
      <c r="C70" s="34"/>
      <c r="D70" s="20"/>
      <c r="E70" s="21"/>
    </row>
    <row r="71" spans="2:5">
      <c r="B71" s="36"/>
      <c r="C71" s="34"/>
      <c r="D71" s="20"/>
      <c r="E71" s="21"/>
    </row>
    <row r="72" spans="2:5">
      <c r="B72" s="36"/>
      <c r="C72" s="34"/>
      <c r="D72" s="20"/>
      <c r="E72" s="21"/>
    </row>
    <row r="73" spans="2:5">
      <c r="B73" s="36"/>
      <c r="C73" s="34"/>
      <c r="D73" s="20"/>
      <c r="E73" s="21"/>
    </row>
    <row r="74" spans="2:5">
      <c r="B74" s="36"/>
      <c r="C74" s="34"/>
      <c r="D74" s="20"/>
      <c r="E74" s="21"/>
    </row>
    <row r="75" spans="2:5">
      <c r="B75" s="36"/>
      <c r="C75" s="34"/>
      <c r="D75" s="20"/>
      <c r="E75" s="21"/>
    </row>
    <row r="76" spans="2:5">
      <c r="B76" s="36"/>
      <c r="C76" s="34"/>
      <c r="D76" s="20"/>
      <c r="E76" s="21"/>
    </row>
    <row r="77" spans="2:5">
      <c r="B77" s="36"/>
      <c r="C77" s="34"/>
      <c r="D77" s="20"/>
      <c r="E77" s="21"/>
    </row>
    <row r="78" spans="2:5">
      <c r="B78" s="36"/>
      <c r="C78" s="34"/>
      <c r="D78" s="20"/>
      <c r="E78" s="21"/>
    </row>
    <row r="79" spans="2:5">
      <c r="B79" s="36"/>
      <c r="C79" s="34"/>
      <c r="D79" s="20"/>
      <c r="E79" s="21"/>
    </row>
    <row r="80" spans="2:5">
      <c r="B80" s="36"/>
      <c r="C80" s="34"/>
      <c r="D80" s="20"/>
      <c r="E80" s="21"/>
    </row>
    <row r="81" spans="2:5">
      <c r="B81" s="36"/>
      <c r="C81" s="34"/>
      <c r="D81" s="20"/>
      <c r="E81" s="21"/>
    </row>
    <row r="82" spans="2:5">
      <c r="B82" s="36"/>
      <c r="C82" s="34"/>
      <c r="D82" s="20"/>
      <c r="E82" s="21"/>
    </row>
    <row r="83" spans="2:5">
      <c r="B83" s="36"/>
      <c r="C83" s="34"/>
      <c r="D83" s="20"/>
      <c r="E83" s="21"/>
    </row>
    <row r="84" spans="2:5">
      <c r="B84" s="36"/>
      <c r="C84" s="34"/>
      <c r="D84" s="20"/>
      <c r="E84" s="21"/>
    </row>
    <row r="85" spans="2:5">
      <c r="B85" s="36"/>
      <c r="C85" s="34"/>
      <c r="D85" s="20"/>
      <c r="E85" s="21"/>
    </row>
    <row r="86" spans="2:5">
      <c r="B86" s="36"/>
      <c r="C86" s="34"/>
      <c r="D86" s="20"/>
      <c r="E86" s="21"/>
    </row>
    <row r="87" spans="2:5">
      <c r="B87" s="36"/>
      <c r="C87" s="34"/>
      <c r="D87" s="20"/>
      <c r="E87" s="21"/>
    </row>
    <row r="88" spans="2:5">
      <c r="B88" s="36"/>
      <c r="C88" s="34"/>
      <c r="D88" s="20"/>
      <c r="E88" s="21"/>
    </row>
    <row r="89" spans="2:5">
      <c r="B89" s="36"/>
      <c r="C89" s="34"/>
      <c r="D89" s="20"/>
      <c r="E89" s="21"/>
    </row>
    <row r="90" spans="2:5">
      <c r="B90" s="36"/>
      <c r="C90" s="34"/>
      <c r="D90" s="20"/>
      <c r="E90" s="21"/>
    </row>
    <row r="91" spans="2:5">
      <c r="B91" s="36"/>
      <c r="C91" s="34"/>
      <c r="D91" s="20"/>
      <c r="E91" s="21"/>
    </row>
    <row r="92" spans="2:5">
      <c r="B92" s="36"/>
      <c r="C92" s="34"/>
      <c r="D92" s="20"/>
      <c r="E92" s="21"/>
    </row>
    <row r="93" spans="2:5">
      <c r="B93" s="36"/>
      <c r="C93" s="34"/>
      <c r="D93" s="20"/>
      <c r="E93" s="21"/>
    </row>
    <row r="94" spans="2:5">
      <c r="B94" s="36"/>
      <c r="C94" s="34"/>
      <c r="D94" s="20"/>
      <c r="E94" s="21"/>
    </row>
    <row r="95" spans="2:5">
      <c r="B95" s="36"/>
      <c r="C95" s="34"/>
      <c r="D95" s="20"/>
      <c r="E95" s="21"/>
    </row>
    <row r="96" spans="2:5">
      <c r="B96" s="36"/>
      <c r="C96" s="34"/>
      <c r="D96" s="20"/>
      <c r="E96" s="21"/>
    </row>
    <row r="97" spans="2:5">
      <c r="B97" s="36"/>
      <c r="C97" s="34"/>
      <c r="D97" s="20"/>
      <c r="E97" s="21"/>
    </row>
    <row r="98" spans="2:5">
      <c r="B98" s="36"/>
      <c r="C98" s="34"/>
      <c r="D98" s="20"/>
      <c r="E98" s="21"/>
    </row>
    <row r="99" spans="2:5">
      <c r="B99" s="36"/>
      <c r="C99" s="34"/>
      <c r="D99" s="20"/>
      <c r="E99" s="21"/>
    </row>
    <row r="100" spans="2:5">
      <c r="B100" s="36"/>
      <c r="C100" s="34"/>
      <c r="D100" s="20"/>
      <c r="E100" s="21"/>
    </row>
    <row r="101" spans="2:5">
      <c r="B101" s="36"/>
      <c r="C101" s="34"/>
      <c r="D101" s="20"/>
      <c r="E101" s="21"/>
    </row>
    <row r="102" spans="2:5">
      <c r="B102" s="36"/>
      <c r="C102" s="34"/>
      <c r="D102" s="20"/>
      <c r="E102" s="21"/>
    </row>
    <row r="103" spans="2:5">
      <c r="B103" s="36"/>
      <c r="C103" s="34"/>
      <c r="D103" s="20"/>
      <c r="E103" s="21"/>
    </row>
    <row r="104" spans="2:5">
      <c r="B104" s="36"/>
      <c r="C104" s="34"/>
      <c r="D104" s="20"/>
      <c r="E104" s="21"/>
    </row>
    <row r="105" spans="2:5">
      <c r="B105" s="36"/>
      <c r="C105" s="34"/>
      <c r="D105" s="20"/>
      <c r="E105" s="21"/>
    </row>
    <row r="106" spans="2:5">
      <c r="B106" s="36"/>
      <c r="C106" s="34"/>
      <c r="D106" s="20"/>
      <c r="E106" s="21"/>
    </row>
    <row r="107" spans="2:5">
      <c r="B107" s="36"/>
      <c r="C107" s="34"/>
      <c r="D107" s="20"/>
      <c r="E107" s="21"/>
    </row>
    <row r="108" spans="2:5">
      <c r="B108" s="36"/>
      <c r="C108" s="34"/>
      <c r="D108" s="20"/>
      <c r="E108" s="21"/>
    </row>
    <row r="109" spans="2:5">
      <c r="B109" s="36"/>
      <c r="C109" s="34"/>
      <c r="D109" s="20"/>
      <c r="E109" s="21"/>
    </row>
    <row r="110" spans="2:5">
      <c r="B110" s="36"/>
      <c r="C110" s="34"/>
      <c r="D110" s="20"/>
      <c r="E110" s="21"/>
    </row>
    <row r="111" spans="2:5">
      <c r="B111" s="36"/>
      <c r="C111" s="34"/>
      <c r="D111" s="20"/>
      <c r="E111" s="21"/>
    </row>
    <row r="112" spans="2:5">
      <c r="B112" s="36"/>
      <c r="C112" s="34"/>
      <c r="D112" s="20"/>
      <c r="E112" s="21"/>
    </row>
    <row r="113" spans="2:5">
      <c r="B113" s="36"/>
      <c r="C113" s="34"/>
      <c r="D113" s="20"/>
      <c r="E113" s="21"/>
    </row>
    <row r="114" spans="2:5">
      <c r="B114" s="36"/>
      <c r="C114" s="34"/>
      <c r="D114" s="20"/>
      <c r="E114" s="21"/>
    </row>
    <row r="115" spans="2:5">
      <c r="B115" s="36"/>
      <c r="C115" s="34"/>
      <c r="D115" s="20"/>
      <c r="E115" s="21"/>
    </row>
    <row r="116" spans="2:5">
      <c r="B116" s="36"/>
      <c r="C116" s="34"/>
      <c r="D116" s="20"/>
      <c r="E116" s="21"/>
    </row>
    <row r="117" spans="2:5">
      <c r="B117" s="36"/>
      <c r="C117" s="34"/>
      <c r="D117" s="20"/>
      <c r="E117" s="21"/>
    </row>
    <row r="118" spans="2:5">
      <c r="B118" s="36"/>
      <c r="C118" s="34"/>
      <c r="D118" s="20"/>
      <c r="E118" s="21"/>
    </row>
    <row r="119" spans="2:5">
      <c r="B119" s="36"/>
      <c r="C119" s="34"/>
      <c r="D119" s="20"/>
      <c r="E119" s="21"/>
    </row>
    <row r="120" spans="2:5">
      <c r="B120" s="36"/>
      <c r="C120" s="34"/>
      <c r="D120" s="20"/>
      <c r="E120" s="21"/>
    </row>
    <row r="121" spans="2:5">
      <c r="B121" s="41"/>
      <c r="C121" s="34"/>
      <c r="D121" s="20"/>
      <c r="E121" s="21"/>
    </row>
    <row r="122" spans="2:5">
      <c r="B122" s="41"/>
      <c r="C122" s="34"/>
      <c r="D122" s="20"/>
      <c r="E122" s="21"/>
    </row>
    <row r="123" spans="2:5">
      <c r="B123" s="41"/>
      <c r="C123" s="34"/>
      <c r="D123" s="20"/>
      <c r="E123" s="21"/>
    </row>
    <row r="124" spans="2:5">
      <c r="B124" s="41"/>
      <c r="C124" s="34"/>
      <c r="D124" s="20"/>
      <c r="E124" s="21"/>
    </row>
    <row r="125" spans="2:5">
      <c r="B125" s="41"/>
      <c r="C125" s="34"/>
      <c r="D125" s="20"/>
      <c r="E125" s="21"/>
    </row>
    <row r="126" spans="2:5">
      <c r="B126" s="41"/>
      <c r="C126" s="34"/>
      <c r="D126" s="20"/>
      <c r="E126" s="21"/>
    </row>
    <row r="127" spans="2:5">
      <c r="B127" s="41"/>
      <c r="C127" s="34"/>
      <c r="D127" s="20"/>
      <c r="E127" s="21"/>
    </row>
    <row r="128" spans="2:5">
      <c r="B128" s="41"/>
      <c r="C128" s="34"/>
      <c r="D128" s="20"/>
      <c r="E128" s="21"/>
    </row>
    <row r="129" spans="1:5">
      <c r="B129" s="41"/>
      <c r="C129" s="34"/>
      <c r="D129" s="20"/>
      <c r="E129" s="21"/>
    </row>
    <row r="130" spans="1:5">
      <c r="B130" s="41"/>
      <c r="C130" s="34"/>
      <c r="D130" s="20"/>
      <c r="E130" s="21"/>
    </row>
    <row r="131" spans="1:5">
      <c r="B131" s="41"/>
      <c r="C131" s="34"/>
      <c r="D131" s="20"/>
      <c r="E131" s="21"/>
    </row>
    <row r="132" spans="1:5">
      <c r="B132" s="41"/>
      <c r="C132" s="34"/>
      <c r="D132" s="20"/>
      <c r="E132" s="21"/>
    </row>
    <row r="133" spans="1:5">
      <c r="B133" s="41"/>
      <c r="C133" s="34"/>
      <c r="D133" s="20"/>
      <c r="E133" s="21"/>
    </row>
    <row r="134" spans="1:5">
      <c r="B134" s="41"/>
      <c r="C134" s="34"/>
      <c r="D134" s="20"/>
      <c r="E134" s="21"/>
    </row>
    <row r="135" spans="1:5">
      <c r="B135" s="41"/>
      <c r="C135" s="34"/>
      <c r="D135" s="20"/>
      <c r="E135" s="21"/>
    </row>
    <row r="136" spans="1:5">
      <c r="B136" s="41"/>
      <c r="C136" s="34"/>
      <c r="D136" s="20"/>
      <c r="E136" s="21"/>
    </row>
    <row r="137" spans="1:5">
      <c r="B137" s="41"/>
      <c r="C137" s="34"/>
      <c r="D137" s="20"/>
      <c r="E137" s="21"/>
    </row>
    <row r="138" spans="1:5">
      <c r="B138" s="41"/>
      <c r="C138" s="34"/>
      <c r="D138" s="20"/>
      <c r="E138" s="21"/>
    </row>
    <row r="139" spans="1:5">
      <c r="B139" s="41"/>
      <c r="C139" s="34"/>
      <c r="D139" s="20"/>
      <c r="E139" s="21"/>
    </row>
    <row r="140" spans="1:5">
      <c r="B140" s="41"/>
      <c r="C140" s="34"/>
      <c r="D140" s="20"/>
      <c r="E140" s="21"/>
    </row>
    <row r="141" spans="1:5">
      <c r="B141" s="41"/>
      <c r="C141" s="34"/>
      <c r="D141" s="20"/>
      <c r="E141" s="21"/>
    </row>
    <row r="142" spans="1:5">
      <c r="B142" s="41"/>
      <c r="C142" s="34"/>
      <c r="D142" s="20"/>
      <c r="E142" s="21"/>
    </row>
    <row r="143" spans="1:5">
      <c r="A143" s="43"/>
      <c r="B143" s="41"/>
      <c r="C143" s="34"/>
      <c r="D143" s="20"/>
      <c r="E143" s="21"/>
    </row>
    <row r="144" spans="1:5">
      <c r="B144" s="41"/>
      <c r="C144" s="34"/>
      <c r="D144" s="20"/>
      <c r="E144" s="21"/>
    </row>
    <row r="145" spans="2:5">
      <c r="B145" s="41"/>
      <c r="C145" s="34"/>
      <c r="D145" s="20"/>
      <c r="E145" s="21"/>
    </row>
    <row r="146" spans="2:5">
      <c r="B146" s="41"/>
      <c r="C146" s="34"/>
      <c r="D146" s="20"/>
      <c r="E146" s="21"/>
    </row>
    <row r="147" spans="2:5">
      <c r="B147" s="41"/>
      <c r="C147" s="34"/>
      <c r="D147" s="20"/>
      <c r="E147" s="21"/>
    </row>
    <row r="148" spans="2:5">
      <c r="B148" s="41"/>
      <c r="C148" s="34"/>
      <c r="D148" s="20"/>
      <c r="E148" s="21"/>
    </row>
    <row r="149" spans="2:5">
      <c r="B149" s="41"/>
      <c r="C149" s="34"/>
      <c r="D149" s="20"/>
      <c r="E149" s="21"/>
    </row>
    <row r="150" spans="2:5">
      <c r="B150" s="41"/>
      <c r="C150" s="34"/>
      <c r="D150" s="20"/>
      <c r="E150" s="21"/>
    </row>
    <row r="151" spans="2:5">
      <c r="B151" s="41"/>
      <c r="C151" s="34"/>
      <c r="D151" s="20"/>
      <c r="E151" s="21"/>
    </row>
    <row r="152" spans="2:5">
      <c r="B152" s="41"/>
      <c r="C152" s="34"/>
      <c r="D152" s="20"/>
      <c r="E152" s="21"/>
    </row>
    <row r="153" spans="2:5">
      <c r="B153" s="41"/>
      <c r="C153" s="34"/>
      <c r="D153" s="20"/>
      <c r="E153" s="21"/>
    </row>
    <row r="154" spans="2:5">
      <c r="B154" s="41"/>
      <c r="C154" s="34"/>
      <c r="D154" s="20"/>
      <c r="E154" s="21"/>
    </row>
    <row r="155" spans="2:5">
      <c r="B155" s="41"/>
      <c r="C155" s="34"/>
      <c r="D155" s="20"/>
      <c r="E155" s="21"/>
    </row>
    <row r="156" spans="2:5">
      <c r="B156" s="41"/>
      <c r="C156" s="34"/>
      <c r="D156" s="20"/>
      <c r="E156" s="21"/>
    </row>
    <row r="157" spans="2:5">
      <c r="B157" s="41"/>
      <c r="C157" s="34"/>
      <c r="D157" s="20"/>
      <c r="E157" s="21"/>
    </row>
    <row r="158" spans="2:5">
      <c r="B158" s="41"/>
      <c r="C158" s="34"/>
      <c r="D158" s="20"/>
      <c r="E158" s="21"/>
    </row>
    <row r="159" spans="2:5">
      <c r="B159" s="41"/>
      <c r="C159" s="34"/>
      <c r="D159" s="20"/>
      <c r="E159" s="21"/>
    </row>
    <row r="160" spans="2:5">
      <c r="B160" s="41"/>
      <c r="C160" s="34"/>
      <c r="D160" s="20"/>
      <c r="E160" s="21"/>
    </row>
    <row r="161" spans="2:5">
      <c r="B161" s="41"/>
      <c r="C161" s="34"/>
      <c r="D161" s="20"/>
      <c r="E161" s="21"/>
    </row>
    <row r="162" spans="2:5">
      <c r="B162" s="41"/>
      <c r="C162" s="34"/>
      <c r="D162" s="20"/>
      <c r="E162" s="21"/>
    </row>
    <row r="163" spans="2:5">
      <c r="B163" s="41"/>
      <c r="C163" s="34"/>
      <c r="D163" s="20"/>
      <c r="E163" s="21"/>
    </row>
    <row r="164" spans="2:5">
      <c r="B164" s="41"/>
      <c r="C164" s="34"/>
      <c r="D164" s="20"/>
      <c r="E164" s="21"/>
    </row>
    <row r="165" spans="2:5">
      <c r="B165" s="41"/>
      <c r="C165" s="34"/>
      <c r="D165" s="20"/>
      <c r="E165" s="21"/>
    </row>
    <row r="166" spans="2:5">
      <c r="B166" s="41"/>
      <c r="C166" s="34"/>
      <c r="D166" s="20"/>
      <c r="E166" s="21"/>
    </row>
    <row r="167" spans="2:5">
      <c r="B167" s="41"/>
      <c r="C167" s="34"/>
      <c r="D167" s="20"/>
      <c r="E167" s="21"/>
    </row>
    <row r="168" spans="2:5">
      <c r="B168" s="41"/>
      <c r="C168" s="34"/>
      <c r="D168" s="20"/>
      <c r="E168" s="21"/>
    </row>
    <row r="169" spans="2:5">
      <c r="B169" s="41"/>
      <c r="C169" s="34"/>
      <c r="D169" s="20"/>
      <c r="E169" s="21"/>
    </row>
    <row r="170" spans="2:5">
      <c r="B170" s="41"/>
      <c r="C170" s="34"/>
      <c r="D170" s="20"/>
      <c r="E170" s="21"/>
    </row>
    <row r="171" spans="2:5">
      <c r="B171" s="41"/>
      <c r="C171" s="34"/>
      <c r="D171" s="20"/>
      <c r="E171" s="21"/>
    </row>
    <row r="172" spans="2:5">
      <c r="B172" s="41"/>
      <c r="C172" s="34"/>
      <c r="D172" s="20"/>
      <c r="E172" s="21"/>
    </row>
    <row r="173" spans="2:5">
      <c r="B173" s="41"/>
      <c r="C173" s="34"/>
      <c r="D173" s="20"/>
      <c r="E173" s="21"/>
    </row>
    <row r="174" spans="2:5">
      <c r="B174" s="41"/>
      <c r="C174" s="34"/>
      <c r="D174" s="20"/>
      <c r="E174" s="21"/>
    </row>
    <row r="175" spans="2:5">
      <c r="B175" s="41"/>
      <c r="C175" s="34"/>
      <c r="D175" s="20"/>
      <c r="E175" s="21"/>
    </row>
    <row r="176" spans="2:5">
      <c r="B176" s="41"/>
      <c r="C176" s="34"/>
      <c r="D176" s="20"/>
      <c r="E176" s="21"/>
    </row>
    <row r="177" spans="2:5">
      <c r="B177" s="41"/>
      <c r="C177" s="34"/>
      <c r="D177" s="20"/>
      <c r="E177" s="21"/>
    </row>
    <row r="178" spans="2:5">
      <c r="B178" s="41"/>
      <c r="C178" s="34"/>
      <c r="D178" s="20"/>
      <c r="E178" s="21"/>
    </row>
    <row r="179" spans="2:5">
      <c r="B179" s="41"/>
      <c r="C179" s="34"/>
      <c r="D179" s="20"/>
      <c r="E179" s="21"/>
    </row>
    <row r="180" spans="2:5">
      <c r="B180" s="41"/>
      <c r="C180" s="34"/>
      <c r="D180" s="20"/>
      <c r="E180" s="21"/>
    </row>
    <row r="181" spans="2:5">
      <c r="B181" s="41"/>
      <c r="C181" s="34"/>
      <c r="D181" s="20"/>
      <c r="E181" s="21"/>
    </row>
    <row r="182" spans="2:5">
      <c r="B182" s="41"/>
      <c r="C182" s="34"/>
      <c r="D182" s="20"/>
      <c r="E182" s="21"/>
    </row>
    <row r="183" spans="2:5">
      <c r="B183" s="41"/>
      <c r="C183" s="34"/>
      <c r="D183" s="20"/>
      <c r="E183" s="21"/>
    </row>
    <row r="184" spans="2:5">
      <c r="B184" s="41"/>
      <c r="C184" s="34"/>
      <c r="D184" s="20"/>
      <c r="E184" s="21"/>
    </row>
    <row r="185" spans="2:5">
      <c r="B185" s="41"/>
      <c r="C185" s="34"/>
      <c r="D185" s="20"/>
      <c r="E185" s="21"/>
    </row>
    <row r="186" spans="2:5">
      <c r="B186" s="41"/>
      <c r="C186" s="34"/>
      <c r="D186" s="20"/>
      <c r="E186" s="21"/>
    </row>
    <row r="187" spans="2:5">
      <c r="B187" s="41"/>
      <c r="C187" s="34"/>
      <c r="D187" s="20"/>
      <c r="E187" s="21"/>
    </row>
    <row r="188" spans="2:5">
      <c r="B188" s="41"/>
      <c r="C188" s="34"/>
      <c r="D188" s="20"/>
      <c r="E188" s="21"/>
    </row>
    <row r="189" spans="2:5">
      <c r="B189" s="41"/>
      <c r="C189" s="34"/>
      <c r="D189" s="20"/>
      <c r="E189" s="21"/>
    </row>
    <row r="190" spans="2:5">
      <c r="B190" s="41"/>
      <c r="C190" s="34"/>
      <c r="D190" s="20"/>
      <c r="E190" s="21"/>
    </row>
    <row r="191" spans="2:5">
      <c r="B191" s="41"/>
      <c r="C191" s="34"/>
      <c r="D191" s="20"/>
      <c r="E191" s="21"/>
    </row>
    <row r="192" spans="2:5">
      <c r="B192" s="41"/>
      <c r="C192" s="34"/>
      <c r="D192" s="20"/>
      <c r="E192" s="21"/>
    </row>
    <row r="193" spans="2:5">
      <c r="B193" s="41"/>
      <c r="C193" s="34"/>
      <c r="D193" s="20"/>
      <c r="E193" s="21"/>
    </row>
    <row r="194" spans="2:5">
      <c r="B194" s="41"/>
      <c r="C194" s="34"/>
      <c r="D194" s="20"/>
      <c r="E194" s="21"/>
    </row>
    <row r="195" spans="2:5">
      <c r="B195" s="41"/>
      <c r="C195" s="34"/>
      <c r="D195" s="20"/>
      <c r="E195" s="21"/>
    </row>
    <row r="196" spans="2:5">
      <c r="B196" s="41"/>
      <c r="C196" s="34"/>
      <c r="D196" s="20"/>
      <c r="E196" s="21"/>
    </row>
    <row r="197" spans="2:5">
      <c r="B197" s="41"/>
      <c r="C197" s="34"/>
      <c r="D197" s="20"/>
      <c r="E197" s="21"/>
    </row>
    <row r="198" spans="2:5">
      <c r="B198" s="41"/>
      <c r="C198" s="34"/>
      <c r="D198" s="20"/>
      <c r="E198" s="21"/>
    </row>
    <row r="199" spans="2:5">
      <c r="B199" s="41"/>
      <c r="C199" s="34"/>
      <c r="D199" s="20"/>
      <c r="E199" s="21"/>
    </row>
    <row r="200" spans="2:5">
      <c r="B200" s="41"/>
      <c r="C200" s="34"/>
      <c r="D200" s="20"/>
      <c r="E200" s="21"/>
    </row>
    <row r="201" spans="2:5">
      <c r="B201" s="41"/>
      <c r="C201" s="34"/>
      <c r="D201" s="20"/>
      <c r="E201" s="21"/>
    </row>
    <row r="202" spans="2:5">
      <c r="B202" s="41"/>
      <c r="C202" s="34"/>
      <c r="D202" s="20"/>
      <c r="E202" s="21"/>
    </row>
    <row r="203" spans="2:5">
      <c r="B203" s="41"/>
      <c r="C203" s="34"/>
      <c r="D203" s="20"/>
      <c r="E203" s="21"/>
    </row>
    <row r="204" spans="2:5">
      <c r="B204" s="41"/>
      <c r="C204" s="34"/>
      <c r="D204" s="20"/>
      <c r="E204" s="21"/>
    </row>
    <row r="205" spans="2:5">
      <c r="B205" s="41"/>
      <c r="C205" s="34"/>
      <c r="D205" s="20"/>
      <c r="E205" s="21"/>
    </row>
    <row r="206" spans="2:5">
      <c r="B206" s="41"/>
      <c r="C206" s="34"/>
      <c r="D206" s="20"/>
      <c r="E206" s="21"/>
    </row>
    <row r="207" spans="2:5">
      <c r="B207" s="41"/>
      <c r="C207" s="34"/>
      <c r="D207" s="20"/>
      <c r="E207" s="21"/>
    </row>
    <row r="208" spans="2:5">
      <c r="B208" s="41"/>
      <c r="C208" s="34"/>
      <c r="D208" s="20"/>
      <c r="E208" s="21"/>
    </row>
    <row r="209" spans="2:5">
      <c r="B209" s="41"/>
      <c r="C209" s="34"/>
      <c r="D209" s="20"/>
      <c r="E209" s="21"/>
    </row>
    <row r="210" spans="2:5">
      <c r="B210" s="41"/>
      <c r="C210" s="34"/>
      <c r="D210" s="20"/>
      <c r="E210" s="21"/>
    </row>
    <row r="211" spans="2:5">
      <c r="B211" s="41"/>
      <c r="C211" s="34"/>
      <c r="D211" s="20"/>
      <c r="E211" s="21"/>
    </row>
    <row r="212" spans="2:5">
      <c r="B212" s="41"/>
      <c r="C212" s="34"/>
      <c r="D212" s="20"/>
      <c r="E212" s="21"/>
    </row>
    <row r="213" spans="2:5">
      <c r="B213" s="41"/>
      <c r="C213" s="34"/>
      <c r="D213" s="20"/>
      <c r="E213" s="21"/>
    </row>
    <row r="214" spans="2:5">
      <c r="B214" s="41"/>
      <c r="C214" s="34"/>
      <c r="D214" s="20"/>
      <c r="E214" s="21"/>
    </row>
    <row r="215" spans="2:5">
      <c r="B215" s="41"/>
      <c r="C215" s="34"/>
      <c r="D215" s="20"/>
      <c r="E215" s="21"/>
    </row>
    <row r="216" spans="2:5">
      <c r="B216" s="41"/>
      <c r="C216" s="34"/>
      <c r="D216" s="20"/>
      <c r="E216" s="21"/>
    </row>
    <row r="217" spans="2:5">
      <c r="B217" s="41"/>
      <c r="C217" s="34"/>
      <c r="D217" s="20"/>
      <c r="E217" s="21"/>
    </row>
    <row r="218" spans="2:5">
      <c r="B218" s="41"/>
      <c r="C218" s="34"/>
      <c r="D218" s="20"/>
      <c r="E218" s="21"/>
    </row>
    <row r="219" spans="2:5">
      <c r="B219" s="41"/>
      <c r="C219" s="34"/>
      <c r="D219" s="20"/>
      <c r="E219" s="21"/>
    </row>
    <row r="220" spans="2:5">
      <c r="B220" s="41"/>
      <c r="C220" s="34"/>
      <c r="D220" s="20"/>
      <c r="E220" s="21"/>
    </row>
    <row r="221" spans="2:5">
      <c r="B221" s="41"/>
      <c r="C221" s="34"/>
      <c r="D221" s="20"/>
      <c r="E221" s="21"/>
    </row>
    <row r="222" spans="2:5">
      <c r="B222" s="41"/>
      <c r="C222" s="34"/>
      <c r="D222" s="40"/>
      <c r="E222" s="45"/>
    </row>
    <row r="223" spans="2:5">
      <c r="B223" s="41"/>
      <c r="C223" s="34"/>
      <c r="D223" s="40"/>
      <c r="E223" s="45"/>
    </row>
    <row r="224" spans="2:5">
      <c r="B224" s="41"/>
      <c r="C224" s="34"/>
      <c r="D224" s="40"/>
      <c r="E224" s="45"/>
    </row>
    <row r="225" spans="2:5">
      <c r="B225" s="41"/>
      <c r="C225" s="34"/>
      <c r="D225" s="40"/>
      <c r="E225" s="45"/>
    </row>
    <row r="226" spans="2:5">
      <c r="B226" s="41"/>
      <c r="C226" s="34"/>
      <c r="D226" s="40"/>
      <c r="E226" s="45"/>
    </row>
    <row r="227" spans="2:5">
      <c r="B227" s="41"/>
      <c r="C227" s="34"/>
      <c r="D227" s="40"/>
      <c r="E227" s="45"/>
    </row>
    <row r="228" spans="2:5">
      <c r="B228" s="41"/>
      <c r="C228" s="34"/>
      <c r="D228" s="40"/>
      <c r="E228" s="45"/>
    </row>
    <row r="229" spans="2:5">
      <c r="B229" s="41"/>
      <c r="C229" s="34"/>
      <c r="D229" s="40"/>
      <c r="E229" s="45"/>
    </row>
    <row r="230" spans="2:5">
      <c r="B230" s="41"/>
      <c r="C230" s="34"/>
      <c r="D230" s="40"/>
      <c r="E230" s="45"/>
    </row>
    <row r="231" spans="2:5">
      <c r="B231" s="41"/>
      <c r="C231" s="34"/>
      <c r="D231" s="40"/>
      <c r="E231" s="45"/>
    </row>
    <row r="232" spans="2:5">
      <c r="B232" s="41"/>
      <c r="C232" s="34"/>
      <c r="D232" s="40"/>
      <c r="E232" s="45"/>
    </row>
    <row r="233" spans="2:5">
      <c r="B233" s="41"/>
      <c r="C233" s="34"/>
      <c r="D233" s="40"/>
      <c r="E233" s="45"/>
    </row>
    <row r="234" spans="2:5">
      <c r="B234" s="41"/>
      <c r="C234" s="34"/>
      <c r="D234" s="40"/>
      <c r="E234" s="45"/>
    </row>
    <row r="235" spans="2:5">
      <c r="B235" s="41"/>
      <c r="C235" s="34"/>
      <c r="D235" s="40"/>
      <c r="E235" s="45"/>
    </row>
    <row r="236" spans="2:5">
      <c r="B236" s="41"/>
      <c r="C236" s="34"/>
      <c r="D236" s="40"/>
      <c r="E236" s="45"/>
    </row>
    <row r="237" spans="2:5">
      <c r="B237" s="41"/>
      <c r="C237" s="34"/>
      <c r="D237" s="40"/>
      <c r="E237" s="45"/>
    </row>
    <row r="238" spans="2:5">
      <c r="B238" s="44"/>
      <c r="C238" s="34"/>
      <c r="D238" s="40"/>
      <c r="E238" s="45"/>
    </row>
    <row r="239" spans="2:5">
      <c r="B239" s="41"/>
      <c r="C239" s="34"/>
      <c r="D239" s="40"/>
      <c r="E239" s="45"/>
    </row>
    <row r="240" spans="2:5">
      <c r="B240" s="44"/>
      <c r="C240" s="34"/>
      <c r="D240" s="40"/>
      <c r="E240" s="45"/>
    </row>
    <row r="241" spans="2:5">
      <c r="B241" s="41"/>
      <c r="C241" s="34"/>
      <c r="D241" s="40"/>
      <c r="E241" s="45"/>
    </row>
    <row r="242" spans="2:5">
      <c r="B242" s="44"/>
      <c r="C242" s="34"/>
      <c r="D242" s="40"/>
      <c r="E242" s="45"/>
    </row>
    <row r="243" spans="2:5">
      <c r="B243" s="41"/>
      <c r="C243" s="34"/>
      <c r="D243" s="40"/>
      <c r="E243" s="45"/>
    </row>
    <row r="244" spans="2:5">
      <c r="B244" s="44"/>
      <c r="C244" s="34"/>
      <c r="D244" s="40"/>
      <c r="E244" s="45"/>
    </row>
    <row r="245" spans="2:5">
      <c r="B245" s="44"/>
      <c r="C245" s="34"/>
      <c r="D245" s="40"/>
      <c r="E245" s="45"/>
    </row>
    <row r="246" spans="2:5">
      <c r="B246" s="44"/>
      <c r="C246" s="34"/>
      <c r="D246" s="40"/>
      <c r="E246" s="45"/>
    </row>
    <row r="247" spans="2:5">
      <c r="B247" s="44"/>
      <c r="C247" s="34"/>
      <c r="D247" s="40"/>
      <c r="E247" s="45"/>
    </row>
    <row r="248" spans="2:5">
      <c r="B248" s="44"/>
      <c r="C248" s="34"/>
      <c r="D248" s="40"/>
      <c r="E248" s="45"/>
    </row>
    <row r="249" spans="2:5">
      <c r="B249" s="44"/>
      <c r="C249" s="34"/>
      <c r="D249" s="40"/>
      <c r="E249" s="45"/>
    </row>
    <row r="250" spans="2:5">
      <c r="B250" s="44"/>
      <c r="C250" s="34"/>
      <c r="D250" s="40"/>
      <c r="E250" s="45"/>
    </row>
    <row r="251" spans="2:5">
      <c r="B251" s="44"/>
      <c r="C251" s="34"/>
      <c r="D251" s="40"/>
      <c r="E251" s="45"/>
    </row>
    <row r="252" spans="2:5">
      <c r="B252" s="44"/>
      <c r="C252" s="34"/>
      <c r="D252" s="40"/>
      <c r="E252" s="45"/>
    </row>
    <row r="253" spans="2:5">
      <c r="B253" s="44"/>
      <c r="C253" s="34"/>
      <c r="D253" s="40"/>
      <c r="E253" s="45"/>
    </row>
    <row r="254" spans="2:5">
      <c r="B254" s="44"/>
      <c r="C254" s="34"/>
      <c r="D254" s="40"/>
      <c r="E254" s="45"/>
    </row>
    <row r="255" spans="2:5">
      <c r="B255" s="44"/>
      <c r="C255" s="34"/>
      <c r="D255" s="40"/>
      <c r="E255" s="45"/>
    </row>
    <row r="256" spans="2:5">
      <c r="B256" s="44"/>
      <c r="C256" s="34"/>
      <c r="D256" s="40"/>
      <c r="E256" s="45"/>
    </row>
    <row r="257" spans="2:5">
      <c r="B257" s="44"/>
      <c r="C257" s="34"/>
      <c r="D257" s="40"/>
      <c r="E257" s="45"/>
    </row>
    <row r="258" spans="2:5">
      <c r="B258" s="44"/>
      <c r="C258" s="34"/>
      <c r="D258" s="40"/>
      <c r="E258" s="45"/>
    </row>
    <row r="259" spans="2:5">
      <c r="B259" s="44"/>
      <c r="C259" s="34"/>
      <c r="D259" s="40"/>
      <c r="E259" s="45"/>
    </row>
    <row r="260" spans="2:5">
      <c r="B260" s="44"/>
      <c r="C260" s="34"/>
      <c r="D260" s="40"/>
      <c r="E260" s="45"/>
    </row>
    <row r="261" spans="2:5">
      <c r="B261" s="44"/>
      <c r="C261" s="34"/>
      <c r="D261" s="40"/>
      <c r="E261" s="45"/>
    </row>
    <row r="262" spans="2:5">
      <c r="B262" s="44"/>
      <c r="C262" s="34"/>
      <c r="D262" s="40"/>
      <c r="E262" s="45"/>
    </row>
    <row r="263" spans="2:5">
      <c r="B263" s="44"/>
      <c r="C263" s="34"/>
      <c r="D263" s="40"/>
      <c r="E263" s="45"/>
    </row>
    <row r="264" spans="2:5">
      <c r="B264" s="44"/>
      <c r="C264" s="34"/>
      <c r="D264" s="40"/>
      <c r="E264" s="45"/>
    </row>
    <row r="265" spans="2:5">
      <c r="B265" s="44"/>
      <c r="C265" s="34"/>
      <c r="D265" s="40"/>
      <c r="E265" s="45"/>
    </row>
    <row r="266" spans="2:5">
      <c r="B266" s="44"/>
      <c r="C266" s="34"/>
      <c r="D266" s="40"/>
      <c r="E266" s="45"/>
    </row>
    <row r="267" spans="2:5">
      <c r="B267" s="44"/>
      <c r="C267" s="34"/>
      <c r="D267" s="40"/>
      <c r="E267" s="45"/>
    </row>
    <row r="268" spans="2:5">
      <c r="B268" s="44"/>
      <c r="C268" s="34"/>
      <c r="D268" s="40"/>
      <c r="E268" s="45"/>
    </row>
    <row r="269" spans="2:5">
      <c r="B269" s="44"/>
      <c r="C269" s="34"/>
      <c r="D269" s="40"/>
      <c r="E269" s="45"/>
    </row>
    <row r="270" spans="2:5">
      <c r="B270" s="44"/>
      <c r="C270" s="34"/>
      <c r="D270" s="40"/>
      <c r="E270" s="45"/>
    </row>
    <row r="271" spans="2:5">
      <c r="B271" s="44"/>
      <c r="C271" s="34"/>
      <c r="D271" s="40"/>
      <c r="E271" s="45"/>
    </row>
    <row r="272" spans="2:5">
      <c r="B272" s="44"/>
      <c r="C272" s="34"/>
      <c r="D272" s="40"/>
      <c r="E272" s="45"/>
    </row>
    <row r="273" spans="2:5">
      <c r="B273" s="44"/>
      <c r="C273" s="34"/>
      <c r="D273" s="40"/>
      <c r="E273" s="45"/>
    </row>
    <row r="274" spans="2:5">
      <c r="B274" s="44"/>
      <c r="C274" s="34"/>
      <c r="D274" s="40"/>
      <c r="E274" s="45"/>
    </row>
    <row r="275" spans="2:5">
      <c r="B275" s="44"/>
      <c r="C275" s="34"/>
      <c r="D275" s="40"/>
      <c r="E275" s="45"/>
    </row>
    <row r="276" spans="2:5">
      <c r="B276" s="44"/>
      <c r="C276" s="34"/>
      <c r="D276" s="40"/>
      <c r="E276" s="45"/>
    </row>
    <row r="277" spans="2:5">
      <c r="B277" s="44"/>
      <c r="C277" s="34"/>
      <c r="D277" s="40"/>
      <c r="E277" s="45"/>
    </row>
    <row r="278" spans="2:5">
      <c r="B278" s="44"/>
      <c r="C278" s="34"/>
      <c r="D278" s="40"/>
      <c r="E278" s="45"/>
    </row>
    <row r="279" spans="2:5">
      <c r="B279" s="44"/>
      <c r="C279" s="34"/>
      <c r="D279" s="40"/>
      <c r="E279" s="45"/>
    </row>
    <row r="280" spans="2:5">
      <c r="B280" s="44"/>
      <c r="C280" s="34"/>
      <c r="D280" s="40"/>
      <c r="E280" s="45"/>
    </row>
    <row r="281" spans="2:5">
      <c r="B281" s="44"/>
      <c r="C281" s="34"/>
      <c r="D281" s="40"/>
      <c r="E281" s="45"/>
    </row>
    <row r="282" spans="2:5">
      <c r="B282" s="44"/>
      <c r="C282" s="34"/>
      <c r="D282" s="40"/>
      <c r="E282" s="45"/>
    </row>
    <row r="283" spans="2:5">
      <c r="B283" s="44"/>
      <c r="C283" s="34"/>
      <c r="D283" s="40"/>
      <c r="E283" s="45"/>
    </row>
    <row r="284" spans="2:5">
      <c r="B284" s="44"/>
      <c r="C284" s="34"/>
      <c r="D284" s="40"/>
      <c r="E284" s="45"/>
    </row>
    <row r="285" spans="2:5">
      <c r="B285" s="44"/>
      <c r="C285" s="34"/>
      <c r="D285" s="40"/>
      <c r="E285" s="45"/>
    </row>
    <row r="286" spans="2:5">
      <c r="B286" s="44"/>
      <c r="C286" s="34"/>
      <c r="D286" s="40"/>
      <c r="E286" s="45"/>
    </row>
    <row r="287" spans="2:5">
      <c r="B287" s="44"/>
      <c r="C287" s="34"/>
      <c r="D287" s="40"/>
      <c r="E287" s="45"/>
    </row>
    <row r="288" spans="2:5">
      <c r="B288" s="44"/>
      <c r="C288" s="34"/>
      <c r="D288" s="40"/>
      <c r="E288" s="45"/>
    </row>
    <row r="289" spans="2:5">
      <c r="B289" s="44"/>
      <c r="C289" s="34"/>
      <c r="D289" s="40"/>
      <c r="E289" s="45"/>
    </row>
    <row r="290" spans="2:5">
      <c r="B290" s="44"/>
      <c r="C290" s="34"/>
      <c r="D290" s="40"/>
      <c r="E290" s="45"/>
    </row>
    <row r="291" spans="2:5">
      <c r="B291" s="44"/>
      <c r="C291" s="34"/>
      <c r="D291" s="40"/>
      <c r="E291" s="45"/>
    </row>
    <row r="292" spans="2:5">
      <c r="B292" s="44"/>
      <c r="C292" s="34"/>
      <c r="D292" s="40"/>
      <c r="E292" s="45"/>
    </row>
    <row r="293" spans="2:5">
      <c r="B293" s="44"/>
      <c r="C293" s="34"/>
      <c r="D293" s="40"/>
      <c r="E293" s="45"/>
    </row>
    <row r="294" spans="2:5">
      <c r="B294" s="44"/>
      <c r="C294" s="34"/>
      <c r="D294" s="40"/>
      <c r="E294" s="45"/>
    </row>
    <row r="295" spans="2:5">
      <c r="B295" s="44"/>
      <c r="C295" s="34"/>
      <c r="D295" s="40"/>
      <c r="E295" s="45"/>
    </row>
    <row r="296" spans="2:5">
      <c r="B296" s="44"/>
      <c r="C296" s="34"/>
      <c r="D296" s="40"/>
      <c r="E296" s="45"/>
    </row>
    <row r="297" spans="2:5">
      <c r="B297" s="44"/>
      <c r="C297" s="34"/>
      <c r="D297" s="40"/>
      <c r="E297" s="45"/>
    </row>
    <row r="298" spans="2:5">
      <c r="B298" s="44"/>
      <c r="C298" s="34"/>
      <c r="D298" s="40"/>
      <c r="E298" s="45"/>
    </row>
    <row r="299" spans="2:5">
      <c r="B299" s="44"/>
      <c r="C299" s="34"/>
      <c r="D299" s="40"/>
      <c r="E299" s="45"/>
    </row>
    <row r="300" spans="2:5">
      <c r="B300" s="44"/>
      <c r="C300" s="34"/>
      <c r="D300" s="40"/>
      <c r="E300" s="45"/>
    </row>
    <row r="301" spans="2:5">
      <c r="B301" s="44"/>
      <c r="C301" s="34"/>
      <c r="D301" s="40"/>
      <c r="E301" s="45"/>
    </row>
    <row r="302" spans="2:5">
      <c r="B302" s="44"/>
      <c r="C302" s="34"/>
      <c r="D302" s="40"/>
      <c r="E302" s="45"/>
    </row>
    <row r="303" spans="2:5">
      <c r="B303" s="44"/>
      <c r="C303" s="34"/>
      <c r="D303" s="40"/>
      <c r="E303" s="45"/>
    </row>
    <row r="304" spans="2:5">
      <c r="B304" s="44"/>
      <c r="C304" s="34"/>
      <c r="D304" s="40"/>
      <c r="E304" s="45"/>
    </row>
    <row r="305" spans="2:5">
      <c r="B305" s="44"/>
      <c r="C305" s="34"/>
      <c r="D305" s="40"/>
      <c r="E305" s="45"/>
    </row>
    <row r="306" spans="2:5">
      <c r="B306" s="44"/>
      <c r="C306" s="34"/>
      <c r="D306" s="40"/>
      <c r="E306" s="45"/>
    </row>
    <row r="307" spans="2:5">
      <c r="B307" s="44"/>
      <c r="C307" s="34"/>
      <c r="D307" s="40"/>
      <c r="E307" s="45"/>
    </row>
    <row r="308" spans="2:5">
      <c r="B308" s="44"/>
      <c r="C308" s="34"/>
      <c r="D308" s="40"/>
      <c r="E308" s="45"/>
    </row>
    <row r="309" spans="2:5">
      <c r="B309" s="44"/>
      <c r="C309" s="34"/>
      <c r="D309" s="40"/>
      <c r="E309" s="45"/>
    </row>
    <row r="310" spans="2:5">
      <c r="B310" s="44"/>
      <c r="C310" s="34"/>
      <c r="D310" s="40"/>
      <c r="E310" s="45"/>
    </row>
    <row r="311" spans="2:5">
      <c r="B311" s="44"/>
      <c r="C311" s="34"/>
      <c r="D311" s="40"/>
      <c r="E311" s="45"/>
    </row>
    <row r="312" spans="2:5">
      <c r="B312" s="44"/>
      <c r="C312" s="34"/>
      <c r="D312" s="40"/>
      <c r="E312" s="45"/>
    </row>
    <row r="313" spans="2:5">
      <c r="B313" s="44"/>
      <c r="C313" s="34"/>
      <c r="D313" s="40"/>
      <c r="E313" s="45"/>
    </row>
    <row r="314" spans="2:5">
      <c r="B314" s="44"/>
      <c r="C314" s="34"/>
      <c r="D314" s="40"/>
      <c r="E314" s="45"/>
    </row>
    <row r="315" spans="2:5">
      <c r="B315" s="44"/>
      <c r="C315" s="34"/>
      <c r="D315" s="40"/>
      <c r="E315" s="45"/>
    </row>
    <row r="316" spans="2:5">
      <c r="B316" s="44"/>
      <c r="C316" s="34"/>
      <c r="D316" s="40"/>
      <c r="E316" s="45"/>
    </row>
    <row r="317" spans="2:5">
      <c r="B317" s="44"/>
      <c r="C317" s="34"/>
      <c r="D317" s="40"/>
      <c r="E317" s="45"/>
    </row>
    <row r="318" spans="2:5">
      <c r="B318" s="44"/>
      <c r="C318" s="34"/>
      <c r="D318" s="40"/>
      <c r="E318" s="45"/>
    </row>
    <row r="319" spans="2:5">
      <c r="B319" s="44"/>
      <c r="C319" s="34"/>
      <c r="D319" s="40"/>
      <c r="E319" s="45"/>
    </row>
    <row r="320" spans="2:5">
      <c r="B320" s="44"/>
      <c r="C320" s="34"/>
      <c r="D320" s="40"/>
      <c r="E320" s="45"/>
    </row>
    <row r="321" spans="2:5">
      <c r="B321" s="44"/>
      <c r="C321" s="34"/>
      <c r="D321" s="40"/>
      <c r="E321" s="45"/>
    </row>
    <row r="322" spans="2:5">
      <c r="B322" s="44"/>
      <c r="C322" s="34"/>
      <c r="D322" s="40"/>
      <c r="E322" s="45"/>
    </row>
    <row r="323" spans="2:5">
      <c r="B323" s="44"/>
      <c r="C323" s="34"/>
      <c r="D323" s="40"/>
      <c r="E323" s="45"/>
    </row>
    <row r="324" spans="2:5">
      <c r="B324" s="44"/>
      <c r="C324" s="34"/>
      <c r="D324" s="40"/>
      <c r="E324" s="45"/>
    </row>
    <row r="325" spans="2:5">
      <c r="B325" s="44"/>
      <c r="C325" s="34"/>
      <c r="D325" s="40"/>
      <c r="E325" s="45"/>
    </row>
    <row r="326" spans="2:5">
      <c r="B326" s="44"/>
      <c r="C326" s="34"/>
      <c r="D326" s="40"/>
      <c r="E326" s="45"/>
    </row>
    <row r="327" spans="2:5">
      <c r="B327" s="44"/>
      <c r="C327" s="34"/>
      <c r="D327" s="40"/>
      <c r="E327" s="45"/>
    </row>
    <row r="328" spans="2:5">
      <c r="B328" s="44"/>
      <c r="C328" s="34"/>
      <c r="D328" s="40"/>
      <c r="E328" s="45"/>
    </row>
    <row r="329" spans="2:5">
      <c r="B329" s="44"/>
      <c r="C329" s="34"/>
      <c r="D329" s="40"/>
      <c r="E329" s="45"/>
    </row>
    <row r="330" spans="2:5">
      <c r="B330" s="44"/>
      <c r="C330" s="34"/>
      <c r="D330" s="40"/>
      <c r="E330" s="45"/>
    </row>
    <row r="331" spans="2:5">
      <c r="B331" s="44"/>
      <c r="C331" s="34"/>
      <c r="D331" s="40"/>
      <c r="E331" s="45"/>
    </row>
    <row r="332" spans="2:5">
      <c r="B332" s="44"/>
      <c r="C332" s="34"/>
      <c r="D332" s="40"/>
      <c r="E332" s="45"/>
    </row>
    <row r="333" spans="2:5">
      <c r="B333" s="44"/>
      <c r="C333" s="34"/>
      <c r="D333" s="40"/>
      <c r="E333" s="45"/>
    </row>
    <row r="334" spans="2:5">
      <c r="B334" s="44"/>
      <c r="C334" s="34"/>
      <c r="D334" s="40"/>
      <c r="E334" s="45"/>
    </row>
    <row r="335" spans="2:5">
      <c r="B335" s="44"/>
      <c r="C335" s="34"/>
      <c r="D335" s="40"/>
      <c r="E335" s="45"/>
    </row>
    <row r="336" spans="2:5">
      <c r="B336" s="44"/>
      <c r="C336" s="34"/>
      <c r="D336" s="40"/>
      <c r="E336" s="45"/>
    </row>
    <row r="337" spans="2:5">
      <c r="B337" s="44"/>
      <c r="C337" s="34"/>
      <c r="D337" s="40"/>
      <c r="E337" s="45"/>
    </row>
    <row r="338" spans="2:5">
      <c r="B338" s="44"/>
      <c r="C338" s="34"/>
      <c r="D338" s="40"/>
      <c r="E338" s="45"/>
    </row>
    <row r="339" spans="2:5">
      <c r="B339" s="44"/>
      <c r="C339" s="34"/>
      <c r="D339" s="40"/>
      <c r="E339" s="45"/>
    </row>
    <row r="340" spans="2:5">
      <c r="B340" s="44"/>
      <c r="C340" s="34"/>
      <c r="D340" s="40"/>
      <c r="E340" s="45"/>
    </row>
    <row r="341" spans="2:5">
      <c r="B341" s="44"/>
      <c r="C341" s="34"/>
      <c r="D341" s="40"/>
      <c r="E341" s="45"/>
    </row>
    <row r="342" spans="2:5">
      <c r="B342" s="44"/>
      <c r="C342" s="34"/>
      <c r="D342" s="40"/>
      <c r="E342" s="45"/>
    </row>
    <row r="343" spans="2:5">
      <c r="B343" s="44"/>
      <c r="C343" s="34"/>
      <c r="D343" s="40"/>
      <c r="E343" s="45"/>
    </row>
    <row r="344" spans="2:5">
      <c r="B344" s="44"/>
      <c r="C344" s="34"/>
      <c r="D344" s="40"/>
      <c r="E344" s="45"/>
    </row>
    <row r="345" spans="2:5">
      <c r="B345" s="44"/>
      <c r="C345" s="34"/>
      <c r="D345" s="40"/>
      <c r="E345" s="45"/>
    </row>
    <row r="346" spans="2:5">
      <c r="B346" s="44"/>
      <c r="C346" s="34"/>
      <c r="D346" s="40"/>
      <c r="E346" s="45"/>
    </row>
    <row r="347" spans="2:5">
      <c r="B347" s="44"/>
      <c r="C347" s="34"/>
      <c r="D347" s="40"/>
      <c r="E347" s="45"/>
    </row>
    <row r="348" spans="2:5">
      <c r="B348" s="44"/>
      <c r="C348" s="34"/>
      <c r="D348" s="40"/>
      <c r="E348" s="45"/>
    </row>
    <row r="349" spans="2:5">
      <c r="B349" s="44"/>
      <c r="C349" s="34"/>
      <c r="D349" s="40"/>
      <c r="E349" s="45"/>
    </row>
    <row r="350" spans="2:5">
      <c r="B350" s="44"/>
      <c r="C350" s="34"/>
      <c r="D350" s="40"/>
      <c r="E350" s="45"/>
    </row>
    <row r="351" spans="2:5">
      <c r="B351" s="44"/>
      <c r="C351" s="34"/>
      <c r="D351" s="40"/>
      <c r="E351" s="45"/>
    </row>
    <row r="352" spans="2:5">
      <c r="B352" s="44"/>
      <c r="C352" s="34"/>
      <c r="D352" s="40"/>
      <c r="E352" s="45"/>
    </row>
    <row r="353" spans="2:5">
      <c r="B353" s="44"/>
      <c r="C353" s="34"/>
      <c r="D353" s="40"/>
      <c r="E353" s="45"/>
    </row>
    <row r="354" spans="2:5">
      <c r="B354" s="44"/>
      <c r="C354" s="34"/>
      <c r="D354" s="40"/>
      <c r="E354" s="45"/>
    </row>
    <row r="355" spans="2:5">
      <c r="B355" s="44"/>
      <c r="C355" s="34"/>
      <c r="D355" s="40"/>
      <c r="E355" s="45"/>
    </row>
    <row r="356" spans="2:5">
      <c r="B356" s="44"/>
      <c r="C356" s="34"/>
      <c r="D356" s="40"/>
      <c r="E356" s="45"/>
    </row>
    <row r="357" spans="2:5">
      <c r="B357" s="44"/>
      <c r="C357" s="34"/>
      <c r="D357" s="40"/>
      <c r="E357" s="45"/>
    </row>
    <row r="358" spans="2:5">
      <c r="B358" s="44"/>
      <c r="C358" s="34"/>
      <c r="D358" s="40"/>
      <c r="E358" s="45"/>
    </row>
    <row r="359" spans="2:5">
      <c r="B359" s="44"/>
      <c r="C359" s="34"/>
      <c r="D359" s="40"/>
      <c r="E359" s="45"/>
    </row>
    <row r="360" spans="2:5">
      <c r="B360" s="44"/>
      <c r="C360" s="34"/>
      <c r="D360" s="40"/>
      <c r="E360" s="45"/>
    </row>
    <row r="361" spans="2:5">
      <c r="B361" s="44"/>
      <c r="C361" s="34"/>
      <c r="D361" s="40"/>
      <c r="E361" s="45"/>
    </row>
    <row r="362" spans="2:5">
      <c r="B362" s="44"/>
      <c r="C362" s="34"/>
      <c r="D362" s="40"/>
      <c r="E362" s="45"/>
    </row>
    <row r="363" spans="2:5">
      <c r="B363" s="44"/>
      <c r="C363" s="34"/>
      <c r="D363" s="40"/>
      <c r="E363" s="45"/>
    </row>
    <row r="364" spans="2:5">
      <c r="B364" s="44"/>
      <c r="C364" s="34"/>
      <c r="D364" s="40"/>
      <c r="E364" s="45"/>
    </row>
    <row r="365" spans="2:5">
      <c r="B365" s="44"/>
      <c r="C365" s="34"/>
      <c r="D365" s="40"/>
      <c r="E365" s="45"/>
    </row>
    <row r="366" spans="2:5">
      <c r="B366" s="44"/>
      <c r="C366" s="34"/>
      <c r="D366" s="40"/>
      <c r="E366" s="45"/>
    </row>
    <row r="367" spans="2:5">
      <c r="B367" s="44"/>
      <c r="C367" s="34"/>
      <c r="D367" s="40"/>
      <c r="E367" s="45"/>
    </row>
    <row r="368" spans="2:5">
      <c r="B368" s="44"/>
      <c r="C368" s="34"/>
      <c r="D368" s="40"/>
      <c r="E368" s="45"/>
    </row>
    <row r="369" spans="2:5">
      <c r="B369" s="44"/>
      <c r="C369" s="34"/>
      <c r="D369" s="40"/>
      <c r="E369" s="45"/>
    </row>
    <row r="370" spans="2:5">
      <c r="B370" s="44"/>
      <c r="C370" s="34"/>
      <c r="D370" s="40"/>
      <c r="E370" s="45"/>
    </row>
    <row r="371" spans="2:5">
      <c r="B371" s="44"/>
      <c r="C371" s="34"/>
      <c r="D371" s="40"/>
      <c r="E371" s="45"/>
    </row>
    <row r="372" spans="2:5">
      <c r="B372" s="44"/>
      <c r="C372" s="34"/>
      <c r="D372" s="40"/>
      <c r="E372" s="45"/>
    </row>
    <row r="373" spans="2:5">
      <c r="B373" s="44"/>
      <c r="C373" s="34"/>
      <c r="D373" s="40"/>
      <c r="E373" s="45"/>
    </row>
    <row r="374" spans="2:5">
      <c r="B374" s="44"/>
      <c r="C374" s="34"/>
      <c r="D374" s="40"/>
      <c r="E374" s="45"/>
    </row>
    <row r="375" spans="2:5">
      <c r="B375" s="44"/>
      <c r="C375" s="34"/>
      <c r="D375" s="40"/>
      <c r="E375" s="45"/>
    </row>
    <row r="376" spans="2:5">
      <c r="B376" s="44"/>
      <c r="C376" s="34"/>
      <c r="D376" s="40"/>
      <c r="E376" s="45"/>
    </row>
    <row r="377" spans="2:5">
      <c r="B377" s="44"/>
      <c r="C377" s="34"/>
      <c r="D377" s="40"/>
      <c r="E377" s="45"/>
    </row>
    <row r="378" spans="2:5">
      <c r="B378" s="44"/>
      <c r="C378" s="34"/>
      <c r="D378" s="40"/>
      <c r="E378" s="45"/>
    </row>
    <row r="379" spans="2:5">
      <c r="B379" s="44"/>
      <c r="C379" s="34"/>
      <c r="D379" s="40"/>
      <c r="E379" s="45"/>
    </row>
    <row r="380" spans="2:5">
      <c r="B380" s="44"/>
      <c r="C380" s="34"/>
      <c r="D380" s="40"/>
      <c r="E380" s="45"/>
    </row>
    <row r="381" spans="2:5">
      <c r="B381" s="44"/>
      <c r="C381" s="34"/>
      <c r="D381" s="40"/>
      <c r="E381" s="45"/>
    </row>
    <row r="382" spans="2:5">
      <c r="B382" s="44"/>
      <c r="C382" s="34"/>
      <c r="D382" s="40"/>
      <c r="E382" s="45"/>
    </row>
    <row r="383" spans="2:5">
      <c r="B383" s="44"/>
      <c r="C383" s="34"/>
      <c r="D383" s="40"/>
      <c r="E383" s="45"/>
    </row>
    <row r="384" spans="2:5">
      <c r="B384" s="44"/>
      <c r="C384" s="34"/>
      <c r="D384" s="40"/>
      <c r="E384" s="45"/>
    </row>
    <row r="385" spans="2:5">
      <c r="B385" s="44"/>
      <c r="C385" s="34"/>
      <c r="D385" s="40"/>
      <c r="E385" s="45"/>
    </row>
    <row r="386" spans="2:5">
      <c r="B386" s="44"/>
      <c r="C386" s="34"/>
      <c r="D386" s="40"/>
      <c r="E386" s="45"/>
    </row>
    <row r="387" spans="2:5">
      <c r="B387" s="44"/>
      <c r="C387" s="34"/>
      <c r="D387" s="40"/>
      <c r="E387" s="45"/>
    </row>
    <row r="388" spans="2:5">
      <c r="B388" s="44"/>
      <c r="C388" s="34"/>
      <c r="D388" s="40"/>
      <c r="E388" s="45"/>
    </row>
    <row r="389" spans="2:5">
      <c r="B389" s="44"/>
      <c r="C389" s="34"/>
      <c r="D389" s="40"/>
      <c r="E389" s="45"/>
    </row>
    <row r="390" spans="2:5">
      <c r="B390" s="44"/>
      <c r="C390" s="34"/>
      <c r="D390" s="40"/>
      <c r="E390" s="45"/>
    </row>
    <row r="391" spans="2:5">
      <c r="B391" s="44"/>
      <c r="C391" s="34"/>
      <c r="D391" s="40"/>
      <c r="E391" s="45"/>
    </row>
    <row r="392" spans="2:5">
      <c r="B392" s="44"/>
      <c r="C392" s="34"/>
      <c r="D392" s="40"/>
      <c r="E392" s="45"/>
    </row>
    <row r="393" spans="2:5">
      <c r="B393" s="44"/>
      <c r="C393" s="34"/>
      <c r="D393" s="40"/>
      <c r="E393" s="45"/>
    </row>
    <row r="394" spans="2:5">
      <c r="B394" s="44"/>
      <c r="C394" s="34"/>
      <c r="D394" s="40"/>
      <c r="E394" s="45"/>
    </row>
    <row r="395" spans="2:5">
      <c r="B395" s="44"/>
      <c r="C395" s="34"/>
      <c r="D395" s="40"/>
      <c r="E395" s="45"/>
    </row>
    <row r="396" spans="2:5">
      <c r="B396" s="44"/>
      <c r="C396" s="34"/>
      <c r="D396" s="40"/>
      <c r="E396" s="45"/>
    </row>
    <row r="397" spans="2:5">
      <c r="B397" s="44"/>
      <c r="C397" s="34"/>
      <c r="D397" s="40"/>
      <c r="E397" s="45"/>
    </row>
    <row r="398" spans="2:5">
      <c r="B398" s="44"/>
      <c r="C398" s="34"/>
      <c r="D398" s="40"/>
      <c r="E398" s="45"/>
    </row>
    <row r="399" spans="2:5">
      <c r="B399" s="44"/>
      <c r="C399" s="34"/>
      <c r="D399" s="40"/>
      <c r="E399" s="45"/>
    </row>
    <row r="400" spans="2:5">
      <c r="B400" s="44"/>
      <c r="C400" s="34"/>
      <c r="D400" s="40"/>
      <c r="E400" s="45"/>
    </row>
    <row r="401" spans="2:5">
      <c r="B401" s="44"/>
      <c r="C401" s="34"/>
      <c r="D401" s="40"/>
      <c r="E401" s="45"/>
    </row>
    <row r="402" spans="2:5">
      <c r="B402" s="44"/>
      <c r="C402" s="34"/>
      <c r="D402" s="40"/>
      <c r="E402" s="45"/>
    </row>
    <row r="403" spans="2:5">
      <c r="B403" s="44"/>
      <c r="C403" s="34"/>
      <c r="D403" s="40"/>
      <c r="E403" s="45"/>
    </row>
    <row r="404" spans="2:5">
      <c r="B404" s="44"/>
      <c r="C404" s="34"/>
      <c r="D404" s="40"/>
      <c r="E404" s="45"/>
    </row>
    <row r="405" spans="2:5">
      <c r="B405" s="44"/>
      <c r="C405" s="34"/>
      <c r="D405" s="40"/>
      <c r="E405" s="45"/>
    </row>
    <row r="406" spans="2:5">
      <c r="B406" s="44"/>
      <c r="C406" s="34"/>
      <c r="D406" s="40"/>
      <c r="E406" s="45"/>
    </row>
    <row r="407" spans="2:5">
      <c r="B407" s="44"/>
      <c r="C407" s="34"/>
      <c r="D407" s="40"/>
      <c r="E407" s="45"/>
    </row>
    <row r="408" spans="2:5">
      <c r="B408" s="44"/>
      <c r="C408" s="34"/>
      <c r="D408" s="40"/>
      <c r="E408" s="45"/>
    </row>
    <row r="409" spans="2:5">
      <c r="B409" s="44"/>
      <c r="C409" s="34"/>
      <c r="D409" s="40"/>
      <c r="E409" s="45"/>
    </row>
    <row r="410" spans="2:5">
      <c r="B410" s="44"/>
      <c r="C410" s="34"/>
      <c r="D410" s="40"/>
      <c r="E410" s="45"/>
    </row>
    <row r="411" spans="2:5">
      <c r="B411" s="44"/>
      <c r="C411" s="34"/>
      <c r="D411" s="40"/>
      <c r="E411" s="45"/>
    </row>
    <row r="412" spans="2:5">
      <c r="B412" s="44"/>
      <c r="C412" s="34"/>
      <c r="D412" s="40"/>
      <c r="E412" s="45"/>
    </row>
    <row r="413" spans="2:5">
      <c r="B413" s="44"/>
      <c r="C413" s="34"/>
      <c r="D413" s="40"/>
      <c r="E413" s="45"/>
    </row>
    <row r="414" spans="2:5">
      <c r="B414" s="44"/>
      <c r="C414" s="34"/>
      <c r="D414" s="40"/>
      <c r="E414" s="45"/>
    </row>
    <row r="415" spans="2:5">
      <c r="B415" s="44"/>
      <c r="C415" s="34"/>
      <c r="D415" s="40"/>
      <c r="E415" s="45"/>
    </row>
    <row r="416" spans="2:5">
      <c r="B416" s="44"/>
      <c r="C416" s="34"/>
      <c r="D416" s="40"/>
      <c r="E416" s="45"/>
    </row>
    <row r="417" spans="2:5">
      <c r="B417" s="44"/>
      <c r="C417" s="34"/>
      <c r="D417" s="40"/>
      <c r="E417" s="45"/>
    </row>
    <row r="418" spans="2:5">
      <c r="B418" s="44"/>
      <c r="C418" s="34"/>
      <c r="D418" s="40"/>
      <c r="E418" s="45"/>
    </row>
    <row r="419" spans="2:5">
      <c r="B419" s="44"/>
      <c r="C419" s="34"/>
      <c r="D419" s="40"/>
      <c r="E419" s="45"/>
    </row>
    <row r="420" spans="2:5">
      <c r="B420" s="44"/>
      <c r="C420" s="34"/>
      <c r="D420" s="40"/>
      <c r="E420" s="45"/>
    </row>
    <row r="421" spans="2:5">
      <c r="B421" s="44"/>
      <c r="C421" s="34"/>
      <c r="D421" s="40"/>
      <c r="E421" s="45"/>
    </row>
    <row r="422" spans="2:5">
      <c r="B422" s="44"/>
      <c r="C422" s="34"/>
      <c r="D422" s="40"/>
      <c r="E422" s="45"/>
    </row>
    <row r="423" spans="2:5">
      <c r="B423" s="44"/>
      <c r="C423" s="34"/>
      <c r="D423" s="40"/>
      <c r="E423" s="45"/>
    </row>
    <row r="424" spans="2:5">
      <c r="B424" s="44"/>
      <c r="C424" s="34"/>
      <c r="D424" s="40"/>
      <c r="E424" s="45"/>
    </row>
    <row r="425" spans="2:5">
      <c r="B425" s="44"/>
      <c r="C425" s="34"/>
      <c r="D425" s="40"/>
      <c r="E425" s="45"/>
    </row>
    <row r="426" spans="2:5">
      <c r="B426" s="44"/>
      <c r="C426" s="34"/>
      <c r="D426" s="40"/>
      <c r="E426" s="45"/>
    </row>
    <row r="427" spans="2:5">
      <c r="B427" s="44"/>
      <c r="C427" s="34"/>
      <c r="D427" s="40"/>
      <c r="E427" s="45"/>
    </row>
    <row r="428" spans="2:5">
      <c r="B428" s="44"/>
      <c r="C428" s="34"/>
      <c r="D428" s="40"/>
      <c r="E428" s="45"/>
    </row>
    <row r="429" spans="2:5">
      <c r="B429" s="44"/>
      <c r="C429" s="34"/>
      <c r="D429" s="40"/>
      <c r="E429" s="45"/>
    </row>
    <row r="430" spans="2:5">
      <c r="B430" s="44"/>
      <c r="C430" s="34"/>
      <c r="D430" s="40"/>
      <c r="E430" s="45"/>
    </row>
    <row r="431" spans="2:5">
      <c r="B431" s="44"/>
      <c r="C431" s="34"/>
      <c r="D431" s="40"/>
      <c r="E431" s="45"/>
    </row>
    <row r="432" spans="2:5">
      <c r="B432" s="44"/>
      <c r="C432" s="34"/>
      <c r="D432" s="40"/>
      <c r="E432" s="45"/>
    </row>
    <row r="433" spans="2:5">
      <c r="B433" s="44"/>
      <c r="C433" s="34"/>
      <c r="D433" s="40"/>
      <c r="E433" s="45"/>
    </row>
    <row r="434" spans="2:5">
      <c r="B434" s="44"/>
      <c r="C434" s="34"/>
      <c r="D434" s="40"/>
      <c r="E434" s="45"/>
    </row>
    <row r="435" spans="2:5">
      <c r="B435" s="44"/>
      <c r="C435" s="34"/>
      <c r="D435" s="40"/>
      <c r="E435" s="45"/>
    </row>
    <row r="436" spans="2:5">
      <c r="B436" s="44"/>
      <c r="C436" s="34"/>
      <c r="D436" s="40"/>
      <c r="E436" s="45"/>
    </row>
    <row r="437" spans="2:5">
      <c r="B437" s="44"/>
      <c r="C437" s="34"/>
      <c r="D437" s="40"/>
      <c r="E437" s="45"/>
    </row>
    <row r="438" spans="2:5">
      <c r="B438" s="44"/>
      <c r="C438" s="34"/>
      <c r="D438" s="40"/>
      <c r="E438" s="45"/>
    </row>
    <row r="439" spans="2:5">
      <c r="B439" s="44"/>
      <c r="C439" s="34"/>
      <c r="D439" s="40"/>
      <c r="E439" s="45"/>
    </row>
    <row r="440" spans="2:5">
      <c r="B440" s="44"/>
      <c r="C440" s="34"/>
      <c r="D440" s="40"/>
      <c r="E440" s="45"/>
    </row>
    <row r="441" spans="2:5">
      <c r="B441" s="44"/>
      <c r="C441" s="34"/>
      <c r="D441" s="40"/>
      <c r="E441" s="45"/>
    </row>
    <row r="442" spans="2:5">
      <c r="B442" s="44"/>
      <c r="C442" s="34"/>
      <c r="D442" s="40"/>
      <c r="E442" s="45"/>
    </row>
    <row r="443" spans="2:5">
      <c r="B443" s="44"/>
      <c r="C443" s="34"/>
      <c r="D443" s="40"/>
      <c r="E443" s="45"/>
    </row>
    <row r="444" spans="2:5">
      <c r="B444" s="44"/>
      <c r="C444" s="34"/>
      <c r="D444" s="40"/>
      <c r="E444" s="45"/>
    </row>
    <row r="445" spans="2:5">
      <c r="B445" s="44"/>
      <c r="C445" s="34"/>
      <c r="D445" s="40"/>
      <c r="E445" s="45"/>
    </row>
    <row r="446" spans="2:5">
      <c r="B446" s="44"/>
      <c r="C446" s="34"/>
      <c r="D446" s="40"/>
      <c r="E446" s="45"/>
    </row>
    <row r="447" spans="2:5">
      <c r="B447" s="44"/>
      <c r="C447" s="34"/>
      <c r="D447" s="40"/>
      <c r="E447" s="45"/>
    </row>
    <row r="448" spans="2:5">
      <c r="B448" s="44"/>
      <c r="C448" s="34"/>
      <c r="D448" s="40"/>
      <c r="E448" s="45"/>
    </row>
    <row r="449" spans="2:5">
      <c r="B449" s="44"/>
      <c r="C449" s="34"/>
      <c r="D449" s="40"/>
      <c r="E449" s="45"/>
    </row>
    <row r="450" spans="2:5">
      <c r="B450" s="44"/>
      <c r="C450" s="34"/>
      <c r="D450" s="40"/>
      <c r="E450" s="45"/>
    </row>
    <row r="451" spans="2:5">
      <c r="B451" s="44"/>
      <c r="C451" s="34"/>
      <c r="D451" s="40"/>
      <c r="E451" s="45"/>
    </row>
    <row r="452" spans="2:5">
      <c r="B452" s="44"/>
      <c r="C452" s="34"/>
      <c r="D452" s="40"/>
      <c r="E452" s="45"/>
    </row>
    <row r="453" spans="2:5">
      <c r="B453" s="44"/>
      <c r="C453" s="34"/>
      <c r="D453" s="40"/>
      <c r="E453" s="45"/>
    </row>
    <row r="454" spans="2:5">
      <c r="B454" s="44"/>
      <c r="C454" s="34"/>
      <c r="D454" s="40"/>
      <c r="E454" s="45"/>
    </row>
    <row r="455" spans="2:5">
      <c r="B455" s="44"/>
      <c r="C455" s="34"/>
      <c r="D455" s="40"/>
      <c r="E455" s="45"/>
    </row>
    <row r="456" spans="2:5">
      <c r="B456" s="44"/>
      <c r="C456" s="34"/>
      <c r="D456" s="40"/>
      <c r="E456" s="45"/>
    </row>
    <row r="457" spans="2:5">
      <c r="B457" s="44"/>
      <c r="C457" s="34"/>
      <c r="D457" s="40"/>
      <c r="E457" s="45"/>
    </row>
    <row r="458" spans="2:5">
      <c r="B458" s="44"/>
      <c r="C458" s="34"/>
      <c r="D458" s="40"/>
      <c r="E458" s="45"/>
    </row>
    <row r="459" spans="2:5">
      <c r="B459" s="44"/>
      <c r="C459" s="34"/>
      <c r="D459" s="40"/>
      <c r="E459" s="45"/>
    </row>
    <row r="460" spans="2:5">
      <c r="B460" s="44"/>
      <c r="C460" s="34"/>
      <c r="D460" s="40"/>
      <c r="E460" s="45"/>
    </row>
    <row r="461" spans="2:5">
      <c r="B461" s="44"/>
      <c r="C461" s="34"/>
      <c r="D461" s="40"/>
      <c r="E461" s="45"/>
    </row>
    <row r="462" spans="2:5">
      <c r="B462" s="44"/>
      <c r="C462" s="34"/>
      <c r="D462" s="40"/>
      <c r="E462" s="45"/>
    </row>
    <row r="463" spans="2:5">
      <c r="B463" s="44"/>
      <c r="C463" s="34"/>
      <c r="D463" s="40"/>
      <c r="E463" s="45"/>
    </row>
    <row r="464" spans="2:5">
      <c r="B464" s="44"/>
      <c r="C464" s="34"/>
      <c r="D464" s="40"/>
      <c r="E464" s="45"/>
    </row>
    <row r="465" spans="2:5">
      <c r="B465" s="44"/>
      <c r="C465" s="34"/>
      <c r="D465" s="40"/>
      <c r="E465" s="45"/>
    </row>
    <row r="466" spans="2:5">
      <c r="B466" s="44"/>
      <c r="C466" s="34"/>
      <c r="D466" s="40"/>
      <c r="E466" s="45"/>
    </row>
    <row r="467" spans="2:5">
      <c r="B467" s="44"/>
      <c r="C467" s="34"/>
      <c r="D467" s="40"/>
      <c r="E467" s="45"/>
    </row>
    <row r="468" spans="2:5">
      <c r="B468" s="44"/>
      <c r="C468" s="34"/>
      <c r="D468" s="40"/>
      <c r="E468" s="45"/>
    </row>
    <row r="469" spans="2:5">
      <c r="B469" s="44"/>
      <c r="C469" s="34"/>
      <c r="D469" s="40"/>
      <c r="E469" s="45"/>
    </row>
    <row r="470" spans="2:5">
      <c r="B470" s="44"/>
      <c r="C470" s="34"/>
      <c r="D470" s="40"/>
      <c r="E470" s="45"/>
    </row>
    <row r="471" spans="2:5">
      <c r="B471" s="44"/>
      <c r="C471" s="34"/>
      <c r="D471" s="40"/>
      <c r="E471" s="45"/>
    </row>
    <row r="472" spans="2:5">
      <c r="B472" s="44"/>
      <c r="C472" s="34"/>
      <c r="D472" s="40"/>
      <c r="E472" s="45"/>
    </row>
    <row r="473" spans="2:5">
      <c r="B473" s="44"/>
      <c r="C473" s="34"/>
      <c r="D473" s="40"/>
      <c r="E473" s="45"/>
    </row>
    <row r="474" spans="2:5">
      <c r="B474" s="44"/>
      <c r="C474" s="34"/>
      <c r="D474" s="40"/>
      <c r="E474" s="45"/>
    </row>
    <row r="475" spans="2:5">
      <c r="B475" s="44"/>
      <c r="C475" s="34"/>
      <c r="D475" s="40"/>
      <c r="E475" s="45"/>
    </row>
    <row r="476" spans="2:5">
      <c r="B476" s="44"/>
      <c r="C476" s="34"/>
      <c r="D476" s="40"/>
      <c r="E476" s="45"/>
    </row>
    <row r="477" spans="2:5">
      <c r="B477" s="44"/>
      <c r="C477" s="34"/>
      <c r="D477" s="40"/>
      <c r="E477" s="45"/>
    </row>
    <row r="478" spans="2:5">
      <c r="B478" s="44"/>
      <c r="C478" s="34"/>
      <c r="D478" s="40"/>
      <c r="E478" s="45"/>
    </row>
    <row r="479" spans="2:5">
      <c r="B479" s="44"/>
      <c r="C479" s="34"/>
      <c r="D479" s="40"/>
      <c r="E479" s="45"/>
    </row>
    <row r="480" spans="2:5">
      <c r="B480" s="44"/>
      <c r="C480" s="34"/>
      <c r="D480" s="40"/>
      <c r="E480" s="45"/>
    </row>
    <row r="481" spans="2:5">
      <c r="B481" s="44"/>
      <c r="C481" s="34"/>
      <c r="D481" s="40"/>
      <c r="E481" s="45"/>
    </row>
    <row r="482" spans="2:5">
      <c r="B482" s="44"/>
      <c r="C482" s="34"/>
      <c r="D482" s="40"/>
      <c r="E482" s="45"/>
    </row>
    <row r="483" spans="2:5">
      <c r="B483" s="44"/>
      <c r="C483" s="34"/>
      <c r="D483" s="40"/>
      <c r="E483" s="45"/>
    </row>
    <row r="484" spans="2:5">
      <c r="B484" s="44"/>
      <c r="C484" s="34"/>
      <c r="D484" s="40"/>
      <c r="E484" s="45"/>
    </row>
    <row r="485" spans="2:5">
      <c r="B485" s="44"/>
      <c r="C485" s="34"/>
      <c r="D485" s="40"/>
      <c r="E485" s="45"/>
    </row>
    <row r="486" spans="2:5">
      <c r="B486" s="44"/>
      <c r="C486" s="34"/>
      <c r="D486" s="40"/>
      <c r="E486" s="45"/>
    </row>
    <row r="487" spans="2:5">
      <c r="B487" s="44"/>
      <c r="C487" s="34"/>
      <c r="D487" s="40"/>
      <c r="E487" s="45"/>
    </row>
    <row r="488" spans="2:5">
      <c r="B488" s="44"/>
      <c r="C488" s="34"/>
      <c r="D488" s="40"/>
      <c r="E488" s="45"/>
    </row>
    <row r="489" spans="2:5">
      <c r="B489" s="44"/>
      <c r="C489" s="34"/>
      <c r="D489" s="40"/>
      <c r="E489" s="45"/>
    </row>
    <row r="490" spans="2:5">
      <c r="B490" s="44"/>
      <c r="C490" s="34"/>
      <c r="D490" s="40"/>
      <c r="E490" s="45"/>
    </row>
    <row r="491" spans="2:5">
      <c r="B491" s="44"/>
      <c r="C491" s="34"/>
      <c r="D491" s="40"/>
      <c r="E491" s="45"/>
    </row>
    <row r="492" spans="2:5">
      <c r="B492" s="44"/>
      <c r="C492" s="34"/>
      <c r="D492" s="40"/>
      <c r="E492" s="45"/>
    </row>
    <row r="493" spans="2:5">
      <c r="B493" s="44"/>
      <c r="C493" s="34"/>
      <c r="D493" s="40"/>
      <c r="E493" s="45"/>
    </row>
    <row r="494" spans="2:5">
      <c r="B494" s="44"/>
      <c r="C494" s="34"/>
      <c r="D494" s="40"/>
      <c r="E494" s="45"/>
    </row>
    <row r="495" spans="2:5">
      <c r="B495" s="44"/>
      <c r="C495" s="34"/>
      <c r="D495" s="40"/>
      <c r="E495" s="45"/>
    </row>
    <row r="496" spans="2:5">
      <c r="B496" s="44"/>
      <c r="C496" s="34"/>
      <c r="D496" s="40"/>
      <c r="E496" s="45"/>
    </row>
    <row r="497" spans="2:5">
      <c r="B497" s="44"/>
      <c r="C497" s="34"/>
      <c r="D497" s="40"/>
      <c r="E497" s="45"/>
    </row>
    <row r="498" spans="2:5">
      <c r="B498" s="44"/>
      <c r="C498" s="34"/>
      <c r="D498" s="40"/>
      <c r="E498" s="45"/>
    </row>
    <row r="499" spans="2:5">
      <c r="B499" s="44"/>
      <c r="C499" s="34"/>
      <c r="D499" s="40"/>
      <c r="E499" s="45"/>
    </row>
    <row r="500" spans="2:5">
      <c r="B500" s="44"/>
      <c r="C500" s="34"/>
      <c r="D500" s="40"/>
      <c r="E500" s="45"/>
    </row>
    <row r="501" spans="2:5">
      <c r="B501" s="44"/>
      <c r="C501" s="34"/>
      <c r="D501" s="40"/>
      <c r="E501" s="45"/>
    </row>
    <row r="502" spans="2:5">
      <c r="B502" s="44"/>
      <c r="C502" s="34"/>
      <c r="D502" s="40"/>
      <c r="E502" s="45"/>
    </row>
    <row r="503" spans="2:5">
      <c r="B503" s="44"/>
      <c r="C503" s="34"/>
      <c r="D503" s="40"/>
      <c r="E503" s="45"/>
    </row>
    <row r="504" spans="2:5">
      <c r="B504" s="44"/>
      <c r="C504" s="34"/>
      <c r="D504" s="40"/>
      <c r="E504" s="45"/>
    </row>
    <row r="505" spans="2:5">
      <c r="B505" s="44"/>
      <c r="C505" s="34"/>
      <c r="D505" s="40"/>
      <c r="E505" s="45"/>
    </row>
    <row r="506" spans="2:5">
      <c r="B506" s="44"/>
      <c r="C506" s="34"/>
      <c r="D506" s="40"/>
      <c r="E506" s="45"/>
    </row>
    <row r="507" spans="2:5">
      <c r="B507" s="44"/>
      <c r="C507" s="34"/>
      <c r="D507" s="40"/>
      <c r="E507" s="45"/>
    </row>
    <row r="508" spans="2:5">
      <c r="B508" s="44"/>
      <c r="C508" s="34"/>
      <c r="D508" s="40"/>
      <c r="E508" s="45"/>
    </row>
    <row r="509" spans="2:5">
      <c r="B509" s="44"/>
      <c r="C509" s="34"/>
      <c r="D509" s="40"/>
      <c r="E509" s="45"/>
    </row>
    <row r="510" spans="2:5">
      <c r="B510" s="44"/>
      <c r="C510" s="34"/>
      <c r="D510" s="40"/>
      <c r="E510" s="45"/>
    </row>
    <row r="511" spans="2:5">
      <c r="B511" s="44"/>
      <c r="C511" s="34"/>
      <c r="D511" s="40"/>
      <c r="E511" s="45"/>
    </row>
    <row r="512" spans="2:5">
      <c r="B512" s="44"/>
      <c r="C512" s="34"/>
      <c r="D512" s="40"/>
      <c r="E512" s="45"/>
    </row>
    <row r="513" spans="2:5">
      <c r="B513" s="44"/>
      <c r="C513" s="34"/>
      <c r="D513" s="40"/>
      <c r="E513" s="45"/>
    </row>
    <row r="514" spans="2:5">
      <c r="B514" s="44"/>
      <c r="C514" s="34"/>
      <c r="D514" s="40"/>
      <c r="E514" s="45"/>
    </row>
    <row r="515" spans="2:5">
      <c r="B515" s="44"/>
      <c r="C515" s="34"/>
      <c r="D515" s="40"/>
      <c r="E515" s="45"/>
    </row>
    <row r="516" spans="2:5">
      <c r="B516" s="44"/>
      <c r="C516" s="34"/>
      <c r="D516" s="40"/>
      <c r="E516" s="45"/>
    </row>
    <row r="517" spans="2:5">
      <c r="B517" s="44"/>
      <c r="C517" s="34"/>
      <c r="D517" s="40"/>
      <c r="E517" s="45"/>
    </row>
    <row r="518" spans="2:5">
      <c r="B518" s="44"/>
      <c r="C518" s="34"/>
      <c r="D518" s="40"/>
      <c r="E518" s="45"/>
    </row>
    <row r="519" spans="2:5">
      <c r="B519" s="44"/>
      <c r="C519" s="34"/>
      <c r="D519" s="40"/>
      <c r="E519" s="45"/>
    </row>
    <row r="520" spans="2:5">
      <c r="B520" s="44"/>
      <c r="C520" s="34"/>
      <c r="D520" s="40"/>
      <c r="E520" s="45"/>
    </row>
    <row r="521" spans="2:5">
      <c r="B521" s="44"/>
      <c r="C521" s="34"/>
      <c r="D521" s="40"/>
      <c r="E521" s="45"/>
    </row>
    <row r="522" spans="2:5">
      <c r="B522" s="44"/>
      <c r="C522" s="34"/>
      <c r="D522" s="40"/>
      <c r="E522" s="45"/>
    </row>
    <row r="523" spans="2:5">
      <c r="B523" s="44"/>
      <c r="C523" s="34"/>
      <c r="D523" s="40"/>
      <c r="E523" s="45"/>
    </row>
    <row r="524" spans="2:5">
      <c r="B524" s="44"/>
      <c r="C524" s="34"/>
      <c r="D524" s="40"/>
      <c r="E524" s="45"/>
    </row>
    <row r="525" spans="2:5">
      <c r="B525" s="44"/>
      <c r="C525" s="34"/>
      <c r="D525" s="40"/>
      <c r="E525" s="45"/>
    </row>
    <row r="526" spans="2:5">
      <c r="B526" s="44"/>
      <c r="C526" s="34"/>
      <c r="D526" s="40"/>
      <c r="E526" s="45"/>
    </row>
    <row r="527" spans="2:5">
      <c r="B527" s="44"/>
      <c r="C527" s="34"/>
      <c r="D527" s="40"/>
      <c r="E527" s="45"/>
    </row>
    <row r="528" spans="2:5">
      <c r="B528" s="44"/>
      <c r="C528" s="34"/>
      <c r="D528" s="40"/>
      <c r="E528" s="45"/>
    </row>
    <row r="529" spans="2:5">
      <c r="B529" s="44"/>
      <c r="C529" s="34"/>
      <c r="D529" s="40"/>
      <c r="E529" s="45"/>
    </row>
    <row r="530" spans="2:5">
      <c r="B530" s="44"/>
      <c r="C530" s="34"/>
      <c r="D530" s="40"/>
      <c r="E530" s="45"/>
    </row>
    <row r="531" spans="2:5">
      <c r="B531" s="44"/>
      <c r="C531" s="34"/>
      <c r="D531" s="40"/>
      <c r="E531" s="45"/>
    </row>
    <row r="532" spans="2:5">
      <c r="B532" s="44"/>
      <c r="C532" s="34"/>
      <c r="D532" s="40"/>
      <c r="E532" s="45"/>
    </row>
    <row r="533" spans="2:5">
      <c r="B533" s="44"/>
      <c r="C533" s="34"/>
      <c r="D533" s="40"/>
      <c r="E533" s="45"/>
    </row>
    <row r="534" spans="2:5">
      <c r="B534" s="44"/>
      <c r="C534" s="34"/>
      <c r="D534" s="40"/>
      <c r="E534" s="45"/>
    </row>
    <row r="535" spans="2:5">
      <c r="B535" s="44"/>
      <c r="C535" s="34"/>
      <c r="D535" s="40"/>
      <c r="E535" s="45"/>
    </row>
    <row r="536" spans="2:5">
      <c r="B536" s="44"/>
      <c r="C536" s="34"/>
      <c r="D536" s="40"/>
      <c r="E536" s="45"/>
    </row>
    <row r="537" spans="2:5">
      <c r="B537" s="44"/>
      <c r="C537" s="34"/>
      <c r="D537" s="40"/>
      <c r="E537" s="45"/>
    </row>
    <row r="538" spans="2:5">
      <c r="B538" s="44"/>
      <c r="C538" s="34"/>
      <c r="D538" s="40"/>
      <c r="E538" s="45"/>
    </row>
    <row r="539" spans="2:5">
      <c r="B539" s="44"/>
      <c r="C539" s="34"/>
      <c r="D539" s="40"/>
      <c r="E539" s="45"/>
    </row>
    <row r="540" spans="2:5">
      <c r="B540" s="44"/>
      <c r="C540" s="34"/>
      <c r="D540" s="40"/>
      <c r="E540" s="45"/>
    </row>
    <row r="541" spans="2:5">
      <c r="B541" s="44"/>
      <c r="C541" s="34"/>
      <c r="D541" s="40"/>
      <c r="E541" s="45"/>
    </row>
    <row r="542" spans="2:5">
      <c r="B542" s="44"/>
      <c r="C542" s="34"/>
      <c r="D542" s="40"/>
      <c r="E542" s="45"/>
    </row>
    <row r="543" spans="2:5">
      <c r="B543" s="44"/>
      <c r="C543" s="34"/>
      <c r="D543" s="40"/>
      <c r="E543" s="45"/>
    </row>
    <row r="544" spans="2:5">
      <c r="B544" s="44"/>
      <c r="C544" s="34"/>
      <c r="D544" s="40"/>
      <c r="E544" s="45"/>
    </row>
    <row r="545" spans="2:5">
      <c r="B545" s="44"/>
      <c r="C545" s="34"/>
      <c r="D545" s="40"/>
      <c r="E545" s="45"/>
    </row>
    <row r="546" spans="2:5">
      <c r="B546" s="44"/>
      <c r="C546" s="34"/>
      <c r="D546" s="40"/>
      <c r="E546" s="45"/>
    </row>
    <row r="547" spans="2:5">
      <c r="B547" s="44"/>
      <c r="C547" s="34"/>
      <c r="D547" s="40"/>
      <c r="E547" s="45"/>
    </row>
    <row r="548" spans="2:5">
      <c r="B548" s="44"/>
      <c r="C548" s="34"/>
      <c r="D548" s="40"/>
      <c r="E548" s="45"/>
    </row>
    <row r="549" spans="2:5">
      <c r="B549" s="44"/>
      <c r="C549" s="34"/>
      <c r="D549" s="40"/>
      <c r="E549" s="45"/>
    </row>
    <row r="550" spans="2:5">
      <c r="B550" s="44"/>
      <c r="C550" s="34"/>
      <c r="D550" s="40"/>
      <c r="E550" s="45"/>
    </row>
    <row r="551" spans="2:5">
      <c r="B551" s="44"/>
      <c r="C551" s="34"/>
      <c r="D551" s="40"/>
      <c r="E551" s="45"/>
    </row>
    <row r="552" spans="2:5">
      <c r="B552" s="44"/>
      <c r="C552" s="34"/>
      <c r="D552" s="40"/>
      <c r="E552" s="45"/>
    </row>
    <row r="553" spans="2:5">
      <c r="B553" s="44"/>
      <c r="C553" s="34"/>
      <c r="D553" s="40"/>
      <c r="E553" s="45"/>
    </row>
    <row r="554" spans="2:5">
      <c r="B554" s="44"/>
      <c r="C554" s="34"/>
      <c r="D554" s="40"/>
      <c r="E554" s="45"/>
    </row>
    <row r="555" spans="2:5">
      <c r="B555" s="44"/>
      <c r="C555" s="34"/>
      <c r="D555" s="40"/>
      <c r="E555" s="45"/>
    </row>
    <row r="556" spans="2:5">
      <c r="B556" s="44"/>
      <c r="C556" s="34"/>
      <c r="D556" s="40"/>
      <c r="E556" s="45"/>
    </row>
    <row r="557" spans="2:5">
      <c r="B557" s="44"/>
      <c r="C557" s="34"/>
      <c r="D557" s="40"/>
      <c r="E557" s="45"/>
    </row>
    <row r="558" spans="2:5">
      <c r="B558" s="44"/>
      <c r="C558" s="34"/>
      <c r="D558" s="40"/>
      <c r="E558" s="45"/>
    </row>
    <row r="559" spans="2:5">
      <c r="B559" s="44"/>
      <c r="C559" s="34"/>
      <c r="D559" s="40"/>
      <c r="E559" s="45"/>
    </row>
    <row r="560" spans="2:5">
      <c r="B560" s="44"/>
      <c r="C560" s="34"/>
      <c r="D560" s="40"/>
      <c r="E560" s="45"/>
    </row>
    <row r="561" spans="2:5">
      <c r="B561" s="44"/>
      <c r="C561" s="34"/>
      <c r="D561" s="40"/>
      <c r="E561" s="45"/>
    </row>
    <row r="562" spans="2:5">
      <c r="B562" s="44"/>
      <c r="C562" s="34"/>
      <c r="D562" s="40"/>
      <c r="E562" s="45"/>
    </row>
    <row r="563" spans="2:5">
      <c r="B563" s="44"/>
      <c r="C563" s="34"/>
      <c r="D563" s="40"/>
      <c r="E563" s="45"/>
    </row>
    <row r="564" spans="2:5">
      <c r="B564" s="44"/>
      <c r="C564" s="34"/>
      <c r="D564" s="40"/>
      <c r="E564" s="45"/>
    </row>
    <row r="565" spans="2:5">
      <c r="B565" s="44"/>
      <c r="C565" s="34"/>
      <c r="D565" s="40"/>
      <c r="E565" s="45"/>
    </row>
    <row r="566" spans="2:5">
      <c r="B566" s="44"/>
      <c r="C566" s="34"/>
      <c r="D566" s="40"/>
      <c r="E566" s="45"/>
    </row>
    <row r="567" spans="2:5">
      <c r="B567" s="44"/>
      <c r="C567" s="34"/>
      <c r="D567" s="40"/>
      <c r="E567" s="45"/>
    </row>
    <row r="568" spans="2:5">
      <c r="B568" s="44"/>
      <c r="C568" s="34"/>
      <c r="D568" s="40"/>
      <c r="E568" s="45"/>
    </row>
    <row r="569" spans="2:5">
      <c r="B569" s="44"/>
      <c r="C569" s="34"/>
      <c r="D569" s="40"/>
      <c r="E569" s="45"/>
    </row>
    <row r="570" spans="2:5">
      <c r="B570" s="44"/>
      <c r="C570" s="34"/>
      <c r="D570" s="40"/>
      <c r="E570" s="45"/>
    </row>
    <row r="571" spans="2:5">
      <c r="B571" s="44"/>
      <c r="C571" s="34"/>
      <c r="D571" s="40"/>
      <c r="E571" s="45"/>
    </row>
    <row r="572" spans="2:5">
      <c r="B572" s="44"/>
      <c r="C572" s="34"/>
      <c r="D572" s="40"/>
      <c r="E572" s="45"/>
    </row>
    <row r="573" spans="2:5">
      <c r="B573" s="44"/>
      <c r="C573" s="34"/>
      <c r="D573" s="40"/>
      <c r="E573" s="45"/>
    </row>
    <row r="574" spans="2:5">
      <c r="B574" s="44"/>
      <c r="C574" s="34"/>
      <c r="D574" s="40"/>
      <c r="E574" s="45"/>
    </row>
    <row r="575" spans="2:5">
      <c r="B575" s="44"/>
      <c r="C575" s="34"/>
      <c r="D575" s="40"/>
      <c r="E575" s="45"/>
    </row>
    <row r="576" spans="2:5">
      <c r="B576" s="44"/>
      <c r="C576" s="34"/>
      <c r="D576" s="40"/>
      <c r="E576" s="45"/>
    </row>
    <row r="577" spans="2:5">
      <c r="B577" s="44"/>
      <c r="C577" s="34"/>
      <c r="D577" s="40"/>
      <c r="E577" s="45"/>
    </row>
    <row r="578" spans="2:5">
      <c r="B578" s="44"/>
      <c r="C578" s="34"/>
      <c r="D578" s="40"/>
      <c r="E578" s="45"/>
    </row>
    <row r="579" spans="2:5">
      <c r="B579" s="44"/>
      <c r="C579" s="34"/>
      <c r="D579" s="40"/>
      <c r="E579" s="45"/>
    </row>
    <row r="580" spans="2:5">
      <c r="B580" s="44"/>
      <c r="C580" s="34"/>
      <c r="D580" s="40"/>
      <c r="E580" s="45"/>
    </row>
    <row r="581" spans="2:5">
      <c r="B581" s="44"/>
      <c r="C581" s="34"/>
      <c r="D581" s="40"/>
      <c r="E581" s="45"/>
    </row>
    <row r="582" spans="2:5">
      <c r="B582" s="44"/>
      <c r="C582" s="34"/>
      <c r="D582" s="40"/>
      <c r="E582" s="45"/>
    </row>
    <row r="583" spans="2:5">
      <c r="B583" s="44"/>
      <c r="C583" s="34"/>
      <c r="D583" s="40"/>
      <c r="E583" s="45"/>
    </row>
    <row r="584" spans="2:5">
      <c r="B584" s="44"/>
      <c r="C584" s="34"/>
      <c r="D584" s="40"/>
      <c r="E584" s="45"/>
    </row>
    <row r="585" spans="2:5">
      <c r="B585" s="44"/>
      <c r="C585" s="34"/>
      <c r="D585" s="40"/>
      <c r="E585" s="45"/>
    </row>
    <row r="586" spans="2:5">
      <c r="B586" s="44"/>
      <c r="C586" s="34"/>
      <c r="D586" s="40"/>
      <c r="E586" s="45"/>
    </row>
    <row r="587" spans="2:5">
      <c r="B587" s="44"/>
      <c r="C587" s="34"/>
      <c r="D587" s="40"/>
      <c r="E587" s="45"/>
    </row>
    <row r="588" spans="2:5">
      <c r="B588" s="44"/>
      <c r="C588" s="34"/>
      <c r="D588" s="40"/>
      <c r="E588" s="45"/>
    </row>
    <row r="589" spans="2:5">
      <c r="B589" s="44"/>
      <c r="C589" s="34"/>
      <c r="D589" s="40"/>
      <c r="E589" s="45"/>
    </row>
    <row r="590" spans="2:5">
      <c r="B590" s="44"/>
      <c r="C590" s="34"/>
      <c r="D590" s="40"/>
      <c r="E590" s="45"/>
    </row>
    <row r="591" spans="2:5">
      <c r="B591" s="44"/>
      <c r="C591" s="34"/>
      <c r="D591" s="40"/>
      <c r="E591" s="45"/>
    </row>
    <row r="592" spans="2:5">
      <c r="B592" s="44"/>
      <c r="C592" s="34"/>
      <c r="D592" s="40"/>
      <c r="E592" s="45"/>
    </row>
    <row r="593" spans="2:5">
      <c r="B593" s="44"/>
      <c r="C593" s="34"/>
      <c r="D593" s="40"/>
      <c r="E593" s="45"/>
    </row>
    <row r="594" spans="2:5">
      <c r="B594" s="44"/>
      <c r="C594" s="34"/>
      <c r="D594" s="40"/>
      <c r="E594" s="45"/>
    </row>
    <row r="595" spans="2:5">
      <c r="B595" s="44"/>
      <c r="C595" s="34"/>
      <c r="D595" s="40"/>
      <c r="E595" s="45"/>
    </row>
    <row r="596" spans="2:5">
      <c r="B596" s="44"/>
      <c r="C596" s="34"/>
      <c r="D596" s="40"/>
      <c r="E596" s="45"/>
    </row>
    <row r="597" spans="2:5">
      <c r="B597" s="44"/>
      <c r="C597" s="34"/>
      <c r="D597" s="40"/>
      <c r="E597" s="45"/>
    </row>
    <row r="598" spans="2:5">
      <c r="B598" s="44"/>
      <c r="C598" s="34"/>
      <c r="D598" s="40"/>
      <c r="E598" s="45"/>
    </row>
    <row r="599" spans="2:5">
      <c r="B599" s="44"/>
      <c r="C599" s="34"/>
      <c r="D599" s="40"/>
      <c r="E599" s="45"/>
    </row>
    <row r="600" spans="2:5">
      <c r="B600" s="44"/>
      <c r="C600" s="34"/>
      <c r="D600" s="40"/>
      <c r="E600" s="45"/>
    </row>
    <row r="601" spans="2:5">
      <c r="B601" s="44"/>
      <c r="C601" s="34"/>
      <c r="D601" s="40"/>
      <c r="E601" s="45"/>
    </row>
    <row r="602" spans="2:5">
      <c r="B602" s="44"/>
      <c r="C602" s="34"/>
      <c r="D602" s="40"/>
      <c r="E602" s="45"/>
    </row>
    <row r="603" spans="2:5">
      <c r="B603" s="44"/>
      <c r="C603" s="34"/>
      <c r="D603" s="40"/>
      <c r="E603" s="45"/>
    </row>
    <row r="604" spans="2:5">
      <c r="B604" s="44"/>
      <c r="C604" s="34"/>
      <c r="D604" s="40"/>
      <c r="E604" s="45"/>
    </row>
    <row r="605" spans="2:5">
      <c r="B605" s="44"/>
      <c r="C605" s="34"/>
      <c r="D605" s="40"/>
      <c r="E605" s="45"/>
    </row>
    <row r="606" spans="2:5">
      <c r="B606" s="44"/>
      <c r="C606" s="34"/>
      <c r="D606" s="40"/>
      <c r="E606" s="45"/>
    </row>
    <row r="607" spans="2:5">
      <c r="B607" s="44"/>
      <c r="C607" s="34"/>
      <c r="D607" s="40"/>
      <c r="E607" s="59"/>
    </row>
    <row r="608" spans="2:5">
      <c r="B608" s="44"/>
      <c r="C608" s="34"/>
      <c r="E608" s="45"/>
    </row>
    <row r="609" spans="2:5">
      <c r="B609" s="44"/>
      <c r="C609" s="34"/>
      <c r="D609" s="40"/>
      <c r="E609" s="45"/>
    </row>
    <row r="610" spans="2:5">
      <c r="B610" s="44"/>
      <c r="C610" s="34"/>
      <c r="D610" s="40"/>
      <c r="E610" s="45"/>
    </row>
    <row r="611" spans="2:5">
      <c r="B611" s="44"/>
      <c r="C611" s="34"/>
      <c r="D611" s="40"/>
      <c r="E611" s="45"/>
    </row>
    <row r="612" spans="2:5">
      <c r="B612" s="44"/>
      <c r="C612" s="34"/>
      <c r="D612" s="40"/>
      <c r="E612" s="45"/>
    </row>
    <row r="613" spans="2:5">
      <c r="B613" s="44"/>
      <c r="C613" s="34"/>
      <c r="D613" s="40"/>
      <c r="E613" s="45"/>
    </row>
    <row r="614" spans="2:5">
      <c r="B614" s="44"/>
      <c r="C614" s="34"/>
      <c r="D614" s="40"/>
      <c r="E614" s="45"/>
    </row>
    <row r="615" spans="2:5">
      <c r="B615" s="44"/>
      <c r="C615" s="34"/>
      <c r="D615" s="40"/>
      <c r="E615" s="45"/>
    </row>
    <row r="616" spans="2:5">
      <c r="B616" s="44"/>
      <c r="C616" s="34"/>
      <c r="D616" s="40"/>
      <c r="E616" s="45"/>
    </row>
    <row r="617" spans="2:5">
      <c r="B617" s="44"/>
      <c r="C617" s="34"/>
      <c r="D617" s="40"/>
      <c r="E617" s="45"/>
    </row>
    <row r="618" spans="2:5">
      <c r="B618" s="44"/>
      <c r="C618" s="34"/>
      <c r="D618" s="40"/>
      <c r="E618" s="45"/>
    </row>
    <row r="619" spans="2:5">
      <c r="B619" s="44"/>
      <c r="C619" s="34"/>
      <c r="D619" s="40"/>
      <c r="E619" s="45"/>
    </row>
    <row r="620" spans="2:5">
      <c r="B620" s="44"/>
      <c r="C620" s="34"/>
      <c r="D620" s="40"/>
      <c r="E620" s="45"/>
    </row>
    <row r="621" spans="2:5">
      <c r="B621" s="44"/>
      <c r="C621" s="34"/>
      <c r="D621" s="40"/>
      <c r="E621" s="45"/>
    </row>
    <row r="622" spans="2:5">
      <c r="B622" s="44"/>
      <c r="C622" s="34"/>
      <c r="D622" s="40"/>
      <c r="E622" s="45"/>
    </row>
    <row r="623" spans="2:5">
      <c r="B623" s="44"/>
      <c r="C623" s="34"/>
      <c r="D623" s="40"/>
      <c r="E623" s="45"/>
    </row>
    <row r="624" spans="2:5">
      <c r="B624" s="44"/>
      <c r="C624" s="34"/>
      <c r="D624" s="40"/>
      <c r="E624" s="45"/>
    </row>
    <row r="625" spans="2:5">
      <c r="B625" s="44"/>
      <c r="C625" s="34"/>
      <c r="D625" s="40"/>
      <c r="E625" s="45"/>
    </row>
    <row r="626" spans="2:5">
      <c r="B626" s="44"/>
      <c r="C626" s="34"/>
      <c r="D626" s="40"/>
      <c r="E626" s="45"/>
    </row>
    <row r="627" spans="2:5">
      <c r="B627" s="44"/>
      <c r="C627" s="34"/>
      <c r="D627" s="40"/>
      <c r="E627" s="45"/>
    </row>
    <row r="628" spans="2:5">
      <c r="B628" s="44"/>
      <c r="D628" s="40"/>
      <c r="E628" s="45"/>
    </row>
    <row r="629" spans="2:5">
      <c r="B629" s="44"/>
      <c r="D629" s="40"/>
      <c r="E629" s="45"/>
    </row>
    <row r="630" spans="2:5">
      <c r="B630" s="44"/>
      <c r="D630" s="40"/>
      <c r="E630" s="45"/>
    </row>
    <row r="631" spans="2:5">
      <c r="B631" s="44"/>
      <c r="D631" s="40"/>
      <c r="E631" s="45"/>
    </row>
    <row r="632" spans="2:5">
      <c r="B632" s="44"/>
      <c r="D632" s="40"/>
      <c r="E632" s="45"/>
    </row>
    <row r="633" spans="2:5">
      <c r="B633" s="44"/>
      <c r="D633" s="40"/>
      <c r="E633" s="45"/>
    </row>
    <row r="634" spans="2:5">
      <c r="B634" s="44"/>
      <c r="D634" s="40"/>
      <c r="E634" s="45"/>
    </row>
    <row r="635" spans="2:5">
      <c r="B635" s="44"/>
      <c r="D635" s="40"/>
      <c r="E635" s="45"/>
    </row>
    <row r="636" spans="2:5">
      <c r="B636" s="44"/>
      <c r="D636" s="40"/>
      <c r="E636" s="45"/>
    </row>
    <row r="637" spans="2:5">
      <c r="B637" s="44"/>
      <c r="D637" s="40"/>
      <c r="E637" s="45"/>
    </row>
    <row r="638" spans="2:5">
      <c r="B638" s="44"/>
      <c r="D638" s="40"/>
      <c r="E638" s="45"/>
    </row>
    <row r="639" spans="2:5">
      <c r="B639" s="44"/>
      <c r="D639" s="40"/>
      <c r="E639" s="45"/>
    </row>
    <row r="640" spans="2:5">
      <c r="B640" s="44"/>
      <c r="D640" s="40"/>
      <c r="E640" s="45"/>
    </row>
    <row r="641" spans="2:5">
      <c r="B641" s="44"/>
      <c r="D641" s="40"/>
      <c r="E641" s="45"/>
    </row>
    <row r="642" spans="2:5">
      <c r="B642" s="44"/>
      <c r="D642" s="40"/>
      <c r="E642" s="45"/>
    </row>
    <row r="643" spans="2:5">
      <c r="B643" s="44"/>
      <c r="D643" s="40"/>
      <c r="E643" s="45"/>
    </row>
    <row r="644" spans="2:5">
      <c r="B644" s="44"/>
      <c r="D644" s="40"/>
      <c r="E644" s="45"/>
    </row>
    <row r="645" spans="2:5">
      <c r="B645" s="44"/>
      <c r="D645" s="40"/>
      <c r="E645" s="45"/>
    </row>
    <row r="646" spans="2:5">
      <c r="B646" s="44"/>
      <c r="D646" s="40"/>
      <c r="E646" s="45"/>
    </row>
    <row r="647" spans="2:5">
      <c r="B647" s="44"/>
      <c r="D647" s="40"/>
      <c r="E647" s="45"/>
    </row>
    <row r="648" spans="2:5">
      <c r="B648" s="44"/>
      <c r="D648" s="40"/>
      <c r="E648" s="45"/>
    </row>
    <row r="649" spans="2:5">
      <c r="B649" s="44"/>
      <c r="D649" s="40"/>
      <c r="E649" s="45"/>
    </row>
    <row r="650" spans="2:5">
      <c r="B650" s="44"/>
      <c r="D650" s="40"/>
      <c r="E650" s="45"/>
    </row>
    <row r="651" spans="2:5">
      <c r="B651" s="44"/>
      <c r="D651" s="40"/>
      <c r="E651" s="45"/>
    </row>
    <row r="652" spans="2:5">
      <c r="B652" s="44"/>
      <c r="D652" s="40"/>
      <c r="E652" s="45"/>
    </row>
    <row r="653" spans="2:5">
      <c r="B653" s="44"/>
      <c r="D653" s="40"/>
      <c r="E653" s="45"/>
    </row>
    <row r="654" spans="2:5">
      <c r="B654" s="44"/>
      <c r="D654" s="40"/>
      <c r="E654" s="45"/>
    </row>
    <row r="655" spans="2:5">
      <c r="B655" s="44"/>
      <c r="D655" s="40"/>
      <c r="E655" s="45"/>
    </row>
    <row r="656" spans="2:5">
      <c r="B656" s="44"/>
      <c r="D656" s="40"/>
      <c r="E656" s="45"/>
    </row>
    <row r="657" spans="2:5">
      <c r="B657" s="44"/>
      <c r="D657" s="40"/>
      <c r="E657" s="45"/>
    </row>
    <row r="658" spans="2:5">
      <c r="B658" s="44"/>
      <c r="D658" s="40"/>
      <c r="E658" s="45"/>
    </row>
    <row r="659" spans="2:5">
      <c r="B659" s="44"/>
      <c r="D659" s="40"/>
      <c r="E659" s="45"/>
    </row>
    <row r="660" spans="2:5">
      <c r="B660" s="44"/>
      <c r="D660" s="40"/>
      <c r="E660" s="45"/>
    </row>
    <row r="661" spans="2:5">
      <c r="B661" s="44"/>
      <c r="D661" s="40"/>
      <c r="E661" s="45"/>
    </row>
    <row r="662" spans="2:5">
      <c r="B662" s="44"/>
      <c r="D662" s="40"/>
      <c r="E662" s="45"/>
    </row>
    <row r="663" spans="2:5">
      <c r="B663" s="44"/>
      <c r="D663" s="40"/>
      <c r="E663" s="45"/>
    </row>
    <row r="664" spans="2:5">
      <c r="B664" s="44"/>
      <c r="D664" s="40"/>
      <c r="E664" s="45"/>
    </row>
    <row r="665" spans="2:5">
      <c r="B665" s="44"/>
      <c r="D665" s="40"/>
      <c r="E665" s="45"/>
    </row>
    <row r="666" spans="2:5">
      <c r="B666" s="44"/>
      <c r="D666" s="40"/>
      <c r="E666" s="45"/>
    </row>
    <row r="667" spans="2:5">
      <c r="B667" s="44"/>
      <c r="D667" s="40"/>
      <c r="E667" s="45"/>
    </row>
    <row r="668" spans="2:5">
      <c r="B668" s="44"/>
      <c r="D668" s="40"/>
      <c r="E668" s="45"/>
    </row>
    <row r="669" spans="2:5">
      <c r="B669" s="44"/>
      <c r="D669" s="40"/>
      <c r="E669" s="45"/>
    </row>
    <row r="670" spans="2:5">
      <c r="B670" s="44"/>
      <c r="D670" s="40"/>
      <c r="E670" s="45"/>
    </row>
    <row r="671" spans="2:5">
      <c r="B671" s="44"/>
      <c r="D671" s="40"/>
      <c r="E671" s="45"/>
    </row>
    <row r="672" spans="2:5">
      <c r="B672" s="44"/>
      <c r="D672" s="40"/>
      <c r="E672" s="45"/>
    </row>
    <row r="673" spans="2:5">
      <c r="B673" s="44"/>
      <c r="D673" s="40"/>
      <c r="E673" s="45"/>
    </row>
    <row r="674" spans="2:5">
      <c r="B674" s="44"/>
      <c r="D674" s="40"/>
      <c r="E674" s="45"/>
    </row>
    <row r="675" spans="2:5">
      <c r="B675" s="44"/>
      <c r="D675" s="40"/>
      <c r="E675" s="45"/>
    </row>
    <row r="676" spans="2:5">
      <c r="B676" s="44"/>
      <c r="D676" s="40"/>
      <c r="E676" s="45"/>
    </row>
    <row r="677" spans="2:5">
      <c r="B677" s="44"/>
      <c r="D677" s="40"/>
      <c r="E677" s="45"/>
    </row>
    <row r="678" spans="2:5">
      <c r="B678" s="44"/>
      <c r="D678" s="40"/>
      <c r="E678" s="45"/>
    </row>
    <row r="679" spans="2:5">
      <c r="B679" s="44"/>
      <c r="D679" s="40"/>
      <c r="E679" s="45"/>
    </row>
    <row r="680" spans="2:5">
      <c r="B680" s="44"/>
      <c r="D680" s="40"/>
      <c r="E680" s="45"/>
    </row>
    <row r="681" spans="2:5">
      <c r="B681" s="44"/>
      <c r="D681" s="40"/>
      <c r="E681" s="45"/>
    </row>
    <row r="682" spans="2:5">
      <c r="B682" s="44"/>
      <c r="D682" s="40"/>
      <c r="E682" s="45"/>
    </row>
    <row r="683" spans="2:5">
      <c r="B683" s="44"/>
      <c r="D683" s="40"/>
      <c r="E683" s="45"/>
    </row>
    <row r="684" spans="2:5">
      <c r="B684" s="44"/>
      <c r="D684" s="40"/>
      <c r="E684" s="45"/>
    </row>
    <row r="685" spans="2:5">
      <c r="B685" s="44"/>
      <c r="D685" s="40"/>
      <c r="E685" s="45"/>
    </row>
    <row r="686" spans="2:5">
      <c r="B686" s="44"/>
      <c r="D686" s="40"/>
      <c r="E686" s="45"/>
    </row>
    <row r="687" spans="2:5">
      <c r="B687" s="44"/>
      <c r="D687" s="40"/>
      <c r="E687" s="45"/>
    </row>
    <row r="688" spans="2:5">
      <c r="B688" s="44"/>
      <c r="D688" s="40"/>
      <c r="E688" s="45"/>
    </row>
    <row r="689" spans="2:5">
      <c r="B689" s="44"/>
      <c r="D689" s="40"/>
      <c r="E689" s="45"/>
    </row>
    <row r="690" spans="2:5">
      <c r="B690" s="44"/>
      <c r="D690" s="40"/>
      <c r="E690" s="45"/>
    </row>
    <row r="691" spans="2:5">
      <c r="B691" s="44"/>
      <c r="D691" s="40"/>
      <c r="E691" s="45"/>
    </row>
    <row r="692" spans="2:5">
      <c r="B692" s="44"/>
      <c r="D692" s="40"/>
      <c r="E692" s="45"/>
    </row>
    <row r="693" spans="2:5">
      <c r="B693" s="44"/>
      <c r="D693" s="40"/>
      <c r="E693" s="45"/>
    </row>
    <row r="694" spans="2:5">
      <c r="B694" s="44"/>
      <c r="D694" s="40"/>
      <c r="E694" s="45"/>
    </row>
    <row r="695" spans="2:5">
      <c r="B695" s="44"/>
      <c r="D695" s="40"/>
      <c r="E695" s="45"/>
    </row>
    <row r="696" spans="2:5">
      <c r="B696" s="44"/>
      <c r="D696" s="40"/>
      <c r="E696" s="45"/>
    </row>
    <row r="697" spans="2:5">
      <c r="B697" s="44"/>
      <c r="D697" s="40"/>
      <c r="E697" s="45"/>
    </row>
    <row r="698" spans="2:5">
      <c r="B698" s="44"/>
      <c r="D698" s="40"/>
      <c r="E698" s="45"/>
    </row>
    <row r="699" spans="2:5">
      <c r="B699" s="44"/>
      <c r="D699" s="40"/>
      <c r="E699" s="45"/>
    </row>
    <row r="700" spans="2:5">
      <c r="B700" s="44"/>
      <c r="D700" s="40"/>
      <c r="E700" s="45"/>
    </row>
    <row r="701" spans="2:5">
      <c r="B701" s="44"/>
      <c r="D701" s="40"/>
      <c r="E701" s="45"/>
    </row>
    <row r="702" spans="2:5">
      <c r="B702" s="44"/>
      <c r="D702" s="40"/>
      <c r="E702" s="45"/>
    </row>
    <row r="703" spans="2:5">
      <c r="B703" s="44"/>
      <c r="D703" s="40"/>
      <c r="E703" s="45"/>
    </row>
    <row r="704" spans="2:5">
      <c r="B704" s="44"/>
      <c r="D704" s="40"/>
      <c r="E704" s="45"/>
    </row>
    <row r="705" spans="2:5">
      <c r="B705" s="44"/>
      <c r="D705" s="40"/>
      <c r="E705" s="45"/>
    </row>
    <row r="706" spans="2:5">
      <c r="B706" s="44"/>
      <c r="D706" s="40"/>
      <c r="E706" s="45"/>
    </row>
    <row r="707" spans="2:5">
      <c r="B707" s="44"/>
      <c r="D707" s="40"/>
      <c r="E707" s="45"/>
    </row>
    <row r="708" spans="2:5">
      <c r="B708" s="44"/>
      <c r="D708" s="40"/>
      <c r="E708" s="45"/>
    </row>
    <row r="709" spans="2:5">
      <c r="B709" s="44"/>
      <c r="D709" s="40"/>
      <c r="E709" s="45"/>
    </row>
    <row r="710" spans="2:5">
      <c r="B710" s="44"/>
      <c r="D710" s="40"/>
      <c r="E710" s="45"/>
    </row>
    <row r="711" spans="2:5">
      <c r="B711" s="44"/>
      <c r="D711" s="40"/>
      <c r="E711" s="45"/>
    </row>
    <row r="712" spans="2:5">
      <c r="B712" s="44"/>
      <c r="D712" s="40"/>
      <c r="E712" s="45"/>
    </row>
    <row r="713" spans="2:5">
      <c r="B713" s="44"/>
      <c r="D713" s="40"/>
      <c r="E713" s="45"/>
    </row>
    <row r="714" spans="2:5">
      <c r="B714" s="44"/>
      <c r="D714" s="40"/>
      <c r="E714" s="45"/>
    </row>
    <row r="715" spans="2:5">
      <c r="B715" s="44"/>
      <c r="D715" s="40"/>
      <c r="E715" s="45"/>
    </row>
    <row r="716" spans="2:5">
      <c r="B716" s="44"/>
      <c r="D716" s="40"/>
      <c r="E716" s="45"/>
    </row>
    <row r="717" spans="2:5">
      <c r="B717" s="44"/>
      <c r="D717" s="40"/>
      <c r="E717" s="45"/>
    </row>
    <row r="718" spans="2:5">
      <c r="B718" s="44"/>
      <c r="D718" s="40"/>
      <c r="E718" s="45"/>
    </row>
    <row r="719" spans="2:5">
      <c r="B719" s="44"/>
      <c r="D719" s="40"/>
      <c r="E719" s="45"/>
    </row>
    <row r="720" spans="2:5">
      <c r="B720" s="44"/>
      <c r="D720" s="40"/>
      <c r="E720" s="45"/>
    </row>
    <row r="721" spans="2:5">
      <c r="B721" s="44"/>
      <c r="D721" s="40"/>
      <c r="E721" s="45"/>
    </row>
    <row r="722" spans="2:5">
      <c r="B722" s="44"/>
      <c r="D722" s="40"/>
      <c r="E722" s="45"/>
    </row>
    <row r="723" spans="2:5">
      <c r="B723" s="44"/>
      <c r="D723" s="40"/>
      <c r="E723" s="45"/>
    </row>
    <row r="724" spans="2:5">
      <c r="B724" s="44"/>
      <c r="D724" s="40"/>
      <c r="E724" s="45"/>
    </row>
    <row r="725" spans="2:5">
      <c r="B725" s="44"/>
      <c r="D725" s="40"/>
      <c r="E725" s="45"/>
    </row>
    <row r="726" spans="2:5">
      <c r="B726" s="44"/>
      <c r="D726" s="40"/>
      <c r="E726" s="45"/>
    </row>
    <row r="727" spans="2:5">
      <c r="B727" s="44"/>
      <c r="D727" s="40"/>
      <c r="E727" s="45"/>
    </row>
    <row r="728" spans="2:5">
      <c r="B728" s="44"/>
      <c r="D728" s="40"/>
      <c r="E728" s="45"/>
    </row>
    <row r="729" spans="2:5">
      <c r="B729" s="44"/>
      <c r="D729" s="40"/>
      <c r="E729" s="45"/>
    </row>
    <row r="730" spans="2:5">
      <c r="B730" s="44"/>
      <c r="D730" s="40"/>
      <c r="E730" s="45"/>
    </row>
    <row r="731" spans="2:5">
      <c r="B731" s="44"/>
      <c r="D731" s="40"/>
      <c r="E731" s="45"/>
    </row>
    <row r="732" spans="2:5">
      <c r="B732" s="44"/>
      <c r="D732" s="40"/>
      <c r="E732" s="45"/>
    </row>
    <row r="733" spans="2:5">
      <c r="B733" s="44"/>
      <c r="D733" s="40"/>
      <c r="E733" s="45"/>
    </row>
    <row r="734" spans="2:5">
      <c r="B734" s="44"/>
      <c r="D734" s="40"/>
      <c r="E734" s="45"/>
    </row>
    <row r="735" spans="2:5">
      <c r="B735" s="44"/>
      <c r="D735" s="40"/>
      <c r="E735" s="45"/>
    </row>
    <row r="736" spans="2:5">
      <c r="B736" s="44"/>
      <c r="D736" s="40"/>
      <c r="E736" s="45"/>
    </row>
    <row r="737" spans="2:5">
      <c r="B737" s="44"/>
      <c r="D737" s="40"/>
      <c r="E737" s="45"/>
    </row>
    <row r="738" spans="2:5">
      <c r="B738" s="44"/>
      <c r="D738" s="40"/>
      <c r="E738" s="45"/>
    </row>
    <row r="739" spans="2:5">
      <c r="B739" s="44"/>
      <c r="D739" s="40"/>
      <c r="E739" s="45"/>
    </row>
    <row r="740" spans="2:5">
      <c r="B740" s="44"/>
      <c r="D740" s="40"/>
      <c r="E740" s="45"/>
    </row>
    <row r="741" spans="2:5">
      <c r="B741" s="44"/>
      <c r="D741" s="40"/>
      <c r="E741" s="45"/>
    </row>
    <row r="742" spans="2:5">
      <c r="B742" s="44"/>
      <c r="D742" s="40"/>
      <c r="E742" s="45"/>
    </row>
    <row r="743" spans="2:5">
      <c r="B743" s="44"/>
      <c r="D743" s="40"/>
      <c r="E743" s="45"/>
    </row>
    <row r="744" spans="2:5">
      <c r="B744" s="44"/>
      <c r="D744" s="40"/>
      <c r="E744" s="45"/>
    </row>
    <row r="745" spans="2:5">
      <c r="B745" s="44"/>
      <c r="D745" s="40"/>
      <c r="E745" s="45"/>
    </row>
    <row r="746" spans="2:5">
      <c r="B746" s="44"/>
      <c r="D746" s="40"/>
      <c r="E746" s="45"/>
    </row>
    <row r="747" spans="2:5">
      <c r="B747" s="44"/>
      <c r="D747" s="40"/>
      <c r="E747" s="45"/>
    </row>
    <row r="748" spans="2:5">
      <c r="B748" s="44"/>
      <c r="D748" s="40"/>
      <c r="E748" s="45"/>
    </row>
    <row r="749" spans="2:5">
      <c r="B749" s="44"/>
      <c r="D749" s="40"/>
      <c r="E749" s="45"/>
    </row>
    <row r="750" spans="2:5">
      <c r="B750" s="44"/>
      <c r="D750" s="40"/>
      <c r="E750" s="45"/>
    </row>
    <row r="751" spans="2:5">
      <c r="B751" s="44"/>
      <c r="D751" s="40"/>
      <c r="E751" s="45"/>
    </row>
    <row r="752" spans="2:5">
      <c r="B752" s="44"/>
      <c r="D752" s="40"/>
      <c r="E752" s="45"/>
    </row>
    <row r="753" spans="2:5">
      <c r="B753" s="44"/>
      <c r="D753" s="40"/>
      <c r="E753" s="45"/>
    </row>
    <row r="754" spans="2:5">
      <c r="B754" s="44"/>
      <c r="D754" s="40"/>
      <c r="E754" s="45"/>
    </row>
    <row r="755" spans="2:5">
      <c r="B755" s="44"/>
      <c r="D755" s="40"/>
      <c r="E755" s="45"/>
    </row>
    <row r="756" spans="2:5">
      <c r="B756" s="44"/>
      <c r="D756" s="40"/>
      <c r="E756" s="45"/>
    </row>
    <row r="757" spans="2:5">
      <c r="B757" s="44"/>
      <c r="D757" s="40"/>
      <c r="E757" s="45"/>
    </row>
    <row r="758" spans="2:5">
      <c r="B758" s="44"/>
      <c r="D758" s="40"/>
      <c r="E758" s="45"/>
    </row>
    <row r="759" spans="2:5">
      <c r="B759" s="44"/>
      <c r="D759" s="40"/>
      <c r="E759" s="45"/>
    </row>
    <row r="760" spans="2:5">
      <c r="B760" s="44"/>
      <c r="D760" s="40"/>
      <c r="E760" s="45"/>
    </row>
    <row r="761" spans="2:5">
      <c r="B761" s="44"/>
      <c r="D761" s="40"/>
      <c r="E761" s="45"/>
    </row>
    <row r="762" spans="2:5">
      <c r="B762" s="44"/>
      <c r="D762" s="40"/>
      <c r="E762" s="45"/>
    </row>
    <row r="763" spans="2:5">
      <c r="B763" s="44"/>
      <c r="D763" s="40"/>
      <c r="E763" s="45"/>
    </row>
    <row r="764" spans="2:5">
      <c r="B764" s="44"/>
      <c r="D764" s="40"/>
      <c r="E764" s="45"/>
    </row>
    <row r="765" spans="2:5">
      <c r="B765" s="44"/>
      <c r="D765" s="40"/>
      <c r="E765" s="45"/>
    </row>
    <row r="766" spans="2:5">
      <c r="B766" s="44"/>
      <c r="D766" s="40"/>
      <c r="E766" s="45"/>
    </row>
    <row r="767" spans="2:5">
      <c r="B767" s="44"/>
      <c r="D767" s="40"/>
      <c r="E767" s="45"/>
    </row>
    <row r="768" spans="2:5">
      <c r="B768" s="44"/>
      <c r="D768" s="40"/>
      <c r="E768" s="45"/>
    </row>
    <row r="769" spans="2:5">
      <c r="B769" s="44"/>
      <c r="D769" s="40"/>
      <c r="E769" s="45"/>
    </row>
    <row r="770" spans="2:5">
      <c r="B770" s="44"/>
      <c r="D770" s="40"/>
      <c r="E770" s="45"/>
    </row>
    <row r="771" spans="2:5">
      <c r="B771" s="44"/>
      <c r="D771" s="40"/>
      <c r="E771" s="45"/>
    </row>
    <row r="772" spans="2:5">
      <c r="B772" s="44"/>
      <c r="D772" s="40"/>
      <c r="E772" s="45"/>
    </row>
    <row r="773" spans="2:5">
      <c r="B773" s="44"/>
      <c r="D773" s="40"/>
      <c r="E773" s="45"/>
    </row>
    <row r="774" spans="2:5">
      <c r="B774" s="44"/>
      <c r="D774" s="40"/>
      <c r="E774" s="45"/>
    </row>
    <row r="775" spans="2:5">
      <c r="B775" s="44"/>
      <c r="D775" s="40"/>
      <c r="E775" s="45"/>
    </row>
    <row r="776" spans="2:5">
      <c r="B776" s="44"/>
      <c r="D776" s="40"/>
      <c r="E776" s="45"/>
    </row>
    <row r="777" spans="2:5">
      <c r="B777" s="44"/>
      <c r="D777" s="40"/>
      <c r="E777" s="45"/>
    </row>
    <row r="778" spans="2:5">
      <c r="B778" s="44"/>
      <c r="D778" s="40"/>
      <c r="E778" s="45"/>
    </row>
    <row r="779" spans="2:5">
      <c r="B779" s="44"/>
      <c r="D779" s="40"/>
      <c r="E779" s="45"/>
    </row>
    <row r="780" spans="2:5">
      <c r="B780" s="44"/>
      <c r="D780" s="40"/>
      <c r="E780" s="45"/>
    </row>
    <row r="781" spans="2:5">
      <c r="B781" s="44"/>
      <c r="D781" s="40"/>
      <c r="E781" s="45"/>
    </row>
    <row r="782" spans="2:5">
      <c r="B782" s="44"/>
      <c r="D782" s="40"/>
      <c r="E782" s="45"/>
    </row>
    <row r="783" spans="2:5">
      <c r="B783" s="44"/>
      <c r="D783" s="40"/>
      <c r="E783" s="45"/>
    </row>
    <row r="784" spans="2:5">
      <c r="B784" s="44"/>
      <c r="D784" s="40"/>
      <c r="E784" s="45"/>
    </row>
    <row r="785" spans="2:5">
      <c r="B785" s="44"/>
      <c r="D785" s="40"/>
      <c r="E785" s="45"/>
    </row>
    <row r="786" spans="2:5">
      <c r="B786" s="44"/>
      <c r="D786" s="40"/>
      <c r="E786" s="45"/>
    </row>
  </sheetData>
  <autoFilter ref="B2:E68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G220"/>
  <sheetViews>
    <sheetView showGridLines="0" workbookViewId="0">
      <pane ySplit="2" topLeftCell="A3" activePane="bottomLeft" state="frozen"/>
      <selection activeCell="C4" sqref="C4"/>
      <selection pane="bottomLeft" activeCell="E3" sqref="E3"/>
    </sheetView>
  </sheetViews>
  <sheetFormatPr defaultRowHeight="14.25"/>
  <cols>
    <col min="2" max="5" width="11.75" customWidth="1"/>
  </cols>
  <sheetData>
    <row r="1" spans="2:5" ht="15">
      <c r="B1" s="51" t="s">
        <v>48</v>
      </c>
    </row>
    <row r="2" spans="2:5">
      <c r="B2" s="15" t="s">
        <v>55</v>
      </c>
      <c r="C2" s="15" t="s">
        <v>30</v>
      </c>
      <c r="D2" s="16" t="s">
        <v>36</v>
      </c>
      <c r="E2" s="16" t="s">
        <v>31</v>
      </c>
    </row>
    <row r="3" spans="2:5">
      <c r="B3" s="41"/>
      <c r="C3" s="34"/>
      <c r="D3" s="20"/>
      <c r="E3" s="21"/>
    </row>
    <row r="4" spans="2:5">
      <c r="B4" s="41"/>
      <c r="C4" s="34"/>
      <c r="D4" s="20"/>
      <c r="E4" s="21"/>
    </row>
    <row r="5" spans="2:5">
      <c r="B5" s="41"/>
      <c r="C5" s="34"/>
      <c r="D5" s="20"/>
      <c r="E5" s="21"/>
    </row>
    <row r="6" spans="2:5">
      <c r="B6" s="41"/>
      <c r="C6" s="34"/>
      <c r="D6" s="20"/>
      <c r="E6" s="21"/>
    </row>
    <row r="7" spans="2:5">
      <c r="B7" s="41"/>
      <c r="C7" s="34"/>
      <c r="D7" s="20"/>
      <c r="E7" s="21"/>
    </row>
    <row r="8" spans="2:5">
      <c r="B8" s="41"/>
      <c r="C8" s="34"/>
      <c r="D8" s="20"/>
      <c r="E8" s="21"/>
    </row>
    <row r="9" spans="2:5">
      <c r="B9" s="41"/>
      <c r="C9" s="34"/>
      <c r="D9" s="20"/>
      <c r="E9" s="21"/>
    </row>
    <row r="10" spans="2:5">
      <c r="B10" s="41"/>
      <c r="C10" s="34"/>
      <c r="D10" s="20"/>
      <c r="E10" s="21"/>
    </row>
    <row r="11" spans="2:5">
      <c r="B11" s="41"/>
      <c r="C11" s="34"/>
      <c r="D11" s="20"/>
      <c r="E11" s="21"/>
    </row>
    <row r="12" spans="2:5">
      <c r="B12" s="41"/>
      <c r="C12" s="34"/>
      <c r="D12" s="20"/>
      <c r="E12" s="21"/>
    </row>
    <row r="13" spans="2:5">
      <c r="B13" s="41"/>
      <c r="C13" s="34"/>
      <c r="D13" s="20"/>
      <c r="E13" s="21"/>
    </row>
    <row r="14" spans="2:5">
      <c r="B14" s="41"/>
      <c r="C14" s="34"/>
      <c r="D14" s="20"/>
      <c r="E14" s="21"/>
    </row>
    <row r="15" spans="2:5">
      <c r="B15" s="41"/>
      <c r="C15" s="34"/>
      <c r="D15" s="20"/>
      <c r="E15" s="21"/>
    </row>
    <row r="16" spans="2:5">
      <c r="B16" s="41"/>
      <c r="C16" s="34"/>
      <c r="D16" s="20"/>
      <c r="E16" s="21"/>
    </row>
    <row r="17" spans="2:7">
      <c r="B17" s="41"/>
      <c r="C17" s="34"/>
      <c r="D17" s="20"/>
      <c r="E17" s="21"/>
      <c r="F17" s="49"/>
      <c r="G17" s="49"/>
    </row>
    <row r="18" spans="2:7">
      <c r="B18" s="41"/>
      <c r="C18" s="34"/>
      <c r="D18" s="20"/>
      <c r="E18" s="21"/>
      <c r="F18" s="49"/>
      <c r="G18" s="49"/>
    </row>
    <row r="19" spans="2:7">
      <c r="B19" s="41"/>
      <c r="C19" s="34"/>
      <c r="D19" s="20"/>
      <c r="E19" s="21"/>
      <c r="F19" s="49"/>
      <c r="G19" s="49"/>
    </row>
    <row r="20" spans="2:7">
      <c r="B20" s="41"/>
      <c r="C20" s="34"/>
      <c r="D20" s="20"/>
      <c r="E20" s="21"/>
      <c r="F20" s="49"/>
      <c r="G20" s="49"/>
    </row>
    <row r="21" spans="2:7">
      <c r="B21" s="41"/>
      <c r="C21" s="34"/>
      <c r="D21" s="20"/>
      <c r="E21" s="21"/>
      <c r="F21" s="49"/>
      <c r="G21" s="49"/>
    </row>
    <row r="22" spans="2:7">
      <c r="B22" s="41"/>
      <c r="C22" s="34"/>
      <c r="D22" s="20"/>
      <c r="E22" s="21"/>
      <c r="F22" s="49"/>
      <c r="G22" s="49"/>
    </row>
    <row r="23" spans="2:7">
      <c r="B23" s="41"/>
      <c r="C23" s="34"/>
      <c r="D23" s="20"/>
      <c r="E23" s="21"/>
      <c r="F23" s="49"/>
      <c r="G23" s="49"/>
    </row>
    <row r="24" spans="2:7">
      <c r="B24" s="41"/>
      <c r="C24" s="34"/>
      <c r="D24" s="20"/>
      <c r="E24" s="21"/>
      <c r="F24" s="49"/>
      <c r="G24" s="49"/>
    </row>
    <row r="25" spans="2:7">
      <c r="B25" s="41"/>
      <c r="C25" s="34"/>
      <c r="D25" s="20"/>
      <c r="E25" s="21"/>
      <c r="F25" s="49"/>
      <c r="G25" s="49"/>
    </row>
    <row r="26" spans="2:7">
      <c r="B26" s="41"/>
      <c r="C26" s="34"/>
      <c r="D26" s="20"/>
      <c r="E26" s="21"/>
      <c r="F26" s="49"/>
      <c r="G26" s="49"/>
    </row>
    <row r="27" spans="2:7">
      <c r="B27" s="41"/>
      <c r="C27" s="34"/>
      <c r="D27" s="20"/>
      <c r="E27" s="21"/>
      <c r="F27" s="49"/>
      <c r="G27" s="49"/>
    </row>
    <row r="28" spans="2:7">
      <c r="B28" s="41"/>
      <c r="C28" s="34"/>
      <c r="D28" s="20"/>
      <c r="E28" s="21"/>
      <c r="F28" s="49"/>
      <c r="G28" s="49"/>
    </row>
    <row r="29" spans="2:7">
      <c r="B29" s="41"/>
      <c r="C29" s="34"/>
      <c r="D29" s="20"/>
      <c r="E29" s="21"/>
      <c r="F29" s="49"/>
      <c r="G29" s="49"/>
    </row>
    <row r="30" spans="2:7">
      <c r="B30" s="41"/>
      <c r="C30" s="34"/>
      <c r="D30" s="20"/>
      <c r="E30" s="21"/>
      <c r="F30" s="49"/>
      <c r="G30" s="49"/>
    </row>
    <row r="31" spans="2:7">
      <c r="B31" s="41"/>
      <c r="C31" s="34"/>
      <c r="D31" s="20"/>
      <c r="E31" s="21"/>
      <c r="F31" s="49"/>
      <c r="G31" s="49"/>
    </row>
    <row r="32" spans="2:7">
      <c r="B32" s="41"/>
      <c r="C32" s="34"/>
      <c r="D32" s="20"/>
      <c r="E32" s="21"/>
    </row>
    <row r="33" spans="2:5">
      <c r="B33" s="41"/>
      <c r="C33" s="34"/>
      <c r="D33" s="20"/>
      <c r="E33" s="21"/>
    </row>
    <row r="34" spans="2:5">
      <c r="B34" s="41"/>
      <c r="C34" s="34"/>
      <c r="D34" s="20"/>
      <c r="E34" s="21"/>
    </row>
    <row r="35" spans="2:5">
      <c r="B35" s="41"/>
      <c r="C35" s="34"/>
      <c r="D35" s="20"/>
      <c r="E35" s="21"/>
    </row>
    <row r="36" spans="2:5">
      <c r="B36" s="41"/>
      <c r="C36" s="34"/>
      <c r="D36" s="20"/>
      <c r="E36" s="21"/>
    </row>
    <row r="37" spans="2:5">
      <c r="B37" s="41"/>
      <c r="C37" s="34">
        <f t="shared" ref="C37:C50" si="0">MONTH(B37)</f>
        <v>1</v>
      </c>
      <c r="D37" s="20"/>
      <c r="E37" s="21"/>
    </row>
    <row r="38" spans="2:5">
      <c r="B38" s="41"/>
      <c r="C38" s="34">
        <f t="shared" si="0"/>
        <v>1</v>
      </c>
      <c r="D38" s="20"/>
      <c r="E38" s="21"/>
    </row>
    <row r="39" spans="2:5">
      <c r="B39" s="41"/>
      <c r="C39" s="34">
        <f t="shared" si="0"/>
        <v>1</v>
      </c>
      <c r="D39" s="20"/>
      <c r="E39" s="21"/>
    </row>
    <row r="40" spans="2:5">
      <c r="B40" s="41"/>
      <c r="C40" s="34">
        <f t="shared" si="0"/>
        <v>1</v>
      </c>
      <c r="D40" s="20"/>
      <c r="E40" s="21"/>
    </row>
    <row r="41" spans="2:5">
      <c r="B41" s="41"/>
      <c r="C41" s="34">
        <f t="shared" si="0"/>
        <v>1</v>
      </c>
      <c r="D41" s="20"/>
      <c r="E41" s="21"/>
    </row>
    <row r="42" spans="2:5">
      <c r="B42" s="41"/>
      <c r="C42" s="34">
        <f t="shared" si="0"/>
        <v>1</v>
      </c>
      <c r="D42" s="20"/>
      <c r="E42" s="21"/>
    </row>
    <row r="43" spans="2:5">
      <c r="B43" s="41"/>
      <c r="C43" s="34">
        <f t="shared" si="0"/>
        <v>1</v>
      </c>
      <c r="D43" s="20"/>
      <c r="E43" s="21"/>
    </row>
    <row r="44" spans="2:5">
      <c r="B44" s="41"/>
      <c r="C44" s="34">
        <f t="shared" si="0"/>
        <v>1</v>
      </c>
      <c r="D44" s="20"/>
      <c r="E44" s="21"/>
    </row>
    <row r="45" spans="2:5">
      <c r="B45" s="41"/>
      <c r="C45" s="34">
        <f t="shared" si="0"/>
        <v>1</v>
      </c>
      <c r="D45" s="20"/>
      <c r="E45" s="21"/>
    </row>
    <row r="46" spans="2:5">
      <c r="B46" s="41"/>
      <c r="C46" s="34">
        <f t="shared" si="0"/>
        <v>1</v>
      </c>
      <c r="D46" s="20"/>
      <c r="E46" s="21"/>
    </row>
    <row r="47" spans="2:5">
      <c r="B47" s="41"/>
      <c r="C47" s="34">
        <f t="shared" si="0"/>
        <v>1</v>
      </c>
      <c r="D47" s="20"/>
      <c r="E47" s="21"/>
    </row>
    <row r="48" spans="2:5">
      <c r="B48" s="41"/>
      <c r="C48" s="34">
        <f t="shared" si="0"/>
        <v>1</v>
      </c>
      <c r="D48" s="20"/>
      <c r="E48" s="21"/>
    </row>
    <row r="49" spans="2:5">
      <c r="B49" s="41"/>
      <c r="C49" s="34">
        <f t="shared" si="0"/>
        <v>1</v>
      </c>
      <c r="D49" s="20"/>
      <c r="E49" s="21"/>
    </row>
    <row r="50" spans="2:5">
      <c r="B50" s="41"/>
      <c r="C50" s="34">
        <f t="shared" si="0"/>
        <v>1</v>
      </c>
      <c r="D50" s="20"/>
      <c r="E50" s="21"/>
    </row>
    <row r="51" spans="2:5">
      <c r="B51" s="19"/>
      <c r="C51" s="4"/>
      <c r="D51" s="20"/>
      <c r="E51" s="21"/>
    </row>
    <row r="52" spans="2:5">
      <c r="B52" s="19"/>
      <c r="C52" s="4"/>
      <c r="D52" s="20"/>
      <c r="E52" s="21"/>
    </row>
    <row r="53" spans="2:5">
      <c r="B53" s="19"/>
      <c r="C53" s="4"/>
      <c r="D53" s="20"/>
      <c r="E53" s="21"/>
    </row>
    <row r="54" spans="2:5">
      <c r="B54" s="19"/>
      <c r="C54" s="4"/>
      <c r="D54" s="20"/>
      <c r="E54" s="21"/>
    </row>
    <row r="55" spans="2:5">
      <c r="B55" s="19"/>
      <c r="C55" s="4"/>
      <c r="D55" s="20"/>
      <c r="E55" s="21"/>
    </row>
    <row r="56" spans="2:5">
      <c r="B56" s="19"/>
      <c r="C56" s="4"/>
      <c r="D56" s="20"/>
      <c r="E56" s="21"/>
    </row>
    <row r="57" spans="2:5">
      <c r="B57" s="19"/>
      <c r="C57" s="4"/>
      <c r="D57" s="20"/>
      <c r="E57" s="21"/>
    </row>
    <row r="58" spans="2:5">
      <c r="B58" s="19"/>
      <c r="C58" s="4"/>
      <c r="D58" s="20"/>
      <c r="E58" s="21"/>
    </row>
    <row r="59" spans="2:5">
      <c r="B59" s="19"/>
      <c r="C59" s="4"/>
      <c r="D59" s="20"/>
      <c r="E59" s="21"/>
    </row>
    <row r="60" spans="2:5">
      <c r="B60" s="19"/>
      <c r="C60" s="4"/>
      <c r="D60" s="20"/>
      <c r="E60" s="21"/>
    </row>
    <row r="61" spans="2:5">
      <c r="B61" s="19"/>
      <c r="C61" s="4"/>
      <c r="D61" s="20"/>
      <c r="E61" s="21"/>
    </row>
    <row r="62" spans="2:5">
      <c r="B62" s="19"/>
      <c r="C62" s="4"/>
      <c r="D62" s="20"/>
      <c r="E62" s="21"/>
    </row>
    <row r="63" spans="2:5">
      <c r="B63" s="19"/>
      <c r="C63" s="4"/>
      <c r="D63" s="20"/>
      <c r="E63" s="21"/>
    </row>
    <row r="64" spans="2:5">
      <c r="B64" s="19"/>
      <c r="C64" s="4"/>
      <c r="D64" s="20"/>
      <c r="E64" s="21"/>
    </row>
    <row r="65" spans="2:5">
      <c r="B65" s="19"/>
      <c r="C65" s="4"/>
      <c r="D65" s="20"/>
      <c r="E65" s="21"/>
    </row>
    <row r="66" spans="2:5">
      <c r="B66" s="19"/>
      <c r="C66" s="4"/>
      <c r="D66" s="20"/>
      <c r="E66" s="21"/>
    </row>
    <row r="67" spans="2:5">
      <c r="B67" s="19"/>
      <c r="C67" s="4"/>
      <c r="D67" s="20"/>
      <c r="E67" s="21"/>
    </row>
    <row r="68" spans="2:5">
      <c r="B68" s="19"/>
      <c r="C68" s="4"/>
      <c r="D68" s="20"/>
      <c r="E68" s="21"/>
    </row>
    <row r="69" spans="2:5">
      <c r="B69" s="19"/>
      <c r="C69" s="4"/>
      <c r="D69" s="20"/>
      <c r="E69" s="21"/>
    </row>
    <row r="70" spans="2:5">
      <c r="B70" s="19"/>
      <c r="C70" s="4"/>
      <c r="D70" s="20"/>
      <c r="E70" s="21"/>
    </row>
    <row r="71" spans="2:5">
      <c r="B71" s="19"/>
      <c r="C71" s="4"/>
      <c r="D71" s="20"/>
      <c r="E71" s="21"/>
    </row>
    <row r="72" spans="2:5">
      <c r="B72" s="19"/>
      <c r="C72" s="4"/>
      <c r="D72" s="20"/>
      <c r="E72" s="21"/>
    </row>
    <row r="73" spans="2:5">
      <c r="B73" s="19"/>
      <c r="C73" s="4"/>
      <c r="D73" s="20"/>
      <c r="E73" s="21"/>
    </row>
    <row r="74" spans="2:5">
      <c r="B74" s="19"/>
      <c r="C74" s="4"/>
      <c r="D74" s="20"/>
      <c r="E74" s="21"/>
    </row>
    <row r="75" spans="2:5">
      <c r="B75" s="19"/>
      <c r="C75" s="4"/>
      <c r="D75" s="20"/>
      <c r="E75" s="21"/>
    </row>
    <row r="76" spans="2:5">
      <c r="B76" s="19"/>
      <c r="C76" s="4"/>
      <c r="D76" s="20"/>
      <c r="E76" s="21"/>
    </row>
    <row r="77" spans="2:5">
      <c r="B77" s="19"/>
      <c r="C77" s="4"/>
      <c r="D77" s="20"/>
      <c r="E77" s="21"/>
    </row>
    <row r="78" spans="2:5">
      <c r="B78" s="19"/>
      <c r="C78" s="4"/>
      <c r="D78" s="20"/>
      <c r="E78" s="21"/>
    </row>
    <row r="79" spans="2:5">
      <c r="B79" s="19"/>
      <c r="C79" s="4"/>
      <c r="D79" s="20"/>
      <c r="E79" s="21"/>
    </row>
    <row r="80" spans="2:5">
      <c r="B80" s="19"/>
      <c r="C80" s="4"/>
      <c r="D80" s="20"/>
      <c r="E80" s="21"/>
    </row>
    <row r="81" spans="2:5">
      <c r="B81" s="19"/>
      <c r="C81" s="4"/>
      <c r="D81" s="20"/>
      <c r="E81" s="21"/>
    </row>
    <row r="82" spans="2:5">
      <c r="B82" s="19"/>
      <c r="C82" s="4"/>
      <c r="D82" s="20"/>
      <c r="E82" s="21"/>
    </row>
    <row r="83" spans="2:5">
      <c r="B83" s="19"/>
      <c r="C83" s="4"/>
      <c r="D83" s="20"/>
      <c r="E83" s="21"/>
    </row>
    <row r="84" spans="2:5">
      <c r="B84" s="19"/>
      <c r="C84" s="4"/>
      <c r="D84" s="20"/>
      <c r="E84" s="21"/>
    </row>
    <row r="85" spans="2:5">
      <c r="B85" s="19"/>
      <c r="C85" s="4"/>
      <c r="D85" s="20"/>
      <c r="E85" s="21"/>
    </row>
    <row r="86" spans="2:5">
      <c r="B86" s="19"/>
      <c r="C86" s="4"/>
      <c r="D86" s="20"/>
      <c r="E86" s="21"/>
    </row>
    <row r="87" spans="2:5">
      <c r="B87" s="19"/>
      <c r="C87" s="4"/>
      <c r="D87" s="20"/>
      <c r="E87" s="21"/>
    </row>
    <row r="88" spans="2:5">
      <c r="B88" s="19"/>
      <c r="C88" s="4"/>
      <c r="D88" s="20"/>
      <c r="E88" s="21"/>
    </row>
    <row r="89" spans="2:5">
      <c r="B89" s="19"/>
      <c r="C89" s="4"/>
      <c r="D89" s="20"/>
      <c r="E89" s="21"/>
    </row>
    <row r="90" spans="2:5">
      <c r="B90" s="19"/>
      <c r="C90" s="4"/>
      <c r="D90" s="20"/>
      <c r="E90" s="21"/>
    </row>
    <row r="91" spans="2:5">
      <c r="B91" s="19"/>
      <c r="C91" s="4"/>
      <c r="D91" s="20"/>
      <c r="E91" s="21"/>
    </row>
    <row r="92" spans="2:5">
      <c r="B92" s="19"/>
      <c r="C92" s="4"/>
      <c r="D92" s="20"/>
      <c r="E92" s="21"/>
    </row>
    <row r="93" spans="2:5">
      <c r="B93" s="19"/>
      <c r="C93" s="4"/>
      <c r="D93" s="20"/>
      <c r="E93" s="21"/>
    </row>
    <row r="94" spans="2:5">
      <c r="B94" s="19"/>
      <c r="C94" s="4"/>
      <c r="D94" s="20"/>
      <c r="E94" s="21"/>
    </row>
    <row r="95" spans="2:5">
      <c r="B95" s="19"/>
      <c r="C95" s="4"/>
      <c r="D95" s="20"/>
      <c r="E95" s="21"/>
    </row>
    <row r="96" spans="2:5">
      <c r="B96" s="19"/>
      <c r="C96" s="4"/>
      <c r="D96" s="20"/>
      <c r="E96" s="21"/>
    </row>
    <row r="97" spans="2:5">
      <c r="B97" s="19"/>
      <c r="C97" s="4"/>
      <c r="D97" s="20"/>
      <c r="E97" s="21"/>
    </row>
    <row r="98" spans="2:5">
      <c r="B98" s="19"/>
      <c r="C98" s="4"/>
      <c r="D98" s="20"/>
      <c r="E98" s="21"/>
    </row>
    <row r="99" spans="2:5">
      <c r="B99" s="19"/>
      <c r="C99" s="4"/>
      <c r="D99" s="20"/>
      <c r="E99" s="21"/>
    </row>
    <row r="100" spans="2:5">
      <c r="B100" s="19"/>
      <c r="C100" s="4"/>
      <c r="D100" s="20"/>
      <c r="E100" s="21"/>
    </row>
    <row r="101" spans="2:5">
      <c r="B101" s="19"/>
      <c r="C101" s="4"/>
      <c r="D101" s="20"/>
      <c r="E101" s="21"/>
    </row>
    <row r="102" spans="2:5">
      <c r="B102" s="19"/>
      <c r="C102" s="4"/>
      <c r="D102" s="20"/>
      <c r="E102" s="21"/>
    </row>
    <row r="103" spans="2:5">
      <c r="B103" s="19"/>
      <c r="C103" s="4"/>
      <c r="D103" s="20"/>
      <c r="E103" s="21"/>
    </row>
    <row r="104" spans="2:5">
      <c r="B104" s="19"/>
      <c r="C104" s="4"/>
      <c r="D104" s="20"/>
      <c r="E104" s="21"/>
    </row>
    <row r="105" spans="2:5">
      <c r="B105" s="19"/>
      <c r="C105" s="4"/>
      <c r="D105" s="20"/>
      <c r="E105" s="21"/>
    </row>
    <row r="106" spans="2:5">
      <c r="B106" s="19"/>
      <c r="C106" s="4"/>
      <c r="D106" s="20"/>
      <c r="E106" s="21"/>
    </row>
    <row r="107" spans="2:5">
      <c r="B107" s="19"/>
      <c r="C107" s="4"/>
      <c r="D107" s="20"/>
      <c r="E107" s="21"/>
    </row>
    <row r="108" spans="2:5">
      <c r="B108" s="19"/>
      <c r="C108" s="4"/>
      <c r="D108" s="20"/>
      <c r="E108" s="21"/>
    </row>
    <row r="109" spans="2:5">
      <c r="B109" s="19"/>
      <c r="C109" s="4"/>
      <c r="D109" s="20"/>
      <c r="E109" s="21"/>
    </row>
    <row r="110" spans="2:5">
      <c r="B110" s="19"/>
      <c r="C110" s="4"/>
      <c r="D110" s="20"/>
      <c r="E110" s="21"/>
    </row>
    <row r="111" spans="2:5">
      <c r="B111" s="19"/>
      <c r="C111" s="4"/>
      <c r="D111" s="20"/>
      <c r="E111" s="21"/>
    </row>
    <row r="112" spans="2:5">
      <c r="B112" s="19"/>
      <c r="C112" s="4"/>
      <c r="D112" s="20"/>
      <c r="E112" s="21"/>
    </row>
    <row r="113" spans="2:5">
      <c r="B113" s="19"/>
      <c r="C113" s="4"/>
      <c r="D113" s="20"/>
      <c r="E113" s="21"/>
    </row>
    <row r="114" spans="2:5">
      <c r="B114" s="19"/>
      <c r="C114" s="4"/>
      <c r="D114" s="20"/>
      <c r="E114" s="21"/>
    </row>
    <row r="115" spans="2:5">
      <c r="B115" s="19"/>
      <c r="C115" s="4"/>
      <c r="D115" s="20"/>
      <c r="E115" s="21"/>
    </row>
    <row r="116" spans="2:5">
      <c r="B116" s="19"/>
      <c r="C116" s="4"/>
      <c r="D116" s="20"/>
      <c r="E116" s="21"/>
    </row>
    <row r="117" spans="2:5">
      <c r="B117" s="19"/>
      <c r="C117" s="4"/>
      <c r="D117" s="20"/>
      <c r="E117" s="21"/>
    </row>
    <row r="118" spans="2:5">
      <c r="B118" s="19"/>
      <c r="C118" s="4"/>
      <c r="D118" s="20"/>
      <c r="E118" s="21"/>
    </row>
    <row r="119" spans="2:5">
      <c r="B119" s="19"/>
      <c r="C119" s="4"/>
      <c r="D119" s="20"/>
      <c r="E119" s="21"/>
    </row>
    <row r="120" spans="2:5">
      <c r="B120" s="19"/>
      <c r="C120" s="4"/>
      <c r="D120" s="20"/>
      <c r="E120" s="21"/>
    </row>
    <row r="121" spans="2:5">
      <c r="B121" s="19"/>
      <c r="C121" s="4"/>
      <c r="D121" s="20"/>
      <c r="E121" s="21"/>
    </row>
    <row r="122" spans="2:5">
      <c r="B122" s="19"/>
      <c r="C122" s="4"/>
      <c r="D122" s="20"/>
      <c r="E122" s="21"/>
    </row>
    <row r="123" spans="2:5">
      <c r="B123" s="19"/>
      <c r="C123" s="4"/>
      <c r="D123" s="20"/>
      <c r="E123" s="21"/>
    </row>
    <row r="124" spans="2:5">
      <c r="B124" s="19"/>
      <c r="C124" s="4"/>
      <c r="D124" s="20"/>
      <c r="E124" s="21"/>
    </row>
    <row r="125" spans="2:5">
      <c r="B125" s="19"/>
      <c r="C125" s="4"/>
      <c r="D125" s="20"/>
      <c r="E125" s="21"/>
    </row>
    <row r="126" spans="2:5">
      <c r="B126" s="19"/>
      <c r="C126" s="4"/>
      <c r="D126" s="20"/>
      <c r="E126" s="21"/>
    </row>
    <row r="127" spans="2:5">
      <c r="B127" s="19"/>
      <c r="C127" s="4"/>
      <c r="D127" s="20"/>
      <c r="E127" s="21"/>
    </row>
    <row r="128" spans="2:5">
      <c r="B128" s="19"/>
      <c r="C128" s="4"/>
      <c r="D128" s="20"/>
      <c r="E128" s="21"/>
    </row>
    <row r="129" spans="2:5">
      <c r="B129" s="19"/>
      <c r="C129" s="4"/>
      <c r="D129" s="20"/>
      <c r="E129" s="21"/>
    </row>
    <row r="130" spans="2:5">
      <c r="B130" s="19"/>
      <c r="C130" s="4"/>
      <c r="D130" s="20"/>
      <c r="E130" s="21"/>
    </row>
    <row r="131" spans="2:5">
      <c r="B131" s="19"/>
      <c r="C131" s="4"/>
      <c r="D131" s="20"/>
      <c r="E131" s="21"/>
    </row>
    <row r="132" spans="2:5">
      <c r="B132" s="19"/>
      <c r="C132" s="4"/>
      <c r="D132" s="20"/>
      <c r="E132" s="21"/>
    </row>
    <row r="133" spans="2:5">
      <c r="B133" s="19"/>
      <c r="C133" s="4"/>
      <c r="D133" s="20"/>
      <c r="E133" s="21"/>
    </row>
    <row r="134" spans="2:5">
      <c r="B134" s="19"/>
      <c r="C134" s="4"/>
      <c r="D134" s="20"/>
      <c r="E134" s="21"/>
    </row>
    <row r="135" spans="2:5">
      <c r="B135" s="19"/>
      <c r="C135" s="4"/>
      <c r="D135" s="20"/>
      <c r="E135" s="21"/>
    </row>
    <row r="136" spans="2:5">
      <c r="B136" s="19"/>
      <c r="C136" s="4"/>
      <c r="D136" s="20"/>
      <c r="E136" s="21"/>
    </row>
    <row r="137" spans="2:5">
      <c r="B137" s="19"/>
      <c r="C137" s="4"/>
      <c r="D137" s="20"/>
      <c r="E137" s="21"/>
    </row>
    <row r="138" spans="2:5">
      <c r="B138" s="19"/>
      <c r="C138" s="4"/>
      <c r="D138" s="20"/>
      <c r="E138" s="21"/>
    </row>
    <row r="139" spans="2:5">
      <c r="B139" s="19"/>
      <c r="C139" s="4"/>
      <c r="D139" s="20"/>
      <c r="E139" s="21"/>
    </row>
    <row r="140" spans="2:5">
      <c r="B140" s="19"/>
      <c r="C140" s="4"/>
      <c r="D140" s="20"/>
      <c r="E140" s="21"/>
    </row>
    <row r="141" spans="2:5">
      <c r="B141" s="19"/>
      <c r="C141" s="4"/>
      <c r="D141" s="20"/>
      <c r="E141" s="21"/>
    </row>
    <row r="142" spans="2:5">
      <c r="B142" s="19"/>
      <c r="C142" s="4"/>
      <c r="D142" s="20"/>
      <c r="E142" s="21"/>
    </row>
    <row r="143" spans="2:5">
      <c r="B143" s="19"/>
      <c r="C143" s="4"/>
      <c r="D143" s="20"/>
      <c r="E143" s="21"/>
    </row>
    <row r="144" spans="2:5">
      <c r="B144" s="19"/>
      <c r="C144" s="4"/>
      <c r="D144" s="20"/>
      <c r="E144" s="21"/>
    </row>
    <row r="145" spans="2:5">
      <c r="B145" s="19"/>
      <c r="C145" s="4"/>
      <c r="D145" s="20"/>
      <c r="E145" s="21"/>
    </row>
    <row r="146" spans="2:5">
      <c r="B146" s="19"/>
      <c r="C146" s="4"/>
      <c r="D146" s="20"/>
      <c r="E146" s="21"/>
    </row>
    <row r="147" spans="2:5">
      <c r="B147" s="19"/>
      <c r="C147" s="4"/>
      <c r="D147" s="20"/>
      <c r="E147" s="21"/>
    </row>
    <row r="148" spans="2:5">
      <c r="B148" s="19"/>
      <c r="C148" s="4"/>
      <c r="D148" s="20"/>
      <c r="E148" s="21"/>
    </row>
    <row r="149" spans="2:5">
      <c r="B149" s="19"/>
      <c r="C149" s="4"/>
      <c r="D149" s="20"/>
      <c r="E149" s="21"/>
    </row>
    <row r="150" spans="2:5">
      <c r="B150" s="19"/>
      <c r="C150" s="4"/>
      <c r="D150" s="20"/>
      <c r="E150" s="21"/>
    </row>
    <row r="151" spans="2:5">
      <c r="B151" s="19"/>
      <c r="C151" s="4"/>
      <c r="D151" s="20"/>
      <c r="E151" s="21"/>
    </row>
    <row r="152" spans="2:5">
      <c r="B152" s="19"/>
      <c r="C152" s="4"/>
      <c r="D152" s="20"/>
      <c r="E152" s="21"/>
    </row>
    <row r="153" spans="2:5">
      <c r="B153" s="19"/>
      <c r="C153" s="4"/>
      <c r="D153" s="20"/>
      <c r="E153" s="21"/>
    </row>
    <row r="154" spans="2:5">
      <c r="B154" s="19"/>
      <c r="C154" s="4"/>
      <c r="D154" s="20"/>
      <c r="E154" s="21"/>
    </row>
    <row r="155" spans="2:5">
      <c r="B155" s="19"/>
      <c r="C155" s="4"/>
      <c r="D155" s="20"/>
      <c r="E155" s="21"/>
    </row>
    <row r="156" spans="2:5">
      <c r="B156" s="19"/>
      <c r="C156" s="4"/>
      <c r="D156" s="20"/>
      <c r="E156" s="21"/>
    </row>
    <row r="157" spans="2:5">
      <c r="B157" s="19"/>
      <c r="C157" s="4"/>
      <c r="D157" s="20"/>
      <c r="E157" s="21"/>
    </row>
    <row r="158" spans="2:5">
      <c r="B158" s="19"/>
      <c r="C158" s="4"/>
      <c r="D158" s="20"/>
      <c r="E158" s="21"/>
    </row>
    <row r="159" spans="2:5">
      <c r="B159" s="19"/>
      <c r="C159" s="4"/>
      <c r="D159" s="20"/>
      <c r="E159" s="21"/>
    </row>
    <row r="160" spans="2:5">
      <c r="B160" s="19"/>
      <c r="C160" s="4"/>
      <c r="D160" s="20"/>
      <c r="E160" s="21"/>
    </row>
    <row r="161" spans="2:5">
      <c r="B161" s="19"/>
      <c r="C161" s="4"/>
      <c r="D161" s="20"/>
      <c r="E161" s="21"/>
    </row>
    <row r="162" spans="2:5">
      <c r="B162" s="19"/>
      <c r="C162" s="4"/>
      <c r="D162" s="20"/>
      <c r="E162" s="21"/>
    </row>
    <row r="163" spans="2:5">
      <c r="B163" s="19"/>
      <c r="C163" s="4"/>
      <c r="D163" s="20"/>
      <c r="E163" s="21"/>
    </row>
    <row r="164" spans="2:5">
      <c r="B164" s="19"/>
      <c r="C164" s="4"/>
      <c r="D164" s="20"/>
      <c r="E164" s="21"/>
    </row>
    <row r="165" spans="2:5">
      <c r="B165" s="19"/>
      <c r="C165" s="4"/>
      <c r="D165" s="20"/>
      <c r="E165" s="21"/>
    </row>
    <row r="166" spans="2:5">
      <c r="B166" s="19"/>
      <c r="C166" s="4"/>
      <c r="D166" s="20"/>
      <c r="E166" s="21"/>
    </row>
    <row r="167" spans="2:5">
      <c r="B167" s="19"/>
      <c r="C167" s="4"/>
      <c r="D167" s="20"/>
      <c r="E167" s="21"/>
    </row>
    <row r="168" spans="2:5">
      <c r="B168" s="19"/>
      <c r="C168" s="4"/>
      <c r="D168" s="20"/>
      <c r="E168" s="21"/>
    </row>
    <row r="169" spans="2:5">
      <c r="B169" s="19"/>
      <c r="C169" s="4"/>
      <c r="D169" s="20"/>
      <c r="E169" s="21"/>
    </row>
    <row r="170" spans="2:5">
      <c r="B170" s="19"/>
      <c r="C170" s="4"/>
      <c r="D170" s="20"/>
      <c r="E170" s="21"/>
    </row>
    <row r="171" spans="2:5">
      <c r="B171" s="19"/>
      <c r="C171" s="4"/>
      <c r="D171" s="20"/>
      <c r="E171" s="21"/>
    </row>
    <row r="172" spans="2:5">
      <c r="B172" s="19"/>
      <c r="C172" s="4"/>
      <c r="D172" s="20"/>
      <c r="E172" s="21"/>
    </row>
    <row r="173" spans="2:5">
      <c r="B173" s="19"/>
      <c r="C173" s="4"/>
      <c r="D173" s="20"/>
      <c r="E173" s="21"/>
    </row>
    <row r="174" spans="2:5">
      <c r="B174" s="19"/>
      <c r="C174" s="4"/>
      <c r="D174" s="20"/>
      <c r="E174" s="21"/>
    </row>
    <row r="175" spans="2:5">
      <c r="B175" s="19"/>
      <c r="C175" s="4"/>
      <c r="D175" s="20"/>
      <c r="E175" s="21"/>
    </row>
    <row r="176" spans="2:5">
      <c r="B176" s="19"/>
      <c r="C176" s="4"/>
      <c r="D176" s="20"/>
      <c r="E176" s="21"/>
    </row>
    <row r="177" spans="2:5">
      <c r="B177" s="19"/>
      <c r="C177" s="4"/>
      <c r="D177" s="20"/>
      <c r="E177" s="21"/>
    </row>
    <row r="178" spans="2:5">
      <c r="B178" s="19"/>
      <c r="C178" s="4"/>
      <c r="D178" s="20"/>
      <c r="E178" s="21"/>
    </row>
    <row r="179" spans="2:5">
      <c r="B179" s="19"/>
      <c r="C179" s="4"/>
      <c r="D179" s="20"/>
      <c r="E179" s="21"/>
    </row>
    <row r="180" spans="2:5">
      <c r="B180" s="19"/>
      <c r="C180" s="4"/>
      <c r="D180" s="20"/>
      <c r="E180" s="21"/>
    </row>
    <row r="181" spans="2:5">
      <c r="B181" s="19"/>
      <c r="C181" s="4"/>
      <c r="D181" s="20"/>
      <c r="E181" s="21"/>
    </row>
    <row r="182" spans="2:5">
      <c r="B182" s="19"/>
      <c r="C182" s="4"/>
      <c r="D182" s="20"/>
      <c r="E182" s="21"/>
    </row>
    <row r="183" spans="2:5">
      <c r="B183" s="19"/>
      <c r="C183" s="4"/>
      <c r="D183" s="20"/>
      <c r="E183" s="21"/>
    </row>
    <row r="184" spans="2:5">
      <c r="B184" s="19"/>
      <c r="C184" s="4"/>
      <c r="D184" s="20"/>
      <c r="E184" s="21"/>
    </row>
    <row r="185" spans="2:5">
      <c r="B185" s="19"/>
      <c r="C185" s="4"/>
      <c r="D185" s="20"/>
      <c r="E185" s="21"/>
    </row>
    <row r="186" spans="2:5">
      <c r="B186" s="19"/>
      <c r="C186" s="4"/>
      <c r="D186" s="20"/>
      <c r="E186" s="21"/>
    </row>
    <row r="187" spans="2:5">
      <c r="B187" s="19"/>
      <c r="C187" s="4"/>
      <c r="D187" s="20"/>
      <c r="E187" s="21"/>
    </row>
    <row r="188" spans="2:5">
      <c r="B188" s="19"/>
      <c r="C188" s="4"/>
      <c r="D188" s="20"/>
      <c r="E188" s="21"/>
    </row>
    <row r="189" spans="2:5">
      <c r="B189" s="19"/>
      <c r="C189" s="4"/>
      <c r="D189" s="20"/>
      <c r="E189" s="21"/>
    </row>
    <row r="190" spans="2:5">
      <c r="B190" s="19"/>
      <c r="C190" s="4"/>
      <c r="D190" s="20"/>
      <c r="E190" s="21"/>
    </row>
    <row r="191" spans="2:5">
      <c r="B191" s="19"/>
      <c r="C191" s="4"/>
      <c r="D191" s="20"/>
      <c r="E191" s="21"/>
    </row>
    <row r="192" spans="2:5">
      <c r="B192" s="19"/>
      <c r="C192" s="4"/>
      <c r="D192" s="20"/>
      <c r="E192" s="21"/>
    </row>
    <row r="193" spans="2:5">
      <c r="B193" s="19"/>
      <c r="C193" s="4"/>
      <c r="D193" s="20"/>
      <c r="E193" s="21"/>
    </row>
    <row r="194" spans="2:5">
      <c r="B194" s="19"/>
      <c r="C194" s="4"/>
      <c r="D194" s="20"/>
      <c r="E194" s="21"/>
    </row>
    <row r="195" spans="2:5">
      <c r="B195" s="19"/>
      <c r="C195" s="4"/>
      <c r="D195" s="20"/>
      <c r="E195" s="21"/>
    </row>
    <row r="196" spans="2:5">
      <c r="B196" s="19"/>
      <c r="C196" s="4"/>
      <c r="D196" s="20"/>
      <c r="E196" s="21"/>
    </row>
    <row r="197" spans="2:5">
      <c r="B197" s="19"/>
      <c r="C197" s="4"/>
      <c r="D197" s="20"/>
      <c r="E197" s="21"/>
    </row>
    <row r="198" spans="2:5">
      <c r="B198" s="19"/>
      <c r="C198" s="4"/>
      <c r="D198" s="20"/>
      <c r="E198" s="21"/>
    </row>
    <row r="199" spans="2:5">
      <c r="B199" s="19"/>
      <c r="C199" s="4"/>
      <c r="D199" s="20"/>
      <c r="E199" s="21"/>
    </row>
    <row r="200" spans="2:5">
      <c r="B200" s="19"/>
      <c r="C200" s="4"/>
      <c r="D200" s="20"/>
      <c r="E200" s="21"/>
    </row>
    <row r="201" spans="2:5">
      <c r="B201" s="19"/>
      <c r="C201" s="4"/>
      <c r="D201" s="20"/>
      <c r="E201" s="21"/>
    </row>
    <row r="202" spans="2:5">
      <c r="B202" s="19"/>
      <c r="C202" s="4"/>
      <c r="D202" s="20"/>
      <c r="E202" s="21"/>
    </row>
    <row r="203" spans="2:5">
      <c r="B203" s="19"/>
      <c r="C203" s="4"/>
      <c r="D203" s="20"/>
      <c r="E203" s="21"/>
    </row>
    <row r="204" spans="2:5">
      <c r="B204" s="19"/>
      <c r="C204" s="4"/>
      <c r="D204" s="20"/>
      <c r="E204" s="21"/>
    </row>
    <row r="205" spans="2:5">
      <c r="B205" s="19"/>
      <c r="C205" s="4"/>
      <c r="D205" s="20"/>
      <c r="E205" s="21"/>
    </row>
    <row r="206" spans="2:5">
      <c r="B206" s="19"/>
      <c r="C206" s="4"/>
      <c r="D206" s="20"/>
      <c r="E206" s="21"/>
    </row>
    <row r="207" spans="2:5">
      <c r="B207" s="19"/>
      <c r="C207" s="4"/>
      <c r="D207" s="20"/>
      <c r="E207" s="21"/>
    </row>
    <row r="208" spans="2:5">
      <c r="B208" s="19"/>
      <c r="C208" s="4"/>
      <c r="D208" s="20"/>
      <c r="E208" s="21"/>
    </row>
    <row r="209" spans="2:5">
      <c r="B209" s="19"/>
      <c r="C209" s="4"/>
      <c r="D209" s="20"/>
      <c r="E209" s="21"/>
    </row>
    <row r="210" spans="2:5">
      <c r="B210" s="19"/>
      <c r="C210" s="4"/>
      <c r="D210" s="20"/>
      <c r="E210" s="21"/>
    </row>
    <row r="211" spans="2:5">
      <c r="B211" s="19"/>
      <c r="C211" s="4"/>
      <c r="D211" s="20"/>
      <c r="E211" s="21"/>
    </row>
    <row r="212" spans="2:5">
      <c r="B212" s="19"/>
      <c r="C212" s="4"/>
      <c r="D212" s="20"/>
      <c r="E212" s="21"/>
    </row>
    <row r="213" spans="2:5">
      <c r="B213" s="19"/>
      <c r="C213" s="4"/>
      <c r="D213" s="20"/>
      <c r="E213" s="21"/>
    </row>
    <row r="214" spans="2:5">
      <c r="B214" s="19"/>
      <c r="C214" s="4"/>
      <c r="D214" s="20"/>
      <c r="E214" s="21"/>
    </row>
    <row r="215" spans="2:5">
      <c r="B215" s="19"/>
      <c r="C215" s="4"/>
      <c r="D215" s="20"/>
      <c r="E215" s="21"/>
    </row>
    <row r="216" spans="2:5">
      <c r="B216" s="19"/>
      <c r="C216" s="4"/>
      <c r="D216" s="20"/>
      <c r="E216" s="21"/>
    </row>
    <row r="217" spans="2:5">
      <c r="B217" s="19"/>
      <c r="C217" s="4"/>
      <c r="D217" s="20"/>
      <c r="E217" s="21"/>
    </row>
    <row r="218" spans="2:5">
      <c r="B218" s="19"/>
      <c r="C218" s="4"/>
      <c r="D218" s="20"/>
      <c r="E218" s="21"/>
    </row>
    <row r="219" spans="2:5">
      <c r="B219" s="19"/>
      <c r="C219" s="4"/>
      <c r="D219" s="20"/>
      <c r="E219" s="21"/>
    </row>
    <row r="220" spans="2:5">
      <c r="B220" s="19"/>
      <c r="C220" s="4"/>
      <c r="D220" s="20"/>
      <c r="E220" s="21"/>
    </row>
  </sheetData>
  <autoFilter ref="B2:E2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I70"/>
  <sheetViews>
    <sheetView showGridLines="0" workbookViewId="0">
      <pane ySplit="2" topLeftCell="A3" activePane="bottomLeft" state="frozen"/>
      <selection activeCell="B1" sqref="B1"/>
      <selection pane="bottomLeft" activeCell="F3" sqref="F3"/>
    </sheetView>
  </sheetViews>
  <sheetFormatPr defaultRowHeight="14.25"/>
  <cols>
    <col min="2" max="2" width="7.25" style="35" bestFit="1" customWidth="1"/>
    <col min="3" max="3" width="6.625" style="35" bestFit="1" customWidth="1"/>
    <col min="4" max="4" width="9.875" bestFit="1" customWidth="1"/>
    <col min="5" max="5" width="10.375" bestFit="1" customWidth="1"/>
    <col min="6" max="6" width="26.375" customWidth="1"/>
    <col min="7" max="7" width="8.125" bestFit="1" customWidth="1"/>
    <col min="8" max="8" width="14.75" bestFit="1" customWidth="1"/>
  </cols>
  <sheetData>
    <row r="1" spans="2:9" ht="15">
      <c r="B1" s="52" t="s">
        <v>62</v>
      </c>
    </row>
    <row r="2" spans="2:9">
      <c r="B2" s="15" t="s">
        <v>55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9">
      <c r="B3" s="41">
        <v>43695</v>
      </c>
      <c r="C3" s="34">
        <v>8</v>
      </c>
      <c r="D3" s="5">
        <v>50</v>
      </c>
      <c r="E3" s="20" t="s">
        <v>45</v>
      </c>
      <c r="F3" s="20" t="s">
        <v>533</v>
      </c>
      <c r="G3" s="18">
        <v>43695</v>
      </c>
      <c r="H3" s="5" t="s">
        <v>133</v>
      </c>
      <c r="I3" s="85" t="s">
        <v>536</v>
      </c>
    </row>
    <row r="4" spans="2:9">
      <c r="B4" s="41"/>
      <c r="C4" s="34"/>
      <c r="D4" s="5"/>
      <c r="E4" s="20"/>
      <c r="F4" s="20"/>
      <c r="G4" s="18"/>
      <c r="H4" s="5"/>
    </row>
    <row r="5" spans="2:9">
      <c r="B5" s="41"/>
      <c r="C5" s="34"/>
      <c r="D5" s="5"/>
      <c r="E5" s="20"/>
      <c r="F5" s="20"/>
      <c r="G5" s="18"/>
      <c r="H5" s="5"/>
    </row>
    <row r="6" spans="2:9">
      <c r="B6" s="41"/>
      <c r="C6" s="34"/>
      <c r="D6" s="5"/>
      <c r="E6" s="20"/>
      <c r="F6" s="20"/>
      <c r="G6" s="18"/>
      <c r="H6" s="5"/>
    </row>
    <row r="7" spans="2:9">
      <c r="B7" s="41"/>
      <c r="C7" s="34"/>
      <c r="D7" s="5"/>
      <c r="E7" s="20"/>
      <c r="F7" s="20"/>
      <c r="G7" s="18"/>
      <c r="H7" s="5"/>
    </row>
    <row r="8" spans="2:9">
      <c r="B8" s="41"/>
      <c r="C8" s="34"/>
      <c r="D8" s="5"/>
      <c r="E8" s="20"/>
      <c r="F8" s="20"/>
      <c r="G8" s="18"/>
      <c r="H8" s="5"/>
    </row>
    <row r="9" spans="2:9">
      <c r="B9" s="41"/>
      <c r="C9" s="34"/>
      <c r="D9" s="5"/>
      <c r="E9" s="20"/>
      <c r="F9" s="20"/>
      <c r="G9" s="18"/>
      <c r="H9" s="5"/>
    </row>
    <row r="10" spans="2:9">
      <c r="B10" s="41"/>
      <c r="C10" s="34"/>
      <c r="D10" s="5"/>
      <c r="E10" s="20"/>
      <c r="F10" s="20"/>
      <c r="G10" s="18"/>
      <c r="H10" s="5"/>
    </row>
    <row r="11" spans="2:9">
      <c r="B11" s="41"/>
      <c r="C11" s="34"/>
      <c r="D11" s="5"/>
      <c r="E11" s="20"/>
      <c r="F11" s="20"/>
      <c r="G11" s="18"/>
      <c r="H11" s="5"/>
    </row>
    <row r="12" spans="2:9">
      <c r="B12" s="41"/>
      <c r="C12" s="34"/>
      <c r="D12" s="5"/>
      <c r="E12" s="20"/>
      <c r="F12" s="20"/>
      <c r="G12" s="18"/>
      <c r="H12" s="5"/>
    </row>
    <row r="13" spans="2:9">
      <c r="B13" s="41"/>
      <c r="C13" s="34"/>
      <c r="D13" s="5"/>
      <c r="E13" s="20"/>
      <c r="F13" s="20"/>
      <c r="G13" s="18"/>
      <c r="H13" s="5"/>
    </row>
    <row r="14" spans="2:9">
      <c r="B14" s="41"/>
      <c r="C14" s="34"/>
      <c r="D14" s="5"/>
      <c r="E14" s="20"/>
      <c r="F14" s="20"/>
      <c r="G14" s="18"/>
      <c r="H14" s="5"/>
    </row>
    <row r="15" spans="2:9">
      <c r="B15" s="41"/>
      <c r="C15" s="34"/>
      <c r="D15" s="5"/>
      <c r="E15" s="20"/>
      <c r="F15" s="20"/>
      <c r="G15" s="18"/>
      <c r="H15" s="5"/>
    </row>
    <row r="16" spans="2:9">
      <c r="B16" s="41"/>
      <c r="C16" s="34"/>
      <c r="D16" s="5"/>
      <c r="E16" s="20"/>
      <c r="F16" s="20"/>
      <c r="G16" s="18"/>
      <c r="H16" s="5"/>
    </row>
    <row r="17" spans="2:8">
      <c r="B17" s="41"/>
      <c r="C17" s="34"/>
      <c r="D17" s="5"/>
      <c r="E17" s="20"/>
      <c r="F17" s="20"/>
      <c r="G17" s="18"/>
      <c r="H17" s="5"/>
    </row>
    <row r="18" spans="2:8">
      <c r="B18" s="41"/>
      <c r="C18" s="34"/>
      <c r="D18" s="5"/>
      <c r="E18" s="20"/>
      <c r="F18" s="20"/>
      <c r="G18" s="18"/>
      <c r="H18" s="5"/>
    </row>
    <row r="19" spans="2:8">
      <c r="B19" s="41"/>
      <c r="C19" s="34"/>
      <c r="D19" s="5"/>
      <c r="E19" s="20"/>
      <c r="F19" s="20"/>
      <c r="G19" s="18"/>
      <c r="H19" s="5"/>
    </row>
    <row r="20" spans="2:8">
      <c r="B20" s="41"/>
      <c r="C20" s="34"/>
      <c r="D20" s="5"/>
      <c r="E20" s="20"/>
      <c r="F20" s="20"/>
      <c r="G20" s="18"/>
      <c r="H20" s="5"/>
    </row>
    <row r="21" spans="2:8">
      <c r="B21" s="41"/>
      <c r="C21" s="34"/>
      <c r="D21" s="5"/>
      <c r="E21" s="20"/>
      <c r="F21" s="20"/>
      <c r="G21" s="18"/>
      <c r="H21" s="5"/>
    </row>
    <row r="22" spans="2:8">
      <c r="B22" s="41"/>
      <c r="C22" s="34"/>
      <c r="D22" s="5"/>
      <c r="E22" s="20"/>
      <c r="F22" s="20"/>
      <c r="G22" s="18"/>
      <c r="H22" s="5"/>
    </row>
    <row r="23" spans="2:8">
      <c r="B23" s="41"/>
      <c r="C23" s="34"/>
      <c r="D23" s="5"/>
      <c r="E23" s="20"/>
      <c r="F23" s="20"/>
      <c r="G23" s="18"/>
      <c r="H23" s="5"/>
    </row>
    <row r="24" spans="2:8">
      <c r="B24" s="41"/>
      <c r="C24" s="34"/>
      <c r="D24" s="5"/>
      <c r="E24" s="20"/>
      <c r="F24" s="20"/>
      <c r="G24" s="18"/>
      <c r="H24" s="5"/>
    </row>
    <row r="25" spans="2:8">
      <c r="B25" s="41"/>
      <c r="C25" s="34"/>
      <c r="D25" s="5"/>
      <c r="E25" s="20"/>
      <c r="F25" s="20"/>
      <c r="G25" s="18"/>
      <c r="H25" s="5"/>
    </row>
    <row r="26" spans="2:8">
      <c r="B26" s="41"/>
      <c r="C26" s="34"/>
      <c r="D26" s="5"/>
      <c r="E26" s="20"/>
      <c r="F26" s="20"/>
      <c r="G26" s="18"/>
      <c r="H26" s="5"/>
    </row>
    <row r="27" spans="2:8">
      <c r="B27" s="41"/>
      <c r="C27" s="34"/>
      <c r="D27" s="5"/>
      <c r="E27" s="20"/>
      <c r="F27" s="20"/>
      <c r="G27" s="18"/>
      <c r="H27" s="5"/>
    </row>
    <row r="28" spans="2:8">
      <c r="B28" s="41"/>
      <c r="C28" s="34"/>
      <c r="D28" s="5"/>
      <c r="E28" s="20"/>
      <c r="F28" s="20"/>
      <c r="G28" s="18"/>
      <c r="H28" s="5"/>
    </row>
    <row r="29" spans="2:8">
      <c r="B29" s="41"/>
      <c r="C29" s="34"/>
      <c r="D29" s="5"/>
      <c r="E29" s="20"/>
      <c r="F29" s="20"/>
      <c r="G29" s="18"/>
      <c r="H29" s="5"/>
    </row>
    <row r="30" spans="2:8">
      <c r="B30" s="41"/>
      <c r="C30" s="34"/>
      <c r="D30" s="5"/>
      <c r="E30" s="20"/>
      <c r="F30" s="20"/>
      <c r="G30" s="18"/>
      <c r="H30" s="5"/>
    </row>
    <row r="31" spans="2:8">
      <c r="B31" s="41"/>
      <c r="C31" s="34"/>
      <c r="D31" s="5"/>
      <c r="E31" s="20"/>
      <c r="F31" s="20"/>
      <c r="G31" s="18"/>
      <c r="H31" s="5"/>
    </row>
    <row r="32" spans="2:8">
      <c r="B32" s="41"/>
      <c r="C32" s="34"/>
      <c r="D32" s="5"/>
      <c r="E32" s="20"/>
      <c r="F32" s="20"/>
      <c r="G32" s="18"/>
      <c r="H32" s="5"/>
    </row>
    <row r="33" spans="2:8">
      <c r="B33" s="41"/>
      <c r="C33" s="34"/>
      <c r="D33" s="5"/>
      <c r="E33" s="20"/>
      <c r="F33" s="20"/>
      <c r="G33" s="18"/>
      <c r="H33" s="5"/>
    </row>
    <row r="34" spans="2:8">
      <c r="B34" s="41"/>
      <c r="C34" s="34"/>
      <c r="D34" s="5"/>
      <c r="E34" s="20"/>
      <c r="F34" s="20"/>
      <c r="G34" s="18"/>
      <c r="H34" s="5"/>
    </row>
    <row r="35" spans="2:8">
      <c r="B35" s="41"/>
      <c r="C35" s="34"/>
      <c r="D35" s="5"/>
      <c r="E35" s="20"/>
      <c r="F35" s="20"/>
      <c r="G35" s="18"/>
      <c r="H35" s="5"/>
    </row>
    <row r="36" spans="2:8">
      <c r="B36" s="41"/>
      <c r="C36" s="34"/>
      <c r="D36" s="5"/>
      <c r="E36" s="20"/>
      <c r="F36" s="20"/>
      <c r="G36" s="18"/>
      <c r="H36" s="5"/>
    </row>
    <row r="37" spans="2:8">
      <c r="B37" s="41"/>
      <c r="C37" s="34"/>
      <c r="D37" s="5"/>
      <c r="E37" s="20"/>
      <c r="F37" s="20"/>
      <c r="G37" s="18"/>
      <c r="H37" s="5"/>
    </row>
    <row r="38" spans="2:8">
      <c r="B38" s="41"/>
      <c r="C38" s="34"/>
      <c r="D38" s="5"/>
      <c r="E38" s="20"/>
      <c r="F38" s="20"/>
      <c r="G38" s="18"/>
      <c r="H38" s="5"/>
    </row>
    <row r="39" spans="2:8">
      <c r="B39" s="41"/>
      <c r="C39" s="34"/>
      <c r="D39" s="5"/>
      <c r="E39" s="20"/>
      <c r="F39" s="20"/>
      <c r="G39" s="18"/>
      <c r="H39" s="5"/>
    </row>
    <row r="40" spans="2:8">
      <c r="B40" s="41"/>
      <c r="C40" s="34"/>
      <c r="D40" s="5"/>
      <c r="E40" s="20"/>
      <c r="F40" s="20"/>
      <c r="G40" s="18"/>
      <c r="H40" s="5"/>
    </row>
    <row r="41" spans="2:8">
      <c r="B41" s="41"/>
      <c r="C41" s="34"/>
      <c r="D41" s="5"/>
      <c r="E41" s="20"/>
      <c r="F41" s="20"/>
      <c r="G41" s="18"/>
      <c r="H41" s="5"/>
    </row>
    <row r="42" spans="2:8">
      <c r="B42" s="41"/>
      <c r="C42" s="34"/>
      <c r="D42" s="5"/>
      <c r="E42" s="20"/>
      <c r="F42" s="20"/>
      <c r="G42" s="18"/>
      <c r="H42" s="5"/>
    </row>
    <row r="43" spans="2:8">
      <c r="B43" s="41"/>
      <c r="C43" s="34"/>
      <c r="D43" s="5"/>
      <c r="E43" s="20"/>
      <c r="F43" s="20"/>
      <c r="G43" s="18"/>
      <c r="H43" s="5"/>
    </row>
    <row r="44" spans="2:8">
      <c r="B44" s="41"/>
      <c r="C44" s="34"/>
      <c r="D44" s="5"/>
      <c r="E44" s="20"/>
      <c r="F44" s="20"/>
      <c r="G44" s="18"/>
      <c r="H44" s="5"/>
    </row>
    <row r="45" spans="2:8">
      <c r="B45" s="41"/>
      <c r="C45" s="34"/>
      <c r="D45" s="5"/>
      <c r="E45" s="20"/>
      <c r="F45" s="20"/>
      <c r="G45" s="18"/>
      <c r="H45" s="5"/>
    </row>
    <row r="46" spans="2:8">
      <c r="B46" s="41"/>
      <c r="C46" s="34"/>
      <c r="D46" s="5"/>
      <c r="E46" s="20"/>
      <c r="F46" s="20"/>
      <c r="G46" s="18"/>
      <c r="H46" s="5"/>
    </row>
    <row r="47" spans="2:8">
      <c r="B47" s="41"/>
      <c r="C47" s="34"/>
      <c r="D47" s="5"/>
      <c r="E47" s="20"/>
      <c r="F47" s="20"/>
      <c r="G47" s="18"/>
      <c r="H47" s="5"/>
    </row>
    <row r="48" spans="2:8">
      <c r="B48" s="41"/>
      <c r="C48" s="34"/>
      <c r="D48" s="5"/>
      <c r="E48" s="20"/>
      <c r="F48" s="20"/>
      <c r="G48" s="18"/>
      <c r="H48" s="5"/>
    </row>
    <row r="49" spans="2:8">
      <c r="B49" s="41"/>
      <c r="C49" s="34"/>
      <c r="D49" s="5"/>
      <c r="E49" s="20"/>
      <c r="F49" s="20"/>
      <c r="G49" s="18"/>
      <c r="H49" s="5"/>
    </row>
    <row r="50" spans="2:8">
      <c r="B50" s="41"/>
      <c r="C50" s="34"/>
      <c r="D50" s="5"/>
      <c r="E50" s="20"/>
      <c r="F50" s="20"/>
      <c r="G50" s="18"/>
      <c r="H50" s="5"/>
    </row>
    <row r="51" spans="2:8">
      <c r="B51" s="41"/>
      <c r="C51" s="34"/>
      <c r="D51" s="5"/>
      <c r="E51" s="20"/>
      <c r="F51" s="20"/>
      <c r="G51" s="18"/>
      <c r="H51" s="5"/>
    </row>
    <row r="52" spans="2:8">
      <c r="B52" s="41"/>
      <c r="C52" s="34"/>
      <c r="D52" s="5"/>
      <c r="E52" s="20"/>
      <c r="F52" s="20"/>
      <c r="G52" s="18"/>
      <c r="H52" s="5"/>
    </row>
    <row r="53" spans="2:8">
      <c r="B53" s="41"/>
      <c r="C53" s="34"/>
      <c r="D53" s="5"/>
      <c r="E53" s="20"/>
      <c r="F53" s="20"/>
      <c r="G53" s="18"/>
      <c r="H53" s="5"/>
    </row>
    <row r="54" spans="2:8">
      <c r="B54" s="41"/>
      <c r="C54" s="34"/>
      <c r="D54" s="5"/>
      <c r="E54" s="20"/>
      <c r="F54" s="20"/>
      <c r="G54" s="18"/>
      <c r="H54" s="5"/>
    </row>
    <row r="55" spans="2:8">
      <c r="B55" s="41"/>
      <c r="C55" s="34"/>
      <c r="D55" s="5"/>
      <c r="E55" s="20"/>
      <c r="F55" s="20"/>
      <c r="G55" s="18"/>
      <c r="H55" s="5"/>
    </row>
    <row r="56" spans="2:8">
      <c r="B56" s="41"/>
      <c r="C56" s="34"/>
      <c r="D56" s="5"/>
      <c r="E56" s="20"/>
      <c r="F56" s="20"/>
      <c r="G56" s="18"/>
      <c r="H56" s="5"/>
    </row>
    <row r="57" spans="2:8">
      <c r="B57" s="41"/>
      <c r="C57" s="34"/>
      <c r="D57" s="5"/>
      <c r="E57" s="20"/>
      <c r="F57" s="20"/>
      <c r="G57" s="18"/>
      <c r="H57" s="5"/>
    </row>
    <row r="58" spans="2:8">
      <c r="B58" s="41"/>
      <c r="C58" s="34"/>
      <c r="D58" s="5"/>
      <c r="E58" s="20"/>
      <c r="F58" s="20"/>
      <c r="G58" s="18"/>
      <c r="H58" s="5"/>
    </row>
    <row r="59" spans="2:8">
      <c r="B59" s="41"/>
      <c r="C59" s="34"/>
      <c r="D59" s="5"/>
      <c r="E59" s="20"/>
      <c r="F59" s="20"/>
      <c r="G59" s="18"/>
      <c r="H59" s="5"/>
    </row>
    <row r="60" spans="2:8">
      <c r="B60" s="41"/>
      <c r="C60" s="34"/>
      <c r="D60" s="5"/>
      <c r="E60" s="20"/>
      <c r="F60" s="20"/>
      <c r="G60" s="18"/>
      <c r="H60" s="5"/>
    </row>
    <row r="61" spans="2:8">
      <c r="B61" s="41"/>
      <c r="C61" s="34"/>
      <c r="D61" s="5"/>
      <c r="E61" s="20"/>
      <c r="F61" s="20"/>
      <c r="G61" s="18"/>
      <c r="H61" s="5"/>
    </row>
    <row r="62" spans="2:8">
      <c r="B62" s="41"/>
      <c r="C62" s="34"/>
      <c r="D62" s="5"/>
      <c r="E62" s="20"/>
      <c r="F62" s="20"/>
      <c r="G62" s="18"/>
      <c r="H62" s="5"/>
    </row>
    <row r="63" spans="2:8">
      <c r="B63" s="41"/>
      <c r="C63" s="34"/>
      <c r="D63" s="5"/>
      <c r="E63" s="20"/>
      <c r="F63" s="20"/>
      <c r="G63" s="18"/>
      <c r="H63" s="5"/>
    </row>
    <row r="64" spans="2:8">
      <c r="B64" s="41"/>
      <c r="C64" s="34"/>
      <c r="D64" s="5"/>
      <c r="E64" s="20"/>
      <c r="F64" s="20"/>
      <c r="G64" s="18"/>
      <c r="H64" s="5"/>
    </row>
    <row r="65" spans="2:8">
      <c r="B65" s="41"/>
      <c r="C65" s="34"/>
      <c r="D65" s="5"/>
      <c r="E65" s="20"/>
      <c r="F65" s="20"/>
      <c r="G65" s="18"/>
      <c r="H65" s="5"/>
    </row>
    <row r="66" spans="2:8">
      <c r="B66" s="41"/>
      <c r="C66" s="34"/>
      <c r="D66" s="5"/>
      <c r="E66" s="20"/>
      <c r="F66" s="20"/>
      <c r="G66" s="18"/>
      <c r="H66" s="5"/>
    </row>
    <row r="67" spans="2:8">
      <c r="B67" s="41"/>
      <c r="C67" s="34"/>
      <c r="D67" s="5"/>
      <c r="E67" s="20"/>
      <c r="F67" s="20"/>
      <c r="G67" s="18"/>
      <c r="H67" s="5"/>
    </row>
    <row r="68" spans="2:8">
      <c r="B68" s="41"/>
      <c r="C68" s="34"/>
      <c r="D68" s="5"/>
      <c r="E68" s="20"/>
      <c r="F68" s="20"/>
      <c r="G68" s="18"/>
      <c r="H68" s="5"/>
    </row>
    <row r="69" spans="2:8">
      <c r="B69" s="41"/>
      <c r="C69" s="34"/>
      <c r="D69" s="5"/>
      <c r="E69" s="20"/>
      <c r="F69" s="20"/>
      <c r="G69" s="18"/>
      <c r="H69" s="5"/>
    </row>
    <row r="70" spans="2:8">
      <c r="B70" s="41"/>
      <c r="C70" s="34"/>
      <c r="D70" s="5"/>
      <c r="E70" s="20"/>
      <c r="F70" s="20"/>
      <c r="G70" s="18"/>
      <c r="H70" s="5"/>
    </row>
  </sheetData>
  <autoFilter ref="B2:H5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 filterMode="1"/>
  <dimension ref="B1:M107"/>
  <sheetViews>
    <sheetView showGridLines="0" topLeftCell="A2" zoomScaleNormal="100" workbookViewId="0">
      <selection activeCell="I37" sqref="I37"/>
    </sheetView>
  </sheetViews>
  <sheetFormatPr defaultRowHeight="14.25"/>
  <cols>
    <col min="2" max="2" width="7.25" style="35" bestFit="1" customWidth="1"/>
    <col min="3" max="3" width="6.625" style="35" bestFit="1" customWidth="1"/>
    <col min="4" max="4" width="9.875" bestFit="1" customWidth="1"/>
    <col min="5" max="5" width="36.125" bestFit="1" customWidth="1"/>
    <col min="6" max="6" width="9" bestFit="1" customWidth="1"/>
    <col min="7" max="7" width="8.125" bestFit="1" customWidth="1"/>
    <col min="8" max="8" width="10.75" bestFit="1" customWidth="1"/>
    <col min="12" max="12" width="10" bestFit="1" customWidth="1"/>
  </cols>
  <sheetData>
    <row r="1" spans="2:13" ht="15">
      <c r="B1" s="52" t="s">
        <v>442</v>
      </c>
    </row>
    <row r="2" spans="2:13">
      <c r="B2" s="15" t="s">
        <v>55</v>
      </c>
      <c r="C2" s="15" t="s">
        <v>30</v>
      </c>
      <c r="D2" s="16" t="s">
        <v>31</v>
      </c>
      <c r="E2" s="16" t="s">
        <v>35</v>
      </c>
      <c r="F2" s="16" t="s">
        <v>470</v>
      </c>
      <c r="G2" s="17" t="s">
        <v>443</v>
      </c>
      <c r="H2" s="16" t="s">
        <v>34</v>
      </c>
      <c r="J2" s="16" t="s">
        <v>470</v>
      </c>
      <c r="K2" s="63" t="s">
        <v>170</v>
      </c>
      <c r="L2" s="63"/>
      <c r="M2" s="63" t="s">
        <v>453</v>
      </c>
    </row>
    <row r="3" spans="2:13" hidden="1">
      <c r="B3" s="41">
        <v>43577</v>
      </c>
      <c r="C3" s="34">
        <v>4</v>
      </c>
      <c r="D3" s="5">
        <v>15</v>
      </c>
      <c r="E3" s="20" t="s">
        <v>449</v>
      </c>
      <c r="F3" s="20"/>
      <c r="G3" s="18" t="s">
        <v>444</v>
      </c>
      <c r="H3" s="5" t="s">
        <v>133</v>
      </c>
      <c r="I3" t="s">
        <v>452</v>
      </c>
      <c r="K3" s="63">
        <f>SUM(D:D)</f>
        <v>2346.81</v>
      </c>
      <c r="L3" s="63"/>
      <c r="M3" s="63">
        <f>SUMIF(I:I,"pago",D:D)</f>
        <v>1551.4550000000004</v>
      </c>
    </row>
    <row r="4" spans="2:13" hidden="1">
      <c r="B4" s="41">
        <v>43577</v>
      </c>
      <c r="C4" s="34">
        <v>4</v>
      </c>
      <c r="D4" s="5">
        <v>165</v>
      </c>
      <c r="E4" s="20" t="s">
        <v>445</v>
      </c>
      <c r="F4" s="20"/>
      <c r="G4" s="18" t="s">
        <v>444</v>
      </c>
      <c r="H4" s="5" t="s">
        <v>133</v>
      </c>
      <c r="I4" t="s">
        <v>452</v>
      </c>
      <c r="K4" s="63"/>
      <c r="L4" s="63" t="s">
        <v>454</v>
      </c>
    </row>
    <row r="5" spans="2:13" hidden="1">
      <c r="B5" s="41">
        <v>43577</v>
      </c>
      <c r="C5" s="34">
        <v>4</v>
      </c>
      <c r="D5" s="5">
        <v>40</v>
      </c>
      <c r="E5" s="20" t="s">
        <v>446</v>
      </c>
      <c r="F5" s="20"/>
      <c r="G5" s="18" t="s">
        <v>444</v>
      </c>
      <c r="H5" s="5" t="s">
        <v>133</v>
      </c>
      <c r="I5" t="s">
        <v>452</v>
      </c>
      <c r="K5" s="63"/>
      <c r="L5" s="127">
        <f>SUM(K3-M3)</f>
        <v>795.35499999999956</v>
      </c>
    </row>
    <row r="6" spans="2:13" hidden="1">
      <c r="B6" s="41">
        <v>43577</v>
      </c>
      <c r="C6" s="34">
        <v>4</v>
      </c>
      <c r="D6" s="5">
        <v>59.9</v>
      </c>
      <c r="E6" s="20" t="s">
        <v>447</v>
      </c>
      <c r="F6" s="20"/>
      <c r="G6" s="18" t="s">
        <v>444</v>
      </c>
      <c r="H6" s="5" t="s">
        <v>133</v>
      </c>
      <c r="I6" t="s">
        <v>452</v>
      </c>
    </row>
    <row r="7" spans="2:13" hidden="1">
      <c r="B7" s="41">
        <v>43577</v>
      </c>
      <c r="C7" s="34">
        <v>4</v>
      </c>
      <c r="D7" s="5">
        <v>10</v>
      </c>
      <c r="E7" s="20" t="s">
        <v>448</v>
      </c>
      <c r="F7" s="20"/>
      <c r="G7" s="18" t="s">
        <v>444</v>
      </c>
      <c r="H7" s="5" t="s">
        <v>133</v>
      </c>
      <c r="I7" t="s">
        <v>452</v>
      </c>
    </row>
    <row r="8" spans="2:13" hidden="1">
      <c r="B8" s="41">
        <v>43579</v>
      </c>
      <c r="C8" s="34">
        <v>4</v>
      </c>
      <c r="D8" s="5">
        <v>20.02</v>
      </c>
      <c r="E8" s="20" t="s">
        <v>448</v>
      </c>
      <c r="F8" s="20"/>
      <c r="G8" s="18" t="s">
        <v>444</v>
      </c>
      <c r="H8" s="5" t="s">
        <v>133</v>
      </c>
      <c r="I8" t="s">
        <v>452</v>
      </c>
    </row>
    <row r="9" spans="2:13" hidden="1">
      <c r="B9" s="41">
        <v>43580</v>
      </c>
      <c r="C9" s="34">
        <v>4</v>
      </c>
      <c r="D9" s="5">
        <v>12.48</v>
      </c>
      <c r="E9" s="20" t="s">
        <v>451</v>
      </c>
      <c r="F9" s="20"/>
      <c r="G9" s="18" t="s">
        <v>444</v>
      </c>
      <c r="H9" s="5" t="s">
        <v>133</v>
      </c>
      <c r="I9" t="s">
        <v>452</v>
      </c>
    </row>
    <row r="10" spans="2:13" hidden="1">
      <c r="B10" s="41">
        <v>43580</v>
      </c>
      <c r="C10" s="34">
        <v>4</v>
      </c>
      <c r="D10" s="5">
        <v>43</v>
      </c>
      <c r="E10" s="20" t="s">
        <v>450</v>
      </c>
      <c r="F10" s="20"/>
      <c r="G10" s="18" t="s">
        <v>444</v>
      </c>
      <c r="H10" s="5" t="s">
        <v>133</v>
      </c>
      <c r="I10" t="s">
        <v>452</v>
      </c>
    </row>
    <row r="11" spans="2:13" hidden="1">
      <c r="B11" s="41">
        <v>43586</v>
      </c>
      <c r="C11" s="34">
        <v>5</v>
      </c>
      <c r="D11" s="5">
        <v>20</v>
      </c>
      <c r="E11" s="20" t="s">
        <v>459</v>
      </c>
      <c r="F11" s="20" t="s">
        <v>472</v>
      </c>
      <c r="G11" s="18" t="s">
        <v>444</v>
      </c>
      <c r="H11" s="5" t="s">
        <v>133</v>
      </c>
      <c r="I11" t="s">
        <v>452</v>
      </c>
      <c r="J11" t="s">
        <v>132</v>
      </c>
    </row>
    <row r="12" spans="2:13" hidden="1">
      <c r="B12" s="41">
        <v>43594</v>
      </c>
      <c r="C12" s="34">
        <v>5</v>
      </c>
      <c r="D12" s="5">
        <v>5.25</v>
      </c>
      <c r="E12" s="20" t="s">
        <v>465</v>
      </c>
      <c r="F12" s="20" t="s">
        <v>472</v>
      </c>
      <c r="G12" s="18" t="s">
        <v>444</v>
      </c>
      <c r="H12" s="5" t="s">
        <v>133</v>
      </c>
      <c r="I12" t="s">
        <v>452</v>
      </c>
      <c r="J12" t="s">
        <v>132</v>
      </c>
    </row>
    <row r="13" spans="2:13" hidden="1">
      <c r="B13" s="41">
        <v>43595</v>
      </c>
      <c r="C13" s="34">
        <v>5</v>
      </c>
      <c r="D13" s="5">
        <v>190.99</v>
      </c>
      <c r="E13" s="20" t="s">
        <v>476</v>
      </c>
      <c r="F13" s="20" t="s">
        <v>472</v>
      </c>
      <c r="G13" s="18" t="s">
        <v>444</v>
      </c>
      <c r="H13" s="5" t="s">
        <v>133</v>
      </c>
      <c r="I13" t="s">
        <v>452</v>
      </c>
      <c r="J13" t="s">
        <v>132</v>
      </c>
    </row>
    <row r="14" spans="2:13" hidden="1">
      <c r="B14" s="41">
        <v>43598</v>
      </c>
      <c r="C14" s="34">
        <v>5</v>
      </c>
      <c r="D14" s="5">
        <v>25</v>
      </c>
      <c r="E14" s="20" t="s">
        <v>460</v>
      </c>
      <c r="F14" s="20" t="s">
        <v>472</v>
      </c>
      <c r="G14" s="18" t="s">
        <v>444</v>
      </c>
      <c r="H14" s="5" t="s">
        <v>133</v>
      </c>
      <c r="I14" t="s">
        <v>452</v>
      </c>
      <c r="J14" t="s">
        <v>132</v>
      </c>
    </row>
    <row r="15" spans="2:13" hidden="1">
      <c r="B15" s="41">
        <v>43598</v>
      </c>
      <c r="C15" s="34">
        <v>5</v>
      </c>
      <c r="D15" s="5">
        <v>50</v>
      </c>
      <c r="E15" s="20" t="s">
        <v>473</v>
      </c>
      <c r="F15" s="20" t="s">
        <v>472</v>
      </c>
      <c r="G15" s="18" t="s">
        <v>444</v>
      </c>
      <c r="H15" s="5" t="s">
        <v>147</v>
      </c>
      <c r="I15" t="s">
        <v>452</v>
      </c>
      <c r="J15" t="s">
        <v>132</v>
      </c>
    </row>
    <row r="16" spans="2:13" hidden="1">
      <c r="B16" s="41">
        <v>43612</v>
      </c>
      <c r="C16" s="34">
        <v>5</v>
      </c>
      <c r="D16" s="5">
        <v>20</v>
      </c>
      <c r="E16" s="20" t="s">
        <v>460</v>
      </c>
      <c r="F16" s="20" t="s">
        <v>472</v>
      </c>
      <c r="G16" s="18" t="s">
        <v>444</v>
      </c>
      <c r="H16" s="5" t="s">
        <v>133</v>
      </c>
      <c r="I16" t="s">
        <v>452</v>
      </c>
      <c r="J16" t="s">
        <v>132</v>
      </c>
    </row>
    <row r="17" spans="2:10" hidden="1">
      <c r="B17" s="41">
        <v>43612</v>
      </c>
      <c r="C17" s="34">
        <v>5</v>
      </c>
      <c r="D17" s="5">
        <v>50</v>
      </c>
      <c r="E17" s="20" t="s">
        <v>461</v>
      </c>
      <c r="F17" s="20" t="s">
        <v>472</v>
      </c>
      <c r="G17" s="18" t="s">
        <v>444</v>
      </c>
      <c r="H17" s="5" t="s">
        <v>147</v>
      </c>
      <c r="I17" t="s">
        <v>452</v>
      </c>
      <c r="J17" t="s">
        <v>132</v>
      </c>
    </row>
    <row r="18" spans="2:10" hidden="1">
      <c r="B18" s="41">
        <v>43612</v>
      </c>
      <c r="C18" s="34">
        <v>5</v>
      </c>
      <c r="D18" s="5">
        <v>61.28</v>
      </c>
      <c r="E18" s="20" t="s">
        <v>462</v>
      </c>
      <c r="F18" s="20" t="s">
        <v>472</v>
      </c>
      <c r="G18" s="18" t="s">
        <v>444</v>
      </c>
      <c r="H18" s="5" t="s">
        <v>133</v>
      </c>
      <c r="I18" t="s">
        <v>452</v>
      </c>
      <c r="J18" t="s">
        <v>132</v>
      </c>
    </row>
    <row r="19" spans="2:10" hidden="1">
      <c r="B19" s="41">
        <v>43612</v>
      </c>
      <c r="C19" s="34">
        <v>5</v>
      </c>
      <c r="D19" s="5">
        <v>13.3</v>
      </c>
      <c r="E19" s="20" t="s">
        <v>462</v>
      </c>
      <c r="F19" s="20" t="s">
        <v>472</v>
      </c>
      <c r="G19" s="18" t="s">
        <v>444</v>
      </c>
      <c r="H19" s="5" t="s">
        <v>133</v>
      </c>
      <c r="I19" t="s">
        <v>452</v>
      </c>
      <c r="J19" t="s">
        <v>132</v>
      </c>
    </row>
    <row r="20" spans="2:10" hidden="1">
      <c r="B20" s="41">
        <v>43612</v>
      </c>
      <c r="C20" s="34">
        <v>5</v>
      </c>
      <c r="D20" s="5">
        <v>45</v>
      </c>
      <c r="E20" s="20" t="s">
        <v>463</v>
      </c>
      <c r="F20" s="20" t="s">
        <v>472</v>
      </c>
      <c r="G20" s="18" t="s">
        <v>444</v>
      </c>
      <c r="H20" s="5" t="s">
        <v>133</v>
      </c>
      <c r="I20" t="s">
        <v>452</v>
      </c>
      <c r="J20" t="s">
        <v>132</v>
      </c>
    </row>
    <row r="21" spans="2:10" hidden="1">
      <c r="B21" s="41">
        <v>43612</v>
      </c>
      <c r="C21" s="34">
        <v>5</v>
      </c>
      <c r="D21" s="5">
        <v>19.899999999999999</v>
      </c>
      <c r="E21" s="20" t="s">
        <v>459</v>
      </c>
      <c r="F21" s="20" t="s">
        <v>472</v>
      </c>
      <c r="G21" s="18" t="s">
        <v>444</v>
      </c>
      <c r="H21" s="5" t="s">
        <v>133</v>
      </c>
      <c r="I21" t="s">
        <v>452</v>
      </c>
      <c r="J21" t="s">
        <v>132</v>
      </c>
    </row>
    <row r="22" spans="2:10" hidden="1">
      <c r="B22" s="41">
        <v>43612</v>
      </c>
      <c r="C22" s="34">
        <v>5</v>
      </c>
      <c r="D22" s="5">
        <v>15.99</v>
      </c>
      <c r="E22" s="20" t="s">
        <v>464</v>
      </c>
      <c r="F22" s="20" t="s">
        <v>472</v>
      </c>
      <c r="G22" s="18" t="s">
        <v>444</v>
      </c>
      <c r="H22" s="5" t="s">
        <v>133</v>
      </c>
      <c r="I22" t="s">
        <v>452</v>
      </c>
      <c r="J22" t="s">
        <v>132</v>
      </c>
    </row>
    <row r="23" spans="2:10" hidden="1">
      <c r="B23" s="41">
        <v>43612</v>
      </c>
      <c r="C23" s="34">
        <v>5</v>
      </c>
      <c r="D23" s="5">
        <v>5.34</v>
      </c>
      <c r="E23" s="20" t="s">
        <v>465</v>
      </c>
      <c r="F23" s="20" t="s">
        <v>472</v>
      </c>
      <c r="G23" s="18" t="s">
        <v>444</v>
      </c>
      <c r="H23" s="5" t="s">
        <v>133</v>
      </c>
      <c r="I23" t="s">
        <v>452</v>
      </c>
      <c r="J23" t="s">
        <v>132</v>
      </c>
    </row>
    <row r="24" spans="2:10" hidden="1">
      <c r="B24" s="41">
        <v>43612</v>
      </c>
      <c r="C24" s="34">
        <v>5</v>
      </c>
      <c r="D24" s="5">
        <v>12.35</v>
      </c>
      <c r="E24" s="20" t="s">
        <v>448</v>
      </c>
      <c r="F24" s="20" t="s">
        <v>472</v>
      </c>
      <c r="G24" s="18" t="s">
        <v>444</v>
      </c>
      <c r="H24" s="5" t="s">
        <v>133</v>
      </c>
      <c r="I24" t="s">
        <v>452</v>
      </c>
      <c r="J24" t="s">
        <v>132</v>
      </c>
    </row>
    <row r="25" spans="2:10" hidden="1">
      <c r="B25" s="41">
        <v>43614</v>
      </c>
      <c r="C25" s="34">
        <v>5</v>
      </c>
      <c r="D25" s="5">
        <v>6.29</v>
      </c>
      <c r="E25" s="20" t="s">
        <v>465</v>
      </c>
      <c r="F25" s="20" t="s">
        <v>472</v>
      </c>
      <c r="G25" s="18" t="s">
        <v>444</v>
      </c>
      <c r="H25" s="5" t="s">
        <v>133</v>
      </c>
      <c r="I25" t="s">
        <v>452</v>
      </c>
      <c r="J25" t="s">
        <v>132</v>
      </c>
    </row>
    <row r="26" spans="2:10" hidden="1">
      <c r="B26" s="41">
        <v>43615</v>
      </c>
      <c r="C26" s="34">
        <v>5</v>
      </c>
      <c r="D26" s="5">
        <v>3.5</v>
      </c>
      <c r="E26" s="20" t="s">
        <v>465</v>
      </c>
      <c r="F26" s="20" t="s">
        <v>472</v>
      </c>
      <c r="G26" s="18" t="s">
        <v>444</v>
      </c>
      <c r="H26" s="5" t="s">
        <v>133</v>
      </c>
      <c r="I26" t="s">
        <v>452</v>
      </c>
      <c r="J26" t="s">
        <v>132</v>
      </c>
    </row>
    <row r="27" spans="2:10" hidden="1">
      <c r="B27" s="41">
        <v>43616</v>
      </c>
      <c r="C27" s="34">
        <v>5</v>
      </c>
      <c r="D27" s="5">
        <v>75.349999999999994</v>
      </c>
      <c r="E27" s="20" t="s">
        <v>467</v>
      </c>
      <c r="F27" s="20" t="s">
        <v>471</v>
      </c>
      <c r="G27" s="18" t="s">
        <v>444</v>
      </c>
      <c r="H27" s="5" t="s">
        <v>133</v>
      </c>
      <c r="I27" t="s">
        <v>452</v>
      </c>
      <c r="J27" t="s">
        <v>132</v>
      </c>
    </row>
    <row r="28" spans="2:10" hidden="1">
      <c r="B28" s="41">
        <v>43616</v>
      </c>
      <c r="C28" s="34">
        <v>5</v>
      </c>
      <c r="D28" s="5">
        <v>17.5</v>
      </c>
      <c r="E28" s="20" t="s">
        <v>450</v>
      </c>
      <c r="F28" s="20" t="s">
        <v>471</v>
      </c>
      <c r="G28" s="18" t="s">
        <v>444</v>
      </c>
      <c r="H28" s="5" t="s">
        <v>133</v>
      </c>
      <c r="I28" t="s">
        <v>452</v>
      </c>
      <c r="J28" t="s">
        <v>132</v>
      </c>
    </row>
    <row r="29" spans="2:10" hidden="1">
      <c r="B29" s="41">
        <v>43619</v>
      </c>
      <c r="C29" s="34">
        <v>6</v>
      </c>
      <c r="D29" s="5">
        <v>30</v>
      </c>
      <c r="E29" s="20" t="s">
        <v>474</v>
      </c>
      <c r="F29" s="20" t="s">
        <v>472</v>
      </c>
      <c r="G29" s="18" t="s">
        <v>444</v>
      </c>
      <c r="H29" s="5" t="s">
        <v>147</v>
      </c>
      <c r="I29" t="s">
        <v>452</v>
      </c>
      <c r="J29" t="s">
        <v>132</v>
      </c>
    </row>
    <row r="30" spans="2:10" hidden="1">
      <c r="B30" s="41">
        <v>43619</v>
      </c>
      <c r="C30" s="34">
        <v>6</v>
      </c>
      <c r="D30" s="5">
        <v>12.9</v>
      </c>
      <c r="E30" s="20" t="s">
        <v>475</v>
      </c>
      <c r="F30" s="20" t="s">
        <v>472</v>
      </c>
      <c r="G30" s="18" t="s">
        <v>444</v>
      </c>
      <c r="H30" s="5" t="s">
        <v>133</v>
      </c>
      <c r="I30" t="s">
        <v>452</v>
      </c>
      <c r="J30" t="s">
        <v>132</v>
      </c>
    </row>
    <row r="31" spans="2:10" hidden="1">
      <c r="B31" s="41">
        <v>43620</v>
      </c>
      <c r="C31" s="34">
        <v>6</v>
      </c>
      <c r="D31" s="5">
        <v>3.25</v>
      </c>
      <c r="E31" s="20" t="s">
        <v>465</v>
      </c>
      <c r="F31" s="20" t="s">
        <v>471</v>
      </c>
      <c r="G31" s="18" t="s">
        <v>444</v>
      </c>
      <c r="H31" s="5" t="s">
        <v>133</v>
      </c>
      <c r="I31" t="s">
        <v>452</v>
      </c>
      <c r="J31" t="s">
        <v>132</v>
      </c>
    </row>
    <row r="32" spans="2:10" hidden="1">
      <c r="B32" s="41">
        <v>43620</v>
      </c>
      <c r="C32" s="34">
        <v>6</v>
      </c>
      <c r="D32" s="5">
        <v>60</v>
      </c>
      <c r="E32" s="20" t="s">
        <v>468</v>
      </c>
      <c r="F32" s="20" t="s">
        <v>471</v>
      </c>
      <c r="G32" s="18" t="s">
        <v>444</v>
      </c>
      <c r="H32" s="5" t="s">
        <v>133</v>
      </c>
      <c r="I32" t="s">
        <v>452</v>
      </c>
      <c r="J32" t="s">
        <v>132</v>
      </c>
    </row>
    <row r="33" spans="2:11" hidden="1">
      <c r="B33" s="41">
        <v>43621</v>
      </c>
      <c r="C33" s="34">
        <v>6</v>
      </c>
      <c r="D33" s="5">
        <v>25</v>
      </c>
      <c r="E33" s="20" t="s">
        <v>469</v>
      </c>
      <c r="F33" s="20" t="s">
        <v>471</v>
      </c>
      <c r="G33" s="18" t="s">
        <v>444</v>
      </c>
      <c r="H33" s="5" t="s">
        <v>133</v>
      </c>
      <c r="I33" t="s">
        <v>452</v>
      </c>
      <c r="J33" t="s">
        <v>132</v>
      </c>
    </row>
    <row r="34" spans="2:11" hidden="1">
      <c r="B34" s="41">
        <v>43621</v>
      </c>
      <c r="C34" s="34">
        <v>6</v>
      </c>
      <c r="D34" s="5">
        <v>9.1</v>
      </c>
      <c r="E34" s="20" t="s">
        <v>465</v>
      </c>
      <c r="F34" s="20" t="s">
        <v>471</v>
      </c>
      <c r="G34" s="18" t="s">
        <v>444</v>
      </c>
      <c r="H34" s="5" t="s">
        <v>133</v>
      </c>
      <c r="I34" t="s">
        <v>452</v>
      </c>
      <c r="J34" t="s">
        <v>132</v>
      </c>
    </row>
    <row r="35" spans="2:11" hidden="1">
      <c r="B35" s="41">
        <v>43617</v>
      </c>
      <c r="C35" s="34">
        <v>6</v>
      </c>
      <c r="D35" s="5">
        <v>25</v>
      </c>
      <c r="E35" s="20" t="s">
        <v>460</v>
      </c>
      <c r="F35" s="20" t="s">
        <v>471</v>
      </c>
      <c r="G35" s="18" t="s">
        <v>444</v>
      </c>
      <c r="H35" s="5" t="s">
        <v>133</v>
      </c>
      <c r="I35" t="s">
        <v>452</v>
      </c>
      <c r="J35" t="s">
        <v>132</v>
      </c>
    </row>
    <row r="36" spans="2:11" hidden="1">
      <c r="B36" s="41">
        <v>43623</v>
      </c>
      <c r="C36" s="34">
        <v>6</v>
      </c>
      <c r="D36" s="5">
        <v>10.49</v>
      </c>
      <c r="E36" s="20" t="s">
        <v>480</v>
      </c>
      <c r="F36" s="20" t="s">
        <v>471</v>
      </c>
      <c r="G36" s="18" t="s">
        <v>444</v>
      </c>
      <c r="H36" s="5" t="s">
        <v>147</v>
      </c>
      <c r="I36" t="s">
        <v>452</v>
      </c>
      <c r="J36" t="s">
        <v>132</v>
      </c>
    </row>
    <row r="37" spans="2:11">
      <c r="B37" s="41">
        <v>43623</v>
      </c>
      <c r="C37" s="34">
        <v>6</v>
      </c>
      <c r="D37" s="5">
        <v>32</v>
      </c>
      <c r="E37" s="20" t="s">
        <v>481</v>
      </c>
      <c r="F37" s="20" t="s">
        <v>471</v>
      </c>
      <c r="G37" s="18" t="s">
        <v>444</v>
      </c>
      <c r="H37" s="5" t="s">
        <v>133</v>
      </c>
    </row>
    <row r="38" spans="2:11" hidden="1">
      <c r="B38" s="41">
        <v>43623</v>
      </c>
      <c r="C38" s="34">
        <v>6</v>
      </c>
      <c r="D38" s="5">
        <v>32</v>
      </c>
      <c r="E38" s="20" t="s">
        <v>481</v>
      </c>
      <c r="F38" s="20" t="s">
        <v>471</v>
      </c>
      <c r="G38" s="18" t="s">
        <v>444</v>
      </c>
      <c r="H38" s="5" t="s">
        <v>147</v>
      </c>
      <c r="I38" s="156" t="s">
        <v>452</v>
      </c>
      <c r="J38" s="156" t="s">
        <v>132</v>
      </c>
    </row>
    <row r="39" spans="2:11">
      <c r="B39" s="41">
        <v>43623</v>
      </c>
      <c r="C39" s="34">
        <v>6</v>
      </c>
      <c r="D39" s="5">
        <v>3.5</v>
      </c>
      <c r="E39" s="20" t="s">
        <v>482</v>
      </c>
      <c r="F39" s="20" t="s">
        <v>471</v>
      </c>
      <c r="G39" s="18" t="s">
        <v>444</v>
      </c>
      <c r="H39" s="5" t="s">
        <v>133</v>
      </c>
    </row>
    <row r="40" spans="2:11" hidden="1">
      <c r="B40" s="41">
        <v>43623</v>
      </c>
      <c r="C40" s="34">
        <v>6</v>
      </c>
      <c r="D40" s="5">
        <v>3.5</v>
      </c>
      <c r="E40" s="20" t="s">
        <v>482</v>
      </c>
      <c r="F40" s="20" t="s">
        <v>471</v>
      </c>
      <c r="G40" s="18" t="s">
        <v>444</v>
      </c>
      <c r="H40" s="5" t="s">
        <v>147</v>
      </c>
      <c r="I40" s="156" t="s">
        <v>452</v>
      </c>
      <c r="J40" s="156" t="s">
        <v>132</v>
      </c>
    </row>
    <row r="41" spans="2:11">
      <c r="B41" s="41">
        <v>43624</v>
      </c>
      <c r="C41" s="34">
        <v>6</v>
      </c>
      <c r="D41" s="5">
        <v>5.5</v>
      </c>
      <c r="E41" s="20" t="s">
        <v>448</v>
      </c>
      <c r="F41" s="20" t="s">
        <v>471</v>
      </c>
      <c r="G41" s="18" t="s">
        <v>444</v>
      </c>
      <c r="H41" s="5" t="s">
        <v>133</v>
      </c>
    </row>
    <row r="42" spans="2:11">
      <c r="B42" s="41">
        <v>43624</v>
      </c>
      <c r="C42" s="34">
        <v>6</v>
      </c>
      <c r="D42" s="5">
        <v>5.5</v>
      </c>
      <c r="E42" s="20" t="s">
        <v>448</v>
      </c>
      <c r="F42" s="20" t="s">
        <v>471</v>
      </c>
      <c r="G42" s="18" t="s">
        <v>444</v>
      </c>
      <c r="H42" s="5" t="s">
        <v>133</v>
      </c>
    </row>
    <row r="43" spans="2:11" hidden="1">
      <c r="B43" s="41">
        <v>43624</v>
      </c>
      <c r="C43" s="34">
        <v>6</v>
      </c>
      <c r="D43" s="5">
        <v>5.5</v>
      </c>
      <c r="E43" s="20" t="s">
        <v>448</v>
      </c>
      <c r="F43" s="20" t="s">
        <v>471</v>
      </c>
      <c r="G43" s="18" t="s">
        <v>444</v>
      </c>
      <c r="H43" s="5" t="s">
        <v>147</v>
      </c>
      <c r="I43" s="156" t="s">
        <v>452</v>
      </c>
      <c r="J43" s="156" t="s">
        <v>132</v>
      </c>
    </row>
    <row r="44" spans="2:11">
      <c r="B44" s="41">
        <v>43625</v>
      </c>
      <c r="C44" s="34">
        <v>6</v>
      </c>
      <c r="D44" s="5">
        <v>35.119999999999997</v>
      </c>
      <c r="E44" s="20" t="s">
        <v>460</v>
      </c>
      <c r="F44" s="20" t="s">
        <v>471</v>
      </c>
      <c r="G44" s="18" t="s">
        <v>444</v>
      </c>
      <c r="H44" s="5" t="s">
        <v>133</v>
      </c>
    </row>
    <row r="45" spans="2:11">
      <c r="B45" s="41">
        <v>43625</v>
      </c>
      <c r="C45" s="34">
        <v>6</v>
      </c>
      <c r="D45" s="5">
        <v>6.28</v>
      </c>
      <c r="E45" s="20" t="s">
        <v>483</v>
      </c>
      <c r="F45" s="20" t="s">
        <v>471</v>
      </c>
      <c r="G45" s="18" t="s">
        <v>444</v>
      </c>
      <c r="H45" s="5" t="s">
        <v>133</v>
      </c>
    </row>
    <row r="46" spans="2:11" hidden="1">
      <c r="B46" s="41">
        <v>43625</v>
      </c>
      <c r="C46" s="34">
        <v>6</v>
      </c>
      <c r="D46" s="5">
        <v>6.28</v>
      </c>
      <c r="E46" s="20" t="s">
        <v>483</v>
      </c>
      <c r="F46" s="20" t="s">
        <v>471</v>
      </c>
      <c r="G46" s="18" t="s">
        <v>444</v>
      </c>
      <c r="H46" s="5" t="s">
        <v>147</v>
      </c>
      <c r="I46" s="156" t="s">
        <v>452</v>
      </c>
      <c r="J46" s="156" t="s">
        <v>132</v>
      </c>
    </row>
    <row r="47" spans="2:11">
      <c r="B47" s="41">
        <v>43625</v>
      </c>
      <c r="C47" s="34">
        <v>6</v>
      </c>
      <c r="D47" s="5">
        <v>3.5</v>
      </c>
      <c r="E47" s="20" t="s">
        <v>484</v>
      </c>
      <c r="F47" s="20" t="s">
        <v>471</v>
      </c>
      <c r="G47" s="18" t="s">
        <v>444</v>
      </c>
      <c r="H47" s="5" t="s">
        <v>133</v>
      </c>
    </row>
    <row r="48" spans="2:11">
      <c r="B48" s="41">
        <v>43625</v>
      </c>
      <c r="C48" s="34">
        <v>6</v>
      </c>
      <c r="D48" s="5">
        <v>35</v>
      </c>
      <c r="E48" s="20" t="s">
        <v>485</v>
      </c>
      <c r="F48" s="20" t="s">
        <v>471</v>
      </c>
      <c r="G48" s="18" t="s">
        <v>444</v>
      </c>
      <c r="H48" s="5" t="s">
        <v>133</v>
      </c>
      <c r="K48" s="85" t="s">
        <v>488</v>
      </c>
    </row>
    <row r="49" spans="2:13" hidden="1">
      <c r="B49" s="41">
        <v>43625</v>
      </c>
      <c r="C49" s="34">
        <v>6</v>
      </c>
      <c r="D49" s="5">
        <v>35</v>
      </c>
      <c r="E49" s="20" t="s">
        <v>485</v>
      </c>
      <c r="F49" s="20" t="s">
        <v>471</v>
      </c>
      <c r="G49" s="18" t="s">
        <v>444</v>
      </c>
      <c r="H49" s="5" t="s">
        <v>147</v>
      </c>
      <c r="I49" s="156" t="s">
        <v>452</v>
      </c>
      <c r="J49" s="156" t="s">
        <v>132</v>
      </c>
      <c r="K49" s="85"/>
    </row>
    <row r="50" spans="2:13">
      <c r="B50" s="41">
        <v>43626</v>
      </c>
      <c r="C50" s="34">
        <v>6</v>
      </c>
      <c r="D50" s="5">
        <v>232.5</v>
      </c>
      <c r="E50" s="20" t="s">
        <v>477</v>
      </c>
      <c r="F50" s="20" t="s">
        <v>471</v>
      </c>
      <c r="G50" s="18" t="s">
        <v>444</v>
      </c>
      <c r="H50" s="5" t="s">
        <v>133</v>
      </c>
    </row>
    <row r="51" spans="2:13">
      <c r="B51" s="41">
        <v>43626</v>
      </c>
      <c r="C51" s="34">
        <v>6</v>
      </c>
      <c r="D51" s="5">
        <v>4.45</v>
      </c>
      <c r="E51" s="20" t="s">
        <v>465</v>
      </c>
      <c r="F51" s="20" t="s">
        <v>471</v>
      </c>
      <c r="G51" s="18" t="s">
        <v>444</v>
      </c>
      <c r="H51" s="5" t="s">
        <v>133</v>
      </c>
    </row>
    <row r="52" spans="2:13">
      <c r="B52" s="41">
        <v>43627</v>
      </c>
      <c r="C52" s="34">
        <v>6</v>
      </c>
      <c r="D52" s="5">
        <v>3.42</v>
      </c>
      <c r="E52" s="20" t="s">
        <v>465</v>
      </c>
      <c r="F52" s="20" t="s">
        <v>471</v>
      </c>
      <c r="G52" s="18" t="s">
        <v>444</v>
      </c>
      <c r="H52" s="5" t="s">
        <v>133</v>
      </c>
    </row>
    <row r="53" spans="2:13" hidden="1">
      <c r="B53" s="41">
        <v>43627</v>
      </c>
      <c r="C53" s="34">
        <v>6</v>
      </c>
      <c r="D53" s="5">
        <v>4.45</v>
      </c>
      <c r="E53" s="20" t="s">
        <v>465</v>
      </c>
      <c r="F53" s="20" t="s">
        <v>471</v>
      </c>
      <c r="G53" s="18" t="s">
        <v>444</v>
      </c>
      <c r="H53" s="5" t="s">
        <v>147</v>
      </c>
      <c r="I53" s="156" t="s">
        <v>452</v>
      </c>
      <c r="J53" s="156" t="s">
        <v>132</v>
      </c>
    </row>
    <row r="54" spans="2:13" hidden="1">
      <c r="B54" s="41">
        <v>43627</v>
      </c>
      <c r="C54" s="34">
        <v>6</v>
      </c>
      <c r="D54" s="5">
        <v>3.42</v>
      </c>
      <c r="E54" s="20" t="s">
        <v>465</v>
      </c>
      <c r="F54" s="20" t="s">
        <v>471</v>
      </c>
      <c r="G54" s="18" t="s">
        <v>444</v>
      </c>
      <c r="H54" s="5" t="s">
        <v>147</v>
      </c>
      <c r="I54" s="156" t="s">
        <v>452</v>
      </c>
      <c r="J54" s="156" t="s">
        <v>132</v>
      </c>
    </row>
    <row r="55" spans="2:13">
      <c r="B55" s="41">
        <v>43627</v>
      </c>
      <c r="C55" s="34">
        <v>6</v>
      </c>
      <c r="D55" s="5">
        <v>8</v>
      </c>
      <c r="E55" s="20" t="s">
        <v>486</v>
      </c>
      <c r="F55" s="20" t="s">
        <v>471</v>
      </c>
      <c r="G55" s="18" t="s">
        <v>444</v>
      </c>
      <c r="H55" s="5" t="s">
        <v>133</v>
      </c>
      <c r="K55" t="s">
        <v>133</v>
      </c>
      <c r="M55" t="s">
        <v>147</v>
      </c>
    </row>
    <row r="56" spans="2:13">
      <c r="B56" s="41">
        <v>43629</v>
      </c>
      <c r="C56" s="34">
        <v>6</v>
      </c>
      <c r="D56" s="5">
        <v>9.99</v>
      </c>
      <c r="E56" s="20" t="s">
        <v>465</v>
      </c>
      <c r="F56" s="20" t="s">
        <v>471</v>
      </c>
      <c r="G56" s="18" t="s">
        <v>444</v>
      </c>
      <c r="H56" s="5" t="s">
        <v>133</v>
      </c>
      <c r="K56">
        <f>SUMIFS($D:$D,$H:$H,"Walisson",$I:$I,"")</f>
        <v>795.35500000000002</v>
      </c>
      <c r="M56">
        <f>SUMIFS($D:$D,$H:$H,"Thays",$I:$I,"")</f>
        <v>0</v>
      </c>
    </row>
    <row r="57" spans="2:13">
      <c r="B57" s="41">
        <v>43632</v>
      </c>
      <c r="C57" s="34">
        <v>6</v>
      </c>
      <c r="D57" s="5">
        <v>30</v>
      </c>
      <c r="E57" s="20" t="s">
        <v>460</v>
      </c>
      <c r="F57" s="20" t="s">
        <v>471</v>
      </c>
      <c r="G57" s="18" t="s">
        <v>444</v>
      </c>
      <c r="H57" s="5" t="s">
        <v>133</v>
      </c>
      <c r="M57" s="129"/>
    </row>
    <row r="58" spans="2:13">
      <c r="B58" s="41">
        <v>43640</v>
      </c>
      <c r="C58" s="34">
        <v>6</v>
      </c>
      <c r="D58" s="5">
        <v>3.98</v>
      </c>
      <c r="E58" s="20" t="s">
        <v>487</v>
      </c>
      <c r="F58" s="20" t="s">
        <v>471</v>
      </c>
      <c r="G58" s="18" t="s">
        <v>444</v>
      </c>
      <c r="H58" s="5" t="s">
        <v>133</v>
      </c>
      <c r="M58" s="129"/>
    </row>
    <row r="59" spans="2:13">
      <c r="B59" s="41">
        <v>43641</v>
      </c>
      <c r="C59" s="34">
        <v>6</v>
      </c>
      <c r="D59" s="5">
        <v>2.9</v>
      </c>
      <c r="E59" s="20" t="s">
        <v>465</v>
      </c>
      <c r="F59" s="20" t="s">
        <v>471</v>
      </c>
      <c r="G59" s="18" t="s">
        <v>444</v>
      </c>
      <c r="H59" s="5" t="s">
        <v>133</v>
      </c>
      <c r="M59" s="129"/>
    </row>
    <row r="60" spans="2:13">
      <c r="B60" s="41">
        <v>43645</v>
      </c>
      <c r="C60" s="34">
        <v>6</v>
      </c>
      <c r="D60" s="5">
        <v>13.58</v>
      </c>
      <c r="E60" s="20" t="s">
        <v>448</v>
      </c>
      <c r="F60" s="20" t="s">
        <v>471</v>
      </c>
      <c r="G60" s="18" t="s">
        <v>444</v>
      </c>
      <c r="H60" s="5" t="s">
        <v>133</v>
      </c>
    </row>
    <row r="61" spans="2:13">
      <c r="B61" s="41">
        <v>43650</v>
      </c>
      <c r="C61" s="34">
        <v>7</v>
      </c>
      <c r="D61" s="5">
        <v>9.9499999999999993</v>
      </c>
      <c r="E61" s="20" t="s">
        <v>459</v>
      </c>
      <c r="F61" s="20" t="s">
        <v>471</v>
      </c>
      <c r="G61" s="18" t="s">
        <v>444</v>
      </c>
      <c r="H61" s="5" t="s">
        <v>133</v>
      </c>
    </row>
    <row r="62" spans="2:13" hidden="1">
      <c r="B62" s="41">
        <v>43650</v>
      </c>
      <c r="C62" s="34">
        <v>7</v>
      </c>
      <c r="D62" s="5">
        <v>9.9499999999999993</v>
      </c>
      <c r="E62" s="20" t="s">
        <v>459</v>
      </c>
      <c r="F62" s="20" t="s">
        <v>471</v>
      </c>
      <c r="G62" s="18" t="s">
        <v>444</v>
      </c>
      <c r="H62" s="5" t="s">
        <v>147</v>
      </c>
      <c r="I62" s="156" t="s">
        <v>452</v>
      </c>
      <c r="J62" s="156" t="s">
        <v>132</v>
      </c>
    </row>
    <row r="63" spans="2:13" hidden="1">
      <c r="B63" s="20" t="s">
        <v>127</v>
      </c>
      <c r="C63" s="34">
        <v>7</v>
      </c>
      <c r="D63" s="5">
        <v>20</v>
      </c>
      <c r="E63" s="20" t="s">
        <v>478</v>
      </c>
      <c r="F63" s="20" t="s">
        <v>479</v>
      </c>
      <c r="G63" s="18" t="s">
        <v>444</v>
      </c>
      <c r="H63" s="5" t="s">
        <v>147</v>
      </c>
      <c r="I63" s="156" t="s">
        <v>452</v>
      </c>
      <c r="J63" s="156" t="s">
        <v>132</v>
      </c>
    </row>
    <row r="64" spans="2:13">
      <c r="B64" s="20" t="s">
        <v>127</v>
      </c>
      <c r="C64" s="34">
        <v>7</v>
      </c>
      <c r="D64" s="5">
        <v>20</v>
      </c>
      <c r="E64" s="20" t="s">
        <v>460</v>
      </c>
      <c r="F64" s="20" t="s">
        <v>479</v>
      </c>
      <c r="G64" s="18" t="s">
        <v>444</v>
      </c>
      <c r="H64" s="5" t="s">
        <v>133</v>
      </c>
    </row>
    <row r="65" spans="2:10">
      <c r="B65" s="20" t="s">
        <v>127</v>
      </c>
      <c r="C65" s="34">
        <v>7</v>
      </c>
      <c r="D65" s="5">
        <v>20</v>
      </c>
      <c r="E65" s="20" t="s">
        <v>460</v>
      </c>
      <c r="F65" s="20" t="s">
        <v>479</v>
      </c>
      <c r="G65" s="18" t="s">
        <v>444</v>
      </c>
      <c r="H65" s="5" t="s">
        <v>133</v>
      </c>
    </row>
    <row r="66" spans="2:10">
      <c r="B66" s="41" t="s">
        <v>127</v>
      </c>
      <c r="C66" s="34">
        <v>7</v>
      </c>
      <c r="D66" s="5">
        <v>15</v>
      </c>
      <c r="E66" s="20" t="s">
        <v>489</v>
      </c>
      <c r="F66" s="20" t="s">
        <v>479</v>
      </c>
      <c r="G66" s="18" t="s">
        <v>444</v>
      </c>
      <c r="H66" s="5" t="s">
        <v>133</v>
      </c>
    </row>
    <row r="67" spans="2:10" hidden="1">
      <c r="B67" s="41" t="s">
        <v>127</v>
      </c>
      <c r="C67" s="34">
        <v>7</v>
      </c>
      <c r="D67" s="5">
        <v>15</v>
      </c>
      <c r="E67" s="20" t="s">
        <v>489</v>
      </c>
      <c r="F67" s="20" t="s">
        <v>479</v>
      </c>
      <c r="G67" s="18" t="s">
        <v>444</v>
      </c>
      <c r="H67" s="5" t="s">
        <v>147</v>
      </c>
      <c r="I67" s="156" t="s">
        <v>452</v>
      </c>
      <c r="J67" s="156" t="s">
        <v>132</v>
      </c>
    </row>
    <row r="68" spans="2:10" hidden="1">
      <c r="B68" s="41">
        <v>43650</v>
      </c>
      <c r="C68" s="34">
        <v>7</v>
      </c>
      <c r="D68" s="5">
        <v>7.13</v>
      </c>
      <c r="E68" s="20" t="s">
        <v>491</v>
      </c>
      <c r="F68" s="20" t="s">
        <v>471</v>
      </c>
      <c r="G68" s="18" t="s">
        <v>444</v>
      </c>
      <c r="H68" s="5" t="s">
        <v>147</v>
      </c>
      <c r="I68" s="156" t="s">
        <v>452</v>
      </c>
      <c r="J68" s="156" t="s">
        <v>132</v>
      </c>
    </row>
    <row r="69" spans="2:10">
      <c r="B69" s="41">
        <v>43654</v>
      </c>
      <c r="C69" s="34">
        <v>7</v>
      </c>
      <c r="D69" s="5">
        <v>11.1</v>
      </c>
      <c r="E69" s="20" t="s">
        <v>492</v>
      </c>
      <c r="F69" s="20" t="s">
        <v>471</v>
      </c>
      <c r="G69" s="18" t="s">
        <v>444</v>
      </c>
      <c r="H69" s="5" t="s">
        <v>133</v>
      </c>
    </row>
    <row r="70" spans="2:10">
      <c r="B70" s="41">
        <v>43654</v>
      </c>
      <c r="C70" s="34">
        <v>7</v>
      </c>
      <c r="D70" s="5">
        <v>28</v>
      </c>
      <c r="E70" s="20" t="s">
        <v>460</v>
      </c>
      <c r="F70" s="20" t="s">
        <v>471</v>
      </c>
      <c r="G70" s="18" t="s">
        <v>444</v>
      </c>
      <c r="H70" s="5" t="s">
        <v>133</v>
      </c>
    </row>
    <row r="71" spans="2:10" hidden="1">
      <c r="B71" s="41">
        <v>43654</v>
      </c>
      <c r="C71" s="34">
        <v>7</v>
      </c>
      <c r="D71" s="5">
        <v>10.975</v>
      </c>
      <c r="E71" s="20" t="s">
        <v>493</v>
      </c>
      <c r="F71" s="20" t="s">
        <v>471</v>
      </c>
      <c r="G71" s="18" t="s">
        <v>444</v>
      </c>
      <c r="H71" s="5" t="s">
        <v>147</v>
      </c>
      <c r="I71" s="156" t="s">
        <v>452</v>
      </c>
      <c r="J71" s="156" t="s">
        <v>132</v>
      </c>
    </row>
    <row r="72" spans="2:10">
      <c r="B72" s="41">
        <v>43654</v>
      </c>
      <c r="C72" s="34">
        <v>7</v>
      </c>
      <c r="D72" s="5">
        <v>10.975</v>
      </c>
      <c r="E72" s="20" t="s">
        <v>493</v>
      </c>
      <c r="F72" s="20" t="s">
        <v>471</v>
      </c>
      <c r="G72" s="18" t="s">
        <v>444</v>
      </c>
      <c r="H72" s="5" t="s">
        <v>133</v>
      </c>
    </row>
    <row r="73" spans="2:10" hidden="1">
      <c r="B73" s="41">
        <v>43654</v>
      </c>
      <c r="C73" s="34">
        <v>7</v>
      </c>
      <c r="D73" s="5">
        <v>24.5</v>
      </c>
      <c r="E73" s="20" t="s">
        <v>494</v>
      </c>
      <c r="F73" s="20" t="s">
        <v>471</v>
      </c>
      <c r="G73" s="18" t="s">
        <v>444</v>
      </c>
      <c r="H73" s="5" t="s">
        <v>147</v>
      </c>
      <c r="I73" s="156" t="s">
        <v>452</v>
      </c>
      <c r="J73" s="156" t="s">
        <v>132</v>
      </c>
    </row>
    <row r="74" spans="2:10" hidden="1">
      <c r="B74" s="41">
        <v>43654</v>
      </c>
      <c r="C74" s="34">
        <v>7</v>
      </c>
      <c r="D74" s="5">
        <v>24.5</v>
      </c>
      <c r="E74" s="20" t="s">
        <v>494</v>
      </c>
      <c r="F74" s="20" t="s">
        <v>471</v>
      </c>
      <c r="G74" s="18" t="s">
        <v>444</v>
      </c>
      <c r="H74" s="5" t="s">
        <v>147</v>
      </c>
      <c r="I74" s="156" t="s">
        <v>452</v>
      </c>
      <c r="J74" s="156" t="s">
        <v>132</v>
      </c>
    </row>
    <row r="75" spans="2:10">
      <c r="B75" s="41">
        <v>43660</v>
      </c>
      <c r="C75" s="34">
        <v>7</v>
      </c>
      <c r="D75" s="5">
        <v>12.17</v>
      </c>
      <c r="E75" s="20" t="s">
        <v>495</v>
      </c>
      <c r="F75" s="20" t="s">
        <v>471</v>
      </c>
      <c r="G75" s="18" t="s">
        <v>444</v>
      </c>
      <c r="H75" s="5" t="s">
        <v>133</v>
      </c>
    </row>
    <row r="76" spans="2:10" hidden="1">
      <c r="B76" s="41">
        <v>43660</v>
      </c>
      <c r="C76" s="34">
        <v>7</v>
      </c>
      <c r="D76" s="5">
        <v>12.17</v>
      </c>
      <c r="E76" s="20" t="s">
        <v>495</v>
      </c>
      <c r="F76" s="20" t="s">
        <v>471</v>
      </c>
      <c r="G76" s="18" t="s">
        <v>444</v>
      </c>
      <c r="H76" s="5" t="s">
        <v>147</v>
      </c>
      <c r="I76" s="156" t="s">
        <v>452</v>
      </c>
      <c r="J76" s="156" t="s">
        <v>132</v>
      </c>
    </row>
    <row r="77" spans="2:10">
      <c r="B77" s="41">
        <v>43661</v>
      </c>
      <c r="C77" s="34">
        <v>7</v>
      </c>
      <c r="D77" s="5">
        <v>8.4499999999999993</v>
      </c>
      <c r="E77" s="20" t="s">
        <v>459</v>
      </c>
      <c r="F77" s="20" t="s">
        <v>471</v>
      </c>
      <c r="G77" s="18" t="s">
        <v>444</v>
      </c>
      <c r="H77" s="5" t="s">
        <v>133</v>
      </c>
    </row>
    <row r="78" spans="2:10" hidden="1">
      <c r="B78" s="41">
        <v>43661</v>
      </c>
      <c r="C78" s="34">
        <v>7</v>
      </c>
      <c r="D78" s="5">
        <v>8.4499999999999993</v>
      </c>
      <c r="E78" s="20" t="s">
        <v>459</v>
      </c>
      <c r="F78" s="20" t="s">
        <v>471</v>
      </c>
      <c r="G78" s="18" t="s">
        <v>444</v>
      </c>
      <c r="H78" s="5" t="s">
        <v>147</v>
      </c>
      <c r="I78" s="156" t="s">
        <v>452</v>
      </c>
      <c r="J78" s="156" t="s">
        <v>132</v>
      </c>
    </row>
    <row r="79" spans="2:10">
      <c r="B79" s="41">
        <v>43661</v>
      </c>
      <c r="C79" s="34">
        <v>7</v>
      </c>
      <c r="D79" s="5">
        <v>22.54</v>
      </c>
      <c r="E79" s="20" t="s">
        <v>460</v>
      </c>
      <c r="F79" s="20" t="s">
        <v>471</v>
      </c>
      <c r="G79" s="18" t="s">
        <v>444</v>
      </c>
      <c r="H79" s="5" t="s">
        <v>133</v>
      </c>
    </row>
    <row r="80" spans="2:10">
      <c r="B80" s="41">
        <v>43663</v>
      </c>
      <c r="C80" s="34">
        <v>7</v>
      </c>
      <c r="D80" s="5">
        <v>50</v>
      </c>
      <c r="E80" s="20" t="s">
        <v>496</v>
      </c>
      <c r="F80" s="20" t="s">
        <v>471</v>
      </c>
      <c r="G80" s="18" t="s">
        <v>444</v>
      </c>
      <c r="H80" s="5" t="s">
        <v>133</v>
      </c>
    </row>
    <row r="81" spans="2:10">
      <c r="B81" s="41">
        <v>43664</v>
      </c>
      <c r="C81" s="34">
        <v>7</v>
      </c>
      <c r="D81" s="5">
        <v>2</v>
      </c>
      <c r="E81" s="20" t="s">
        <v>497</v>
      </c>
      <c r="F81" s="20" t="s">
        <v>471</v>
      </c>
      <c r="G81" s="18" t="s">
        <v>444</v>
      </c>
      <c r="H81" s="5" t="s">
        <v>133</v>
      </c>
    </row>
    <row r="82" spans="2:10" hidden="1">
      <c r="B82" s="41">
        <v>43664</v>
      </c>
      <c r="C82" s="34">
        <v>7</v>
      </c>
      <c r="D82" s="5">
        <v>2</v>
      </c>
      <c r="E82" s="20" t="s">
        <v>497</v>
      </c>
      <c r="F82" s="20" t="s">
        <v>471</v>
      </c>
      <c r="G82" s="18" t="s">
        <v>444</v>
      </c>
      <c r="H82" s="5" t="s">
        <v>147</v>
      </c>
      <c r="I82" s="156" t="s">
        <v>452</v>
      </c>
      <c r="J82" s="156" t="s">
        <v>132</v>
      </c>
    </row>
    <row r="83" spans="2:10" hidden="1">
      <c r="B83" s="41">
        <v>43665</v>
      </c>
      <c r="C83" s="34">
        <v>7</v>
      </c>
      <c r="D83" s="5">
        <v>7.5</v>
      </c>
      <c r="E83" s="20" t="s">
        <v>492</v>
      </c>
      <c r="F83" s="20" t="s">
        <v>471</v>
      </c>
      <c r="G83" s="18" t="s">
        <v>444</v>
      </c>
      <c r="H83" s="5" t="s">
        <v>147</v>
      </c>
      <c r="I83" s="156" t="s">
        <v>452</v>
      </c>
      <c r="J83" s="156" t="s">
        <v>132</v>
      </c>
    </row>
    <row r="84" spans="2:10">
      <c r="B84" s="41">
        <v>43665</v>
      </c>
      <c r="C84" s="34">
        <v>7</v>
      </c>
      <c r="D84" s="5">
        <v>7.5</v>
      </c>
      <c r="E84" s="20" t="s">
        <v>492</v>
      </c>
      <c r="F84" s="20" t="s">
        <v>471</v>
      </c>
      <c r="G84" s="18" t="s">
        <v>444</v>
      </c>
      <c r="H84" s="5" t="s">
        <v>133</v>
      </c>
    </row>
    <row r="85" spans="2:10" hidden="1">
      <c r="B85" s="41">
        <v>43668</v>
      </c>
      <c r="C85" s="34">
        <v>7</v>
      </c>
      <c r="D85" s="5">
        <v>11.45</v>
      </c>
      <c r="E85" s="20" t="s">
        <v>459</v>
      </c>
      <c r="F85" s="20" t="s">
        <v>471</v>
      </c>
      <c r="G85" s="18" t="s">
        <v>444</v>
      </c>
      <c r="H85" s="5" t="s">
        <v>147</v>
      </c>
      <c r="I85" s="156" t="s">
        <v>452</v>
      </c>
      <c r="J85" s="156" t="s">
        <v>132</v>
      </c>
    </row>
    <row r="86" spans="2:10">
      <c r="B86" s="41">
        <v>43668</v>
      </c>
      <c r="C86" s="34">
        <v>7</v>
      </c>
      <c r="D86" s="5">
        <v>11.45</v>
      </c>
      <c r="E86" s="20" t="s">
        <v>459</v>
      </c>
      <c r="F86" s="20" t="s">
        <v>471</v>
      </c>
      <c r="G86" s="18" t="s">
        <v>444</v>
      </c>
      <c r="H86" s="5" t="s">
        <v>133</v>
      </c>
    </row>
    <row r="87" spans="2:10">
      <c r="B87" s="41">
        <v>43668</v>
      </c>
      <c r="C87" s="34">
        <v>7</v>
      </c>
      <c r="D87" s="5">
        <v>1.5</v>
      </c>
      <c r="E87" s="20" t="s">
        <v>498</v>
      </c>
      <c r="F87" s="20" t="s">
        <v>471</v>
      </c>
      <c r="G87" s="18" t="s">
        <v>444</v>
      </c>
      <c r="H87" s="5" t="s">
        <v>133</v>
      </c>
    </row>
    <row r="88" spans="2:10" hidden="1">
      <c r="B88" s="41">
        <v>43668</v>
      </c>
      <c r="C88" s="34">
        <v>7</v>
      </c>
      <c r="D88" s="5">
        <v>68.75</v>
      </c>
      <c r="E88" s="20" t="s">
        <v>499</v>
      </c>
      <c r="F88" s="20" t="s">
        <v>471</v>
      </c>
      <c r="G88" s="18" t="s">
        <v>444</v>
      </c>
      <c r="H88" s="5" t="s">
        <v>147</v>
      </c>
      <c r="I88" s="156" t="s">
        <v>452</v>
      </c>
      <c r="J88" s="156" t="s">
        <v>132</v>
      </c>
    </row>
    <row r="89" spans="2:10">
      <c r="B89" s="41">
        <v>43668</v>
      </c>
      <c r="C89" s="34">
        <v>7</v>
      </c>
      <c r="D89" s="5">
        <v>68.75</v>
      </c>
      <c r="E89" s="20" t="s">
        <v>499</v>
      </c>
      <c r="F89" s="20" t="s">
        <v>471</v>
      </c>
      <c r="G89" s="18" t="s">
        <v>444</v>
      </c>
      <c r="H89" s="5" t="s">
        <v>133</v>
      </c>
    </row>
    <row r="90" spans="2:10" hidden="1">
      <c r="B90" s="41">
        <v>43661</v>
      </c>
      <c r="C90" s="34">
        <v>7</v>
      </c>
      <c r="D90" s="5">
        <v>25</v>
      </c>
      <c r="E90" s="20" t="s">
        <v>500</v>
      </c>
      <c r="F90" s="20" t="s">
        <v>472</v>
      </c>
      <c r="G90" s="18" t="s">
        <v>444</v>
      </c>
      <c r="H90" s="5" t="s">
        <v>147</v>
      </c>
      <c r="I90" s="156" t="s">
        <v>452</v>
      </c>
      <c r="J90" s="156" t="s">
        <v>132</v>
      </c>
    </row>
    <row r="91" spans="2:10" hidden="1">
      <c r="B91" s="41">
        <v>43661</v>
      </c>
      <c r="C91" s="34">
        <v>7</v>
      </c>
      <c r="D91" s="5">
        <v>19.350000000000001</v>
      </c>
      <c r="E91" s="20" t="s">
        <v>501</v>
      </c>
      <c r="F91" s="20" t="s">
        <v>472</v>
      </c>
      <c r="G91" s="18" t="s">
        <v>444</v>
      </c>
      <c r="H91" s="5" t="s">
        <v>147</v>
      </c>
      <c r="I91" s="156" t="s">
        <v>452</v>
      </c>
      <c r="J91" s="156" t="s">
        <v>132</v>
      </c>
    </row>
    <row r="92" spans="2:10">
      <c r="B92" s="41">
        <v>43661</v>
      </c>
      <c r="C92" s="34">
        <v>7</v>
      </c>
      <c r="D92" s="5">
        <v>19.350000000000001</v>
      </c>
      <c r="E92" s="20" t="s">
        <v>501</v>
      </c>
      <c r="F92" s="20" t="s">
        <v>472</v>
      </c>
      <c r="G92" s="18" t="s">
        <v>444</v>
      </c>
      <c r="H92" s="5" t="s">
        <v>133</v>
      </c>
    </row>
    <row r="93" spans="2:10" hidden="1">
      <c r="B93" s="41">
        <v>43662</v>
      </c>
      <c r="C93" s="34">
        <v>7</v>
      </c>
      <c r="D93" s="5">
        <v>16.399999999999999</v>
      </c>
      <c r="E93" s="20" t="s">
        <v>495</v>
      </c>
      <c r="F93" s="20" t="s">
        <v>472</v>
      </c>
      <c r="G93" s="18" t="s">
        <v>444</v>
      </c>
      <c r="H93" s="5" t="s">
        <v>147</v>
      </c>
      <c r="I93" s="156" t="s">
        <v>452</v>
      </c>
      <c r="J93" s="156" t="s">
        <v>132</v>
      </c>
    </row>
    <row r="94" spans="2:10">
      <c r="B94" s="41">
        <v>43662</v>
      </c>
      <c r="C94" s="34">
        <v>7</v>
      </c>
      <c r="D94" s="5">
        <v>16.399999999999999</v>
      </c>
      <c r="E94" s="20" t="s">
        <v>495</v>
      </c>
      <c r="F94" s="20" t="s">
        <v>472</v>
      </c>
      <c r="G94" s="18" t="s">
        <v>444</v>
      </c>
      <c r="H94" s="5" t="s">
        <v>133</v>
      </c>
    </row>
    <row r="95" spans="2:10">
      <c r="B95" s="41">
        <v>43670</v>
      </c>
      <c r="C95" s="34">
        <v>7</v>
      </c>
      <c r="D95" s="5">
        <v>25</v>
      </c>
      <c r="E95" s="20" t="s">
        <v>460</v>
      </c>
      <c r="F95" s="20" t="s">
        <v>472</v>
      </c>
      <c r="G95" s="18" t="s">
        <v>444</v>
      </c>
      <c r="H95" s="5" t="s">
        <v>133</v>
      </c>
    </row>
    <row r="96" spans="2:10">
      <c r="B96" s="41"/>
      <c r="C96" s="34"/>
      <c r="D96" s="5"/>
      <c r="E96" s="20"/>
      <c r="F96" s="20"/>
      <c r="G96" s="18"/>
      <c r="H96" s="5"/>
    </row>
    <row r="97" spans="2:8">
      <c r="B97" s="41"/>
      <c r="C97" s="34"/>
      <c r="D97" s="5"/>
      <c r="E97" s="20"/>
      <c r="F97" s="20"/>
      <c r="G97" s="18"/>
      <c r="H97" s="5"/>
    </row>
    <row r="98" spans="2:8">
      <c r="B98" s="41"/>
      <c r="C98" s="34"/>
      <c r="D98" s="5"/>
      <c r="E98" s="20"/>
      <c r="F98" s="20"/>
      <c r="G98" s="18"/>
      <c r="H98" s="5"/>
    </row>
    <row r="99" spans="2:8">
      <c r="B99" s="41"/>
      <c r="C99" s="34"/>
      <c r="D99" s="5"/>
      <c r="E99" s="20"/>
      <c r="F99" s="20"/>
      <c r="G99" s="18"/>
      <c r="H99" s="5"/>
    </row>
    <row r="100" spans="2:8">
      <c r="B100" s="41"/>
      <c r="C100" s="34"/>
      <c r="D100" s="5"/>
      <c r="E100" s="20"/>
      <c r="F100" s="20"/>
      <c r="G100" s="18"/>
      <c r="H100" s="5"/>
    </row>
    <row r="101" spans="2:8">
      <c r="B101" s="41"/>
      <c r="C101" s="34"/>
      <c r="D101" s="5"/>
      <c r="E101" s="20"/>
      <c r="F101" s="20"/>
      <c r="G101" s="18"/>
      <c r="H101" s="5"/>
    </row>
    <row r="102" spans="2:8">
      <c r="B102" s="41"/>
      <c r="C102" s="34"/>
      <c r="D102" s="5"/>
      <c r="E102" s="20"/>
      <c r="F102" s="20"/>
      <c r="G102" s="18"/>
      <c r="H102" s="5"/>
    </row>
    <row r="103" spans="2:8">
      <c r="B103" s="41"/>
      <c r="C103" s="34"/>
      <c r="D103" s="5"/>
      <c r="E103" s="20"/>
      <c r="F103" s="20"/>
      <c r="G103" s="18"/>
      <c r="H103" s="5"/>
    </row>
    <row r="104" spans="2:8">
      <c r="B104" s="41"/>
      <c r="C104" s="34"/>
      <c r="D104" s="5"/>
      <c r="E104" s="20"/>
      <c r="F104" s="20"/>
      <c r="G104" s="18"/>
      <c r="H104" s="5"/>
    </row>
    <row r="105" spans="2:8">
      <c r="B105" s="41"/>
      <c r="C105" s="34"/>
      <c r="D105" s="5"/>
      <c r="E105" s="20"/>
      <c r="F105" s="20"/>
      <c r="G105" s="18"/>
      <c r="H105" s="5"/>
    </row>
    <row r="106" spans="2:8">
      <c r="B106" s="41"/>
      <c r="C106" s="34"/>
      <c r="D106" s="5"/>
      <c r="E106" s="20"/>
      <c r="F106" s="20"/>
      <c r="G106" s="18"/>
      <c r="H106" s="5"/>
    </row>
    <row r="107" spans="2:8">
      <c r="B107" s="41"/>
      <c r="C107" s="34"/>
      <c r="D107" s="5"/>
      <c r="E107" s="20"/>
      <c r="F107" s="20"/>
      <c r="G107" s="18"/>
      <c r="H107" s="5"/>
    </row>
  </sheetData>
  <autoFilter ref="B2:I95">
    <filterColumn colId="6">
      <filters>
        <filter val="Walisson"/>
      </filters>
    </filterColumn>
    <filterColumn colId="7">
      <filters blank="1"/>
    </filterColumn>
  </autoFilter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H30"/>
  <sheetViews>
    <sheetView showGridLines="0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25"/>
  <cols>
    <col min="2" max="2" width="7.25" style="35" bestFit="1" customWidth="1"/>
    <col min="3" max="3" width="6.625" style="35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2" t="s">
        <v>63</v>
      </c>
    </row>
    <row r="2" spans="2:8">
      <c r="B2" s="15" t="s">
        <v>55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8">
      <c r="B3" s="41"/>
      <c r="C3" s="34"/>
      <c r="D3" s="5"/>
      <c r="E3" s="20"/>
      <c r="F3" s="20"/>
      <c r="G3" s="18"/>
      <c r="H3" s="5"/>
    </row>
    <row r="4" spans="2:8">
      <c r="B4" s="41"/>
      <c r="C4" s="34"/>
      <c r="D4" s="5"/>
      <c r="E4" s="20"/>
      <c r="F4" s="20"/>
      <c r="G4" s="18"/>
      <c r="H4" s="5"/>
    </row>
    <row r="5" spans="2:8">
      <c r="B5" s="41"/>
      <c r="C5" s="34"/>
      <c r="D5" s="5"/>
      <c r="E5" s="20"/>
      <c r="F5" s="20"/>
      <c r="G5" s="18"/>
      <c r="H5" s="5"/>
    </row>
    <row r="6" spans="2:8">
      <c r="B6" s="41"/>
      <c r="C6" s="34"/>
      <c r="D6" s="5"/>
      <c r="E6" s="20"/>
      <c r="F6" s="20"/>
      <c r="G6" s="18"/>
      <c r="H6" s="5"/>
    </row>
    <row r="7" spans="2:8">
      <c r="B7" s="41"/>
      <c r="C7" s="34"/>
      <c r="D7" s="5"/>
      <c r="E7" s="20"/>
      <c r="F7" s="20"/>
      <c r="G7" s="18"/>
      <c r="H7" s="5"/>
    </row>
    <row r="8" spans="2:8">
      <c r="B8" s="41"/>
      <c r="C8" s="34"/>
      <c r="D8" s="5"/>
      <c r="E8" s="20"/>
      <c r="F8" s="20"/>
      <c r="G8" s="18"/>
      <c r="H8" s="5"/>
    </row>
    <row r="9" spans="2:8">
      <c r="B9" s="41"/>
      <c r="C9" s="34"/>
      <c r="D9" s="5"/>
      <c r="E9" s="20"/>
      <c r="F9" s="20"/>
      <c r="G9" s="18"/>
      <c r="H9" s="5"/>
    </row>
    <row r="10" spans="2:8">
      <c r="B10" s="41"/>
      <c r="C10" s="34"/>
      <c r="D10" s="5"/>
      <c r="E10" s="20"/>
      <c r="F10" s="20"/>
      <c r="G10" s="18"/>
      <c r="H10" s="5"/>
    </row>
    <row r="11" spans="2:8">
      <c r="B11" s="41"/>
      <c r="C11" s="34"/>
      <c r="D11" s="5"/>
      <c r="E11" s="20"/>
      <c r="F11" s="20"/>
      <c r="G11" s="18"/>
      <c r="H11" s="5"/>
    </row>
    <row r="12" spans="2:8">
      <c r="B12" s="41"/>
      <c r="C12" s="34"/>
      <c r="D12" s="5"/>
      <c r="E12" s="20"/>
      <c r="F12" s="20"/>
      <c r="G12" s="18"/>
      <c r="H12" s="5"/>
    </row>
    <row r="13" spans="2:8">
      <c r="B13" s="41"/>
      <c r="C13" s="34"/>
      <c r="D13" s="5"/>
      <c r="E13" s="20"/>
      <c r="F13" s="20"/>
      <c r="G13" s="18"/>
      <c r="H13" s="5"/>
    </row>
    <row r="14" spans="2:8">
      <c r="B14" s="34"/>
      <c r="C14" s="34"/>
      <c r="D14" s="5"/>
      <c r="E14" s="20"/>
      <c r="F14" s="20"/>
      <c r="G14" s="18"/>
      <c r="H14" s="5"/>
    </row>
    <row r="15" spans="2:8">
      <c r="B15" s="34"/>
      <c r="C15" s="34"/>
      <c r="D15" s="5"/>
      <c r="E15" s="20"/>
      <c r="F15" s="20"/>
      <c r="G15" s="18"/>
      <c r="H15" s="5"/>
    </row>
    <row r="16" spans="2:8">
      <c r="B16" s="34"/>
      <c r="C16" s="34"/>
      <c r="D16" s="5"/>
      <c r="E16" s="20"/>
      <c r="F16" s="20"/>
      <c r="G16" s="18"/>
      <c r="H16" s="5"/>
    </row>
    <row r="17" spans="2:8">
      <c r="B17" s="34"/>
      <c r="C17" s="34"/>
      <c r="D17" s="5"/>
      <c r="E17" s="20"/>
      <c r="F17" s="20"/>
      <c r="G17" s="18"/>
      <c r="H17" s="5"/>
    </row>
    <row r="18" spans="2:8">
      <c r="B18" s="34"/>
      <c r="C18" s="34"/>
      <c r="D18" s="5"/>
      <c r="E18" s="20"/>
      <c r="F18" s="20"/>
      <c r="G18" s="18"/>
      <c r="H18" s="5"/>
    </row>
    <row r="19" spans="2:8">
      <c r="B19" s="34"/>
      <c r="C19" s="34"/>
      <c r="D19" s="5"/>
      <c r="E19" s="20"/>
      <c r="F19" s="20"/>
      <c r="G19" s="18"/>
      <c r="H19" s="5"/>
    </row>
    <row r="20" spans="2:8">
      <c r="B20" s="34"/>
      <c r="C20" s="34"/>
      <c r="D20" s="5"/>
      <c r="E20" s="20"/>
      <c r="F20" s="20"/>
      <c r="G20" s="18"/>
      <c r="H20" s="5"/>
    </row>
    <row r="21" spans="2:8">
      <c r="B21" s="34"/>
      <c r="C21" s="34"/>
      <c r="D21" s="5"/>
      <c r="E21" s="20"/>
      <c r="F21" s="20"/>
      <c r="G21" s="18"/>
      <c r="H21" s="5"/>
    </row>
    <row r="22" spans="2:8">
      <c r="B22" s="34"/>
      <c r="C22" s="34"/>
      <c r="D22" s="5"/>
      <c r="E22" s="20"/>
      <c r="F22" s="20"/>
      <c r="G22" s="18"/>
      <c r="H22" s="5"/>
    </row>
    <row r="23" spans="2:8">
      <c r="B23" s="34"/>
      <c r="C23" s="34"/>
      <c r="D23" s="5"/>
      <c r="E23" s="20"/>
      <c r="F23" s="20"/>
      <c r="G23" s="18"/>
      <c r="H23" s="5"/>
    </row>
    <row r="24" spans="2:8">
      <c r="B24" s="34"/>
      <c r="C24" s="34"/>
      <c r="D24" s="5"/>
      <c r="E24" s="20"/>
      <c r="F24" s="20"/>
      <c r="G24" s="18"/>
      <c r="H24" s="5"/>
    </row>
    <row r="25" spans="2:8">
      <c r="B25" s="34"/>
      <c r="C25" s="34"/>
      <c r="D25" s="5"/>
      <c r="E25" s="20"/>
      <c r="F25" s="20"/>
      <c r="G25" s="18"/>
      <c r="H25" s="5"/>
    </row>
    <row r="26" spans="2:8">
      <c r="B26" s="34"/>
      <c r="C26" s="34"/>
      <c r="D26" s="5"/>
      <c r="E26" s="20"/>
      <c r="F26" s="20"/>
      <c r="G26" s="18"/>
      <c r="H26" s="5"/>
    </row>
    <row r="27" spans="2:8">
      <c r="B27" s="34"/>
      <c r="C27" s="34"/>
      <c r="D27" s="5"/>
      <c r="E27" s="20"/>
      <c r="F27" s="20"/>
      <c r="G27" s="18"/>
      <c r="H27" s="5"/>
    </row>
    <row r="28" spans="2:8">
      <c r="B28" s="34"/>
      <c r="C28" s="34"/>
      <c r="D28" s="5"/>
      <c r="E28" s="20"/>
      <c r="F28" s="20"/>
      <c r="G28" s="18"/>
      <c r="H28" s="5"/>
    </row>
    <row r="29" spans="2:8">
      <c r="B29" s="34"/>
      <c r="C29" s="34"/>
      <c r="D29" s="5"/>
      <c r="E29" s="20"/>
      <c r="F29" s="20"/>
      <c r="G29" s="18"/>
      <c r="H29" s="5"/>
    </row>
    <row r="30" spans="2:8">
      <c r="B30" s="34"/>
      <c r="C30" s="34"/>
      <c r="D30" s="5"/>
      <c r="E30" s="20"/>
      <c r="F30" s="20"/>
      <c r="G30" s="18"/>
      <c r="H30" s="5"/>
    </row>
  </sheetData>
  <autoFilter ref="B2:H30">
    <sortState ref="B3:H30">
      <sortCondition ref="B2:B30"/>
    </sortState>
  </autoFilter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H32"/>
  <sheetViews>
    <sheetView showGridLines="0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25"/>
  <cols>
    <col min="2" max="2" width="7.25" bestFit="1" customWidth="1"/>
    <col min="3" max="3" width="6.625" style="35" bestFit="1" customWidth="1"/>
    <col min="4" max="4" width="7.25" bestFit="1" customWidth="1"/>
    <col min="5" max="5" width="10.375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2" t="s">
        <v>64</v>
      </c>
    </row>
    <row r="2" spans="2:8">
      <c r="B2" s="15" t="s">
        <v>55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8">
      <c r="B3" s="42"/>
      <c r="C3" s="34"/>
      <c r="D3" s="5"/>
      <c r="E3" s="20"/>
      <c r="F3" s="20"/>
      <c r="G3" s="18"/>
      <c r="H3" s="5"/>
    </row>
    <row r="4" spans="2:8">
      <c r="B4" s="42"/>
      <c r="C4" s="34"/>
      <c r="D4" s="5"/>
      <c r="E4" s="20"/>
      <c r="F4" s="20"/>
      <c r="G4" s="18"/>
      <c r="H4" s="5"/>
    </row>
    <row r="5" spans="2:8">
      <c r="B5" s="42"/>
      <c r="C5" s="34"/>
      <c r="D5" s="5"/>
      <c r="E5" s="20"/>
      <c r="F5" s="20"/>
      <c r="G5" s="18"/>
      <c r="H5" s="5"/>
    </row>
    <row r="6" spans="2:8">
      <c r="B6" s="42"/>
      <c r="C6" s="34"/>
      <c r="D6" s="5"/>
      <c r="E6" s="20"/>
      <c r="F6" s="20"/>
      <c r="G6" s="18"/>
      <c r="H6" s="5"/>
    </row>
    <row r="7" spans="2:8">
      <c r="B7" s="42"/>
      <c r="C7" s="34"/>
      <c r="D7" s="5"/>
      <c r="E7" s="20"/>
      <c r="F7" s="20"/>
      <c r="G7" s="18"/>
      <c r="H7" s="5"/>
    </row>
    <row r="8" spans="2:8">
      <c r="B8" s="42"/>
      <c r="C8" s="34"/>
      <c r="D8" s="5"/>
      <c r="E8" s="20"/>
      <c r="F8" s="20"/>
      <c r="G8" s="18"/>
      <c r="H8" s="5"/>
    </row>
    <row r="9" spans="2:8">
      <c r="B9" s="42"/>
      <c r="C9" s="34"/>
      <c r="D9" s="5"/>
      <c r="E9" s="20"/>
      <c r="F9" s="20"/>
      <c r="G9" s="18"/>
      <c r="H9" s="5"/>
    </row>
    <row r="10" spans="2:8">
      <c r="B10" s="42"/>
      <c r="C10" s="34"/>
      <c r="D10" s="5"/>
      <c r="E10" s="20"/>
      <c r="F10" s="20"/>
      <c r="G10" s="18"/>
      <c r="H10" s="5"/>
    </row>
    <row r="11" spans="2:8">
      <c r="B11" s="42"/>
      <c r="C11" s="34"/>
      <c r="D11" s="5"/>
      <c r="E11" s="20"/>
      <c r="F11" s="20"/>
      <c r="G11" s="18"/>
      <c r="H11" s="5"/>
    </row>
    <row r="12" spans="2:8">
      <c r="B12" s="42"/>
      <c r="C12" s="34"/>
      <c r="D12" s="5"/>
      <c r="E12" s="20"/>
      <c r="F12" s="20"/>
      <c r="G12" s="18"/>
      <c r="H12" s="5"/>
    </row>
    <row r="13" spans="2:8">
      <c r="B13" s="42"/>
      <c r="C13" s="34"/>
      <c r="D13" s="5"/>
      <c r="E13" s="20"/>
      <c r="F13" s="20"/>
      <c r="G13" s="18"/>
      <c r="H13" s="5"/>
    </row>
    <row r="14" spans="2:8">
      <c r="B14" s="42"/>
      <c r="C14" s="34"/>
      <c r="D14" s="5"/>
      <c r="E14" s="20"/>
      <c r="F14" s="20"/>
      <c r="G14" s="18"/>
      <c r="H14" s="5"/>
    </row>
    <row r="15" spans="2:8">
      <c r="B15" s="42"/>
      <c r="C15" s="34"/>
      <c r="D15" s="5"/>
      <c r="E15" s="20"/>
      <c r="F15" s="20"/>
      <c r="G15" s="18"/>
      <c r="H15" s="5"/>
    </row>
    <row r="16" spans="2:8">
      <c r="B16" s="42"/>
      <c r="C16" s="34"/>
      <c r="D16" s="5"/>
      <c r="E16" s="20"/>
      <c r="F16" s="20"/>
      <c r="G16" s="18"/>
      <c r="H16" s="5"/>
    </row>
    <row r="17" spans="2:8">
      <c r="B17" s="19"/>
      <c r="C17" s="34"/>
      <c r="D17" s="5"/>
      <c r="E17" s="20"/>
      <c r="F17" s="20"/>
      <c r="G17" s="18"/>
      <c r="H17" s="5"/>
    </row>
    <row r="18" spans="2:8">
      <c r="B18" s="19"/>
      <c r="C18" s="34"/>
      <c r="D18" s="5"/>
      <c r="E18" s="20"/>
      <c r="F18" s="20"/>
      <c r="G18" s="18"/>
      <c r="H18" s="5"/>
    </row>
    <row r="19" spans="2:8">
      <c r="B19" s="19"/>
      <c r="C19" s="34"/>
      <c r="D19" s="5"/>
      <c r="E19" s="20"/>
      <c r="F19" s="20"/>
      <c r="G19" s="18"/>
      <c r="H19" s="5"/>
    </row>
    <row r="20" spans="2:8">
      <c r="B20" s="19"/>
      <c r="C20" s="34"/>
      <c r="D20" s="5"/>
      <c r="E20" s="20"/>
      <c r="F20" s="20"/>
      <c r="G20" s="18"/>
      <c r="H20" s="5"/>
    </row>
    <row r="21" spans="2:8">
      <c r="B21" s="19"/>
      <c r="C21" s="34"/>
      <c r="D21" s="5"/>
      <c r="E21" s="20"/>
      <c r="F21" s="20"/>
      <c r="G21" s="18"/>
      <c r="H21" s="5"/>
    </row>
    <row r="22" spans="2:8">
      <c r="B22" s="19"/>
      <c r="C22" s="34"/>
      <c r="D22" s="5"/>
      <c r="E22" s="20"/>
      <c r="F22" s="20"/>
      <c r="G22" s="18"/>
      <c r="H22" s="5"/>
    </row>
    <row r="23" spans="2:8">
      <c r="B23" s="19"/>
      <c r="C23" s="34"/>
      <c r="D23" s="5"/>
      <c r="E23" s="20"/>
      <c r="F23" s="20"/>
      <c r="G23" s="18"/>
      <c r="H23" s="5"/>
    </row>
    <row r="24" spans="2:8">
      <c r="B24" s="19"/>
      <c r="C24" s="34"/>
      <c r="D24" s="5"/>
      <c r="E24" s="20"/>
      <c r="F24" s="20"/>
      <c r="G24" s="18"/>
      <c r="H24" s="5"/>
    </row>
    <row r="25" spans="2:8">
      <c r="B25" s="19"/>
      <c r="C25" s="34"/>
      <c r="D25" s="5"/>
      <c r="E25" s="20"/>
      <c r="F25" s="20"/>
      <c r="G25" s="18"/>
      <c r="H25" s="5"/>
    </row>
    <row r="26" spans="2:8">
      <c r="B26" s="19"/>
      <c r="C26" s="34"/>
      <c r="D26" s="5"/>
      <c r="E26" s="20"/>
      <c r="F26" s="20"/>
      <c r="G26" s="18"/>
      <c r="H26" s="5"/>
    </row>
    <row r="27" spans="2:8">
      <c r="B27" s="19"/>
      <c r="C27" s="34"/>
      <c r="D27" s="5"/>
      <c r="E27" s="20"/>
      <c r="F27" s="20"/>
      <c r="G27" s="18"/>
      <c r="H27" s="5"/>
    </row>
    <row r="28" spans="2:8">
      <c r="B28" s="19"/>
      <c r="C28" s="34"/>
      <c r="D28" s="5"/>
      <c r="E28" s="20"/>
      <c r="F28" s="20"/>
      <c r="G28" s="18"/>
      <c r="H28" s="5"/>
    </row>
    <row r="29" spans="2:8">
      <c r="B29" s="19"/>
      <c r="C29" s="34"/>
      <c r="D29" s="5"/>
      <c r="E29" s="20"/>
      <c r="F29" s="20"/>
      <c r="G29" s="18"/>
      <c r="H29" s="5"/>
    </row>
    <row r="30" spans="2:8">
      <c r="B30" s="19"/>
      <c r="C30" s="34"/>
      <c r="D30" s="5"/>
      <c r="E30" s="20"/>
      <c r="F30" s="20"/>
      <c r="G30" s="18"/>
      <c r="H30" s="5"/>
    </row>
    <row r="31" spans="2:8">
      <c r="B31" s="19"/>
      <c r="C31" s="34"/>
      <c r="D31" s="5"/>
      <c r="E31" s="20"/>
      <c r="F31" s="20"/>
      <c r="G31" s="18"/>
      <c r="H31" s="5"/>
    </row>
    <row r="32" spans="2:8">
      <c r="B32" s="19"/>
      <c r="C32" s="34"/>
      <c r="D32" s="5"/>
      <c r="E32" s="20"/>
      <c r="F32" s="20"/>
      <c r="G32" s="18"/>
      <c r="H32" s="5"/>
    </row>
  </sheetData>
  <autoFilter ref="B2:H32">
    <sortState ref="B3:H32">
      <sortCondition ref="B2:B32"/>
    </sortState>
  </autoFilter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H32"/>
  <sheetViews>
    <sheetView showGridLines="0" workbookViewId="0">
      <pane ySplit="2" topLeftCell="A3" activePane="bottomLeft" state="frozen"/>
      <selection activeCell="B1" sqref="B1"/>
      <selection pane="bottomLeft" activeCell="F4" sqref="F4"/>
    </sheetView>
  </sheetViews>
  <sheetFormatPr defaultRowHeight="14.25"/>
  <cols>
    <col min="2" max="2" width="7.25" bestFit="1" customWidth="1"/>
    <col min="3" max="3" width="6.625" style="35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2" t="s">
        <v>65</v>
      </c>
    </row>
    <row r="2" spans="2:8">
      <c r="B2" s="15" t="s">
        <v>55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8">
      <c r="B3" s="42">
        <v>43695</v>
      </c>
      <c r="C3" s="34">
        <v>8</v>
      </c>
      <c r="D3" s="5">
        <v>108</v>
      </c>
      <c r="E3" s="20" t="s">
        <v>45</v>
      </c>
      <c r="F3" s="20" t="s">
        <v>534</v>
      </c>
      <c r="G3" s="18">
        <v>43695</v>
      </c>
      <c r="H3" s="5" t="s">
        <v>133</v>
      </c>
    </row>
    <row r="4" spans="2:8">
      <c r="B4" s="42"/>
      <c r="C4" s="34"/>
      <c r="D4" s="5"/>
      <c r="E4" s="20"/>
      <c r="F4" s="20"/>
      <c r="G4" s="18"/>
      <c r="H4" s="5"/>
    </row>
    <row r="5" spans="2:8">
      <c r="B5" s="42"/>
      <c r="C5" s="34"/>
      <c r="D5" s="5"/>
      <c r="E5" s="20"/>
      <c r="F5" s="20"/>
      <c r="G5" s="18"/>
      <c r="H5" s="5"/>
    </row>
    <row r="6" spans="2:8">
      <c r="B6" s="42"/>
      <c r="C6" s="34"/>
      <c r="D6" s="5"/>
      <c r="E6" s="20"/>
      <c r="F6" s="20"/>
      <c r="G6" s="18"/>
      <c r="H6" s="5"/>
    </row>
    <row r="7" spans="2:8">
      <c r="B7" s="42"/>
      <c r="C7" s="34"/>
      <c r="D7" s="5"/>
      <c r="E7" s="20"/>
      <c r="F7" s="20"/>
      <c r="G7" s="18"/>
      <c r="H7" s="5"/>
    </row>
    <row r="8" spans="2:8">
      <c r="B8" s="42"/>
      <c r="C8" s="34"/>
      <c r="D8" s="5"/>
      <c r="E8" s="20"/>
      <c r="F8" s="20"/>
      <c r="G8" s="18"/>
      <c r="H8" s="5"/>
    </row>
    <row r="9" spans="2:8">
      <c r="B9" s="42"/>
      <c r="C9" s="34"/>
      <c r="D9" s="5"/>
      <c r="E9" s="20"/>
      <c r="F9" s="20"/>
      <c r="G9" s="18"/>
      <c r="H9" s="5"/>
    </row>
    <row r="10" spans="2:8">
      <c r="B10" s="42"/>
      <c r="C10" s="34"/>
      <c r="D10" s="5"/>
      <c r="E10" s="20"/>
      <c r="F10" s="20"/>
      <c r="G10" s="18"/>
      <c r="H10" s="5"/>
    </row>
    <row r="11" spans="2:8">
      <c r="B11" s="42"/>
      <c r="C11" s="34"/>
      <c r="D11" s="5"/>
      <c r="E11" s="20"/>
      <c r="F11" s="20"/>
      <c r="G11" s="18"/>
      <c r="H11" s="5"/>
    </row>
    <row r="12" spans="2:8">
      <c r="B12" s="42"/>
      <c r="C12" s="34"/>
      <c r="D12" s="5"/>
      <c r="E12" s="20"/>
      <c r="F12" s="20"/>
      <c r="G12" s="18"/>
      <c r="H12" s="5"/>
    </row>
    <row r="13" spans="2:8">
      <c r="B13" s="42"/>
      <c r="C13" s="34"/>
      <c r="D13" s="5"/>
      <c r="E13" s="20"/>
      <c r="F13" s="20"/>
      <c r="G13" s="18"/>
      <c r="H13" s="5"/>
    </row>
    <row r="14" spans="2:8">
      <c r="B14" s="42"/>
      <c r="C14" s="34"/>
      <c r="D14" s="5"/>
      <c r="E14" s="20"/>
      <c r="F14" s="20"/>
      <c r="G14" s="18"/>
      <c r="H14" s="5"/>
    </row>
    <row r="15" spans="2:8">
      <c r="B15" s="42"/>
      <c r="C15" s="34"/>
      <c r="D15" s="5"/>
      <c r="E15" s="20"/>
      <c r="F15" s="20"/>
      <c r="G15" s="18"/>
      <c r="H15" s="5"/>
    </row>
    <row r="16" spans="2:8">
      <c r="B16" s="19"/>
      <c r="C16" s="34"/>
      <c r="D16" s="5"/>
      <c r="E16" s="20"/>
      <c r="F16" s="20"/>
      <c r="G16" s="18"/>
      <c r="H16" s="5"/>
    </row>
    <row r="17" spans="2:8">
      <c r="B17" s="19"/>
      <c r="C17" s="34"/>
      <c r="D17" s="5"/>
      <c r="E17" s="20"/>
      <c r="F17" s="20"/>
      <c r="G17" s="18"/>
      <c r="H17" s="5"/>
    </row>
    <row r="18" spans="2:8">
      <c r="B18" s="19"/>
      <c r="C18" s="34"/>
      <c r="D18" s="5"/>
      <c r="E18" s="20"/>
      <c r="F18" s="20"/>
      <c r="G18" s="18"/>
      <c r="H18" s="5"/>
    </row>
    <row r="19" spans="2:8">
      <c r="B19" s="19"/>
      <c r="C19" s="34"/>
      <c r="D19" s="5"/>
      <c r="E19" s="20"/>
      <c r="F19" s="20"/>
      <c r="G19" s="18"/>
      <c r="H19" s="5"/>
    </row>
    <row r="20" spans="2:8">
      <c r="B20" s="19"/>
      <c r="C20" s="34"/>
      <c r="D20" s="5"/>
      <c r="E20" s="20"/>
      <c r="F20" s="20"/>
      <c r="G20" s="18"/>
      <c r="H20" s="5"/>
    </row>
    <row r="21" spans="2:8">
      <c r="B21" s="19"/>
      <c r="C21" s="34"/>
      <c r="D21" s="5"/>
      <c r="E21" s="20"/>
      <c r="F21" s="20"/>
      <c r="G21" s="18"/>
      <c r="H21" s="5"/>
    </row>
    <row r="22" spans="2:8">
      <c r="B22" s="19"/>
      <c r="C22" s="34"/>
      <c r="D22" s="5"/>
      <c r="E22" s="20"/>
      <c r="F22" s="20"/>
      <c r="G22" s="18"/>
      <c r="H22" s="5"/>
    </row>
    <row r="23" spans="2:8">
      <c r="B23" s="19"/>
      <c r="C23" s="34"/>
      <c r="D23" s="5"/>
      <c r="E23" s="20"/>
      <c r="F23" s="20"/>
      <c r="G23" s="18"/>
      <c r="H23" s="5"/>
    </row>
    <row r="24" spans="2:8">
      <c r="B24" s="19"/>
      <c r="C24" s="34"/>
      <c r="D24" s="5"/>
      <c r="E24" s="20"/>
      <c r="F24" s="20"/>
      <c r="G24" s="18"/>
      <c r="H24" s="5"/>
    </row>
    <row r="25" spans="2:8">
      <c r="B25" s="19"/>
      <c r="C25" s="34"/>
      <c r="D25" s="5"/>
      <c r="E25" s="20"/>
      <c r="F25" s="20"/>
      <c r="G25" s="18"/>
      <c r="H25" s="5"/>
    </row>
    <row r="26" spans="2:8">
      <c r="B26" s="19"/>
      <c r="C26" s="34"/>
      <c r="D26" s="5"/>
      <c r="E26" s="20"/>
      <c r="F26" s="20"/>
      <c r="G26" s="18"/>
      <c r="H26" s="5"/>
    </row>
    <row r="27" spans="2:8">
      <c r="B27" s="19"/>
      <c r="C27" s="34"/>
      <c r="D27" s="5"/>
      <c r="E27" s="20"/>
      <c r="F27" s="20"/>
      <c r="G27" s="18"/>
      <c r="H27" s="5"/>
    </row>
    <row r="28" spans="2:8">
      <c r="B28" s="19"/>
      <c r="C28" s="34"/>
      <c r="D28" s="5"/>
      <c r="E28" s="20"/>
      <c r="F28" s="20"/>
      <c r="G28" s="18"/>
      <c r="H28" s="5"/>
    </row>
    <row r="29" spans="2:8">
      <c r="B29" s="19"/>
      <c r="C29" s="34"/>
      <c r="D29" s="5"/>
      <c r="E29" s="20"/>
      <c r="F29" s="20"/>
      <c r="G29" s="18"/>
      <c r="H29" s="5"/>
    </row>
    <row r="30" spans="2:8">
      <c r="B30" s="19"/>
      <c r="C30" s="34"/>
      <c r="D30" s="5"/>
      <c r="E30" s="20"/>
      <c r="F30" s="20"/>
      <c r="G30" s="18"/>
      <c r="H30" s="5"/>
    </row>
    <row r="31" spans="2:8">
      <c r="B31" s="19"/>
      <c r="C31" s="34"/>
      <c r="D31" s="5"/>
      <c r="E31" s="20"/>
      <c r="F31" s="20"/>
      <c r="G31" s="18"/>
      <c r="H31" s="5"/>
    </row>
    <row r="32" spans="2:8">
      <c r="B32" s="19"/>
      <c r="C32" s="34"/>
      <c r="D32" s="5"/>
      <c r="E32" s="20"/>
      <c r="F32" s="20"/>
      <c r="G32" s="18"/>
      <c r="H32" s="5"/>
    </row>
  </sheetData>
  <autoFilter ref="B2:H32">
    <sortState ref="B3:H32">
      <sortCondition ref="B1"/>
    </sortState>
  </autoFilter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H46"/>
  <sheetViews>
    <sheetView showGridLines="0" workbookViewId="0">
      <pane ySplit="2" topLeftCell="A3" activePane="bottomLeft" state="frozen"/>
      <selection activeCell="B1" sqref="B1"/>
      <selection pane="bottomLeft" activeCell="B1" sqref="B1"/>
    </sheetView>
  </sheetViews>
  <sheetFormatPr defaultRowHeight="14.25"/>
  <cols>
    <col min="2" max="2" width="7.25" bestFit="1" customWidth="1"/>
    <col min="3" max="3" width="6.625" style="35" bestFit="1" customWidth="1"/>
    <col min="4" max="4" width="7.25" bestFit="1" customWidth="1"/>
    <col min="5" max="5" width="8" bestFit="1" customWidth="1"/>
    <col min="6" max="6" width="18.125" bestFit="1" customWidth="1"/>
    <col min="7" max="7" width="8.125" bestFit="1" customWidth="1"/>
    <col min="8" max="8" width="8.625" bestFit="1" customWidth="1"/>
  </cols>
  <sheetData>
    <row r="1" spans="2:8" ht="15">
      <c r="B1" s="52" t="s">
        <v>66</v>
      </c>
    </row>
    <row r="2" spans="2:8">
      <c r="B2" s="15" t="s">
        <v>55</v>
      </c>
      <c r="C2" s="15" t="s">
        <v>30</v>
      </c>
      <c r="D2" s="16" t="s">
        <v>31</v>
      </c>
      <c r="E2" s="16" t="s">
        <v>32</v>
      </c>
      <c r="F2" s="16" t="s">
        <v>35</v>
      </c>
      <c r="G2" s="17" t="s">
        <v>33</v>
      </c>
      <c r="H2" s="16" t="s">
        <v>34</v>
      </c>
    </row>
    <row r="3" spans="2:8">
      <c r="B3" s="42"/>
      <c r="C3" s="34"/>
      <c r="D3" s="5"/>
      <c r="E3" s="20"/>
      <c r="F3" s="20"/>
      <c r="G3" s="18"/>
      <c r="H3" s="5"/>
    </row>
    <row r="4" spans="2:8">
      <c r="B4" s="42"/>
      <c r="C4" s="34"/>
      <c r="D4" s="5"/>
      <c r="E4" s="20"/>
      <c r="F4" s="20"/>
      <c r="G4" s="18"/>
      <c r="H4" s="5"/>
    </row>
    <row r="5" spans="2:8">
      <c r="B5" s="42"/>
      <c r="C5" s="34"/>
      <c r="D5" s="5"/>
      <c r="E5" s="20"/>
      <c r="F5" s="20"/>
      <c r="G5" s="18"/>
      <c r="H5" s="5"/>
    </row>
    <row r="6" spans="2:8">
      <c r="B6" s="42"/>
      <c r="C6" s="34"/>
      <c r="D6" s="5"/>
      <c r="E6" s="20"/>
      <c r="F6" s="20"/>
      <c r="G6" s="18"/>
      <c r="H6" s="5"/>
    </row>
    <row r="7" spans="2:8">
      <c r="B7" s="42"/>
      <c r="C7" s="34"/>
      <c r="D7" s="5"/>
      <c r="E7" s="20"/>
      <c r="F7" s="20"/>
      <c r="G7" s="18"/>
      <c r="H7" s="5"/>
    </row>
    <row r="8" spans="2:8">
      <c r="B8" s="42"/>
      <c r="C8" s="34"/>
      <c r="D8" s="5"/>
      <c r="E8" s="20"/>
      <c r="F8" s="20"/>
      <c r="G8" s="18"/>
      <c r="H8" s="5"/>
    </row>
    <row r="9" spans="2:8">
      <c r="B9" s="42"/>
      <c r="C9" s="34"/>
      <c r="D9" s="5"/>
      <c r="E9" s="20"/>
      <c r="F9" s="20"/>
      <c r="G9" s="18"/>
      <c r="H9" s="5"/>
    </row>
    <row r="10" spans="2:8">
      <c r="B10" s="42"/>
      <c r="C10" s="34"/>
      <c r="D10" s="5"/>
      <c r="E10" s="20"/>
      <c r="F10" s="20"/>
      <c r="G10" s="18"/>
      <c r="H10" s="5"/>
    </row>
    <row r="11" spans="2:8">
      <c r="B11" s="42"/>
      <c r="C11" s="34"/>
      <c r="D11" s="5"/>
      <c r="E11" s="20"/>
      <c r="F11" s="20"/>
      <c r="G11" s="18"/>
      <c r="H11" s="5"/>
    </row>
    <row r="12" spans="2:8">
      <c r="B12" s="42"/>
      <c r="C12" s="34"/>
      <c r="D12" s="5"/>
      <c r="E12" s="20"/>
      <c r="F12" s="20"/>
      <c r="G12" s="18"/>
      <c r="H12" s="5"/>
    </row>
    <row r="13" spans="2:8">
      <c r="B13" s="42"/>
      <c r="C13" s="34"/>
      <c r="D13" s="5"/>
      <c r="E13" s="20"/>
      <c r="F13" s="20"/>
      <c r="G13" s="18"/>
      <c r="H13" s="5"/>
    </row>
    <row r="14" spans="2:8">
      <c r="B14" s="42"/>
      <c r="C14" s="34"/>
      <c r="D14" s="5"/>
      <c r="E14" s="20"/>
      <c r="F14" s="20"/>
      <c r="G14" s="18"/>
      <c r="H14" s="5"/>
    </row>
    <row r="15" spans="2:8">
      <c r="B15" s="42"/>
      <c r="C15" s="34"/>
      <c r="D15" s="5"/>
      <c r="E15" s="20"/>
      <c r="F15" s="20"/>
      <c r="G15" s="18"/>
      <c r="H15" s="5"/>
    </row>
    <row r="16" spans="2:8">
      <c r="B16" s="42"/>
      <c r="C16" s="34"/>
      <c r="D16" s="5"/>
      <c r="E16" s="20"/>
      <c r="F16" s="20"/>
      <c r="G16" s="18"/>
      <c r="H16" s="5"/>
    </row>
    <row r="17" spans="2:8">
      <c r="B17" s="42"/>
      <c r="C17" s="34"/>
      <c r="D17" s="5"/>
      <c r="E17" s="20"/>
      <c r="F17" s="20"/>
      <c r="G17" s="18"/>
      <c r="H17" s="5"/>
    </row>
    <row r="18" spans="2:8">
      <c r="B18" s="42"/>
      <c r="C18" s="34"/>
      <c r="D18" s="5"/>
      <c r="E18" s="20"/>
      <c r="F18" s="20"/>
      <c r="G18" s="18"/>
      <c r="H18" s="5"/>
    </row>
    <row r="19" spans="2:8">
      <c r="B19" s="42"/>
      <c r="C19" s="34"/>
      <c r="D19" s="5"/>
      <c r="E19" s="20"/>
      <c r="F19" s="20"/>
      <c r="G19" s="18"/>
      <c r="H19" s="5"/>
    </row>
    <row r="20" spans="2:8">
      <c r="B20" s="42"/>
      <c r="C20" s="34"/>
      <c r="D20" s="5"/>
      <c r="E20" s="20"/>
      <c r="F20" s="20"/>
      <c r="G20" s="18"/>
      <c r="H20" s="5"/>
    </row>
    <row r="21" spans="2:8">
      <c r="B21" s="42"/>
      <c r="C21" s="34"/>
      <c r="D21" s="5"/>
      <c r="E21" s="20"/>
      <c r="F21" s="20"/>
      <c r="G21" s="18"/>
      <c r="H21" s="5"/>
    </row>
    <row r="22" spans="2:8">
      <c r="B22" s="42"/>
      <c r="C22" s="34"/>
      <c r="D22" s="5"/>
      <c r="E22" s="20"/>
      <c r="F22" s="20"/>
      <c r="G22" s="18"/>
      <c r="H22" s="5"/>
    </row>
    <row r="23" spans="2:8">
      <c r="B23" s="42"/>
      <c r="C23" s="34"/>
      <c r="D23" s="5"/>
      <c r="E23" s="20"/>
      <c r="F23" s="20"/>
      <c r="G23" s="18"/>
      <c r="H23" s="5"/>
    </row>
    <row r="24" spans="2:8">
      <c r="B24" s="42"/>
      <c r="C24" s="34"/>
      <c r="D24" s="5"/>
      <c r="E24" s="20"/>
      <c r="F24" s="20"/>
      <c r="G24" s="18"/>
      <c r="H24" s="5"/>
    </row>
    <row r="25" spans="2:8">
      <c r="B25" s="42"/>
      <c r="C25" s="34"/>
      <c r="D25" s="5"/>
      <c r="E25" s="20"/>
      <c r="F25" s="20"/>
      <c r="G25" s="18"/>
      <c r="H25" s="5"/>
    </row>
    <row r="26" spans="2:8">
      <c r="B26" s="42"/>
      <c r="C26" s="34"/>
      <c r="D26" s="5"/>
      <c r="E26" s="20"/>
      <c r="F26" s="20"/>
      <c r="G26" s="18"/>
      <c r="H26" s="5"/>
    </row>
    <row r="27" spans="2:8">
      <c r="B27" s="42"/>
      <c r="C27" s="34"/>
      <c r="D27" s="5"/>
      <c r="E27" s="20"/>
      <c r="F27" s="20"/>
      <c r="G27" s="18"/>
      <c r="H27" s="5"/>
    </row>
    <row r="28" spans="2:8">
      <c r="B28" s="42"/>
      <c r="C28" s="34"/>
      <c r="D28" s="5"/>
      <c r="E28" s="20"/>
      <c r="F28" s="20"/>
      <c r="G28" s="18"/>
      <c r="H28" s="5"/>
    </row>
    <row r="29" spans="2:8">
      <c r="B29" s="42"/>
      <c r="C29" s="34"/>
      <c r="D29" s="5"/>
      <c r="E29" s="20"/>
      <c r="F29" s="20"/>
      <c r="G29" s="18"/>
      <c r="H29" s="5"/>
    </row>
    <row r="30" spans="2:8">
      <c r="B30" s="42"/>
      <c r="C30" s="34"/>
      <c r="D30" s="5"/>
      <c r="E30" s="20"/>
      <c r="F30" s="20"/>
      <c r="G30" s="18"/>
      <c r="H30" s="5"/>
    </row>
    <row r="31" spans="2:8">
      <c r="B31" s="43"/>
      <c r="D31" s="60"/>
      <c r="E31" s="40"/>
    </row>
    <row r="32" spans="2:8">
      <c r="B32" s="43"/>
      <c r="D32" s="60"/>
      <c r="E32" s="40"/>
    </row>
    <row r="33" spans="2:5">
      <c r="B33" s="43"/>
      <c r="D33" s="60"/>
      <c r="E33" s="40"/>
    </row>
    <row r="34" spans="2:5">
      <c r="B34" s="43"/>
      <c r="D34" s="60"/>
      <c r="E34" s="40"/>
    </row>
    <row r="35" spans="2:5">
      <c r="B35" s="43"/>
      <c r="D35" s="60"/>
      <c r="E35" s="40"/>
    </row>
    <row r="36" spans="2:5">
      <c r="B36" s="43"/>
      <c r="D36" s="60"/>
      <c r="E36" s="40"/>
    </row>
    <row r="37" spans="2:5">
      <c r="B37" s="43"/>
      <c r="D37" s="60"/>
      <c r="E37" s="40"/>
    </row>
    <row r="38" spans="2:5">
      <c r="B38" s="43"/>
      <c r="D38" s="60"/>
      <c r="E38" s="40"/>
    </row>
    <row r="39" spans="2:5">
      <c r="B39" s="43"/>
      <c r="D39" s="60"/>
      <c r="E39" s="40"/>
    </row>
    <row r="40" spans="2:5">
      <c r="B40" s="43"/>
      <c r="D40" s="60"/>
      <c r="E40" s="40"/>
    </row>
    <row r="41" spans="2:5">
      <c r="B41" s="43"/>
      <c r="D41" s="60"/>
      <c r="E41" s="40"/>
    </row>
    <row r="42" spans="2:5">
      <c r="B42" s="43"/>
      <c r="D42" s="60"/>
      <c r="E42" s="40"/>
    </row>
    <row r="43" spans="2:5">
      <c r="B43" s="43"/>
      <c r="D43" s="60"/>
      <c r="E43" s="40"/>
    </row>
    <row r="44" spans="2:5">
      <c r="B44" s="43"/>
      <c r="D44" s="60"/>
      <c r="E44" s="40"/>
    </row>
    <row r="45" spans="2:5">
      <c r="B45" s="43"/>
      <c r="D45" s="60"/>
      <c r="E45" s="40"/>
    </row>
    <row r="46" spans="2:5">
      <c r="B46" s="43"/>
      <c r="D46" s="60"/>
      <c r="E46" s="40"/>
    </row>
  </sheetData>
  <autoFilter ref="B2:H30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B2:R51"/>
  <sheetViews>
    <sheetView workbookViewId="0">
      <selection activeCell="C6" sqref="C6"/>
    </sheetView>
  </sheetViews>
  <sheetFormatPr defaultRowHeight="14.25"/>
  <cols>
    <col min="2" max="2" width="1.75" customWidth="1"/>
    <col min="3" max="3" width="13.375" bestFit="1" customWidth="1"/>
    <col min="4" max="4" width="1.75" customWidth="1"/>
    <col min="6" max="6" width="1.75" customWidth="1"/>
    <col min="8" max="8" width="1.75" customWidth="1"/>
    <col min="10" max="10" width="1.75" customWidth="1"/>
    <col min="12" max="12" width="1.75" customWidth="1"/>
    <col min="14" max="14" width="1.75" customWidth="1"/>
    <col min="16" max="16" width="1.75" customWidth="1"/>
    <col min="18" max="18" width="1.75" customWidth="1"/>
  </cols>
  <sheetData>
    <row r="2" spans="2:18" ht="15">
      <c r="B2" s="54"/>
      <c r="C2" s="145" t="s">
        <v>60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54"/>
    </row>
    <row r="3" spans="2:18" ht="5.0999999999999996" customHeight="1"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</row>
    <row r="4" spans="2:18" ht="15">
      <c r="B4" s="54"/>
      <c r="C4" s="53" t="s">
        <v>33</v>
      </c>
      <c r="D4" s="54"/>
      <c r="E4" s="55"/>
      <c r="F4" s="54"/>
      <c r="G4" s="55"/>
      <c r="H4" s="54"/>
      <c r="I4" s="55"/>
      <c r="J4" s="54"/>
      <c r="K4" s="55"/>
      <c r="L4" s="54"/>
      <c r="M4" s="55"/>
      <c r="N4" s="54"/>
      <c r="O4" s="55"/>
      <c r="P4" s="54"/>
      <c r="Q4" s="55"/>
      <c r="R4" s="54"/>
    </row>
    <row r="5" spans="2:18" ht="15">
      <c r="B5" s="54"/>
      <c r="C5" s="53" t="s">
        <v>67</v>
      </c>
      <c r="D5" s="54"/>
      <c r="E5" s="55" t="s">
        <v>68</v>
      </c>
      <c r="F5" s="54"/>
      <c r="G5" s="55" t="s">
        <v>68</v>
      </c>
      <c r="H5" s="54"/>
      <c r="I5" s="55" t="s">
        <v>68</v>
      </c>
      <c r="J5" s="54"/>
      <c r="K5" s="55" t="s">
        <v>68</v>
      </c>
      <c r="L5" s="54"/>
      <c r="M5" s="55" t="s">
        <v>68</v>
      </c>
      <c r="N5" s="54"/>
      <c r="O5" s="55" t="s">
        <v>68</v>
      </c>
      <c r="P5" s="54"/>
      <c r="Q5" s="55" t="s">
        <v>68</v>
      </c>
      <c r="R5" s="54"/>
    </row>
    <row r="6" spans="2:18">
      <c r="C6" s="56"/>
      <c r="E6" s="56"/>
      <c r="G6" s="56"/>
      <c r="I6" s="56"/>
      <c r="K6" s="56"/>
      <c r="M6" s="56"/>
      <c r="O6" s="56"/>
      <c r="Q6" s="56"/>
    </row>
    <row r="7" spans="2:18">
      <c r="C7" s="56"/>
      <c r="E7" s="56"/>
      <c r="G7" s="56"/>
      <c r="I7" s="56"/>
      <c r="K7" s="56"/>
      <c r="M7" s="56"/>
      <c r="O7" s="56"/>
      <c r="Q7" s="56"/>
    </row>
    <row r="8" spans="2:18">
      <c r="C8" s="56"/>
      <c r="E8" s="56"/>
      <c r="G8" s="56"/>
      <c r="I8" s="56"/>
      <c r="K8" s="56"/>
      <c r="M8" s="56"/>
      <c r="O8" s="56"/>
      <c r="Q8" s="56"/>
    </row>
    <row r="9" spans="2:18">
      <c r="C9" s="56"/>
      <c r="E9" s="56"/>
      <c r="G9" s="56"/>
      <c r="I9" s="56"/>
      <c r="K9" s="56"/>
      <c r="M9" s="56"/>
      <c r="O9" s="56"/>
      <c r="Q9" s="56"/>
    </row>
    <row r="10" spans="2:18">
      <c r="C10" s="56"/>
      <c r="E10" s="56"/>
      <c r="G10" s="56"/>
      <c r="I10" s="56"/>
      <c r="K10" s="56"/>
      <c r="M10" s="56"/>
      <c r="O10" s="56"/>
      <c r="Q10" s="56"/>
    </row>
    <row r="11" spans="2:18">
      <c r="C11" s="56"/>
      <c r="E11" s="56"/>
      <c r="G11" s="56"/>
      <c r="I11" s="56"/>
      <c r="K11" s="56"/>
      <c r="M11" s="56"/>
      <c r="O11" s="56"/>
      <c r="Q11" s="56"/>
    </row>
    <row r="12" spans="2:18">
      <c r="C12" s="56"/>
      <c r="E12" s="56"/>
      <c r="G12" s="56"/>
      <c r="I12" s="56"/>
      <c r="K12" s="56"/>
      <c r="M12" s="56"/>
      <c r="O12" s="56"/>
      <c r="Q12" s="56"/>
    </row>
    <row r="13" spans="2:18">
      <c r="C13" s="56"/>
      <c r="E13" s="56"/>
      <c r="G13" s="56"/>
      <c r="I13" s="56"/>
      <c r="K13" s="56"/>
      <c r="M13" s="56"/>
      <c r="O13" s="56"/>
      <c r="Q13" s="56"/>
    </row>
    <row r="14" spans="2:18">
      <c r="C14" s="56"/>
      <c r="E14" s="56"/>
      <c r="G14" s="56"/>
      <c r="I14" s="56"/>
      <c r="K14" s="56"/>
      <c r="M14" s="56"/>
      <c r="O14" s="56"/>
      <c r="Q14" s="56"/>
    </row>
    <row r="15" spans="2:18">
      <c r="C15" s="56"/>
      <c r="E15" s="56"/>
      <c r="G15" s="56"/>
      <c r="I15" s="56"/>
      <c r="K15" s="56"/>
      <c r="M15" s="56"/>
      <c r="O15" s="56"/>
      <c r="Q15" s="56"/>
    </row>
    <row r="16" spans="2:18">
      <c r="C16" s="56"/>
      <c r="E16" s="56"/>
      <c r="G16" s="56"/>
      <c r="I16" s="56"/>
      <c r="K16" s="56"/>
      <c r="M16" s="56"/>
      <c r="O16" s="56"/>
      <c r="Q16" s="56"/>
    </row>
    <row r="17" spans="3:17">
      <c r="C17" s="56"/>
      <c r="E17" s="56"/>
      <c r="G17" s="56"/>
      <c r="I17" s="56"/>
      <c r="K17" s="56"/>
      <c r="M17" s="56"/>
      <c r="O17" s="56"/>
      <c r="Q17" s="56"/>
    </row>
    <row r="18" spans="3:17">
      <c r="C18" s="56"/>
      <c r="E18" s="56"/>
      <c r="G18" s="56"/>
      <c r="I18" s="56"/>
      <c r="K18" s="56"/>
      <c r="M18" s="56"/>
      <c r="O18" s="56"/>
      <c r="Q18" s="56"/>
    </row>
    <row r="19" spans="3:17">
      <c r="C19" s="56"/>
      <c r="E19" s="56"/>
      <c r="G19" s="56"/>
      <c r="I19" s="56"/>
      <c r="K19" s="56"/>
      <c r="M19" s="56"/>
      <c r="O19" s="56"/>
      <c r="Q19" s="56"/>
    </row>
    <row r="20" spans="3:17">
      <c r="C20" s="56"/>
      <c r="E20" s="56"/>
      <c r="G20" s="56"/>
      <c r="I20" s="56"/>
      <c r="K20" s="56"/>
      <c r="M20" s="56"/>
      <c r="O20" s="56"/>
      <c r="Q20" s="56"/>
    </row>
    <row r="21" spans="3:17">
      <c r="C21" s="56"/>
      <c r="E21" s="56"/>
      <c r="G21" s="56"/>
      <c r="I21" s="56"/>
      <c r="K21" s="56"/>
      <c r="M21" s="56"/>
      <c r="O21" s="56"/>
      <c r="Q21" s="56"/>
    </row>
    <row r="22" spans="3:17">
      <c r="C22" s="56"/>
      <c r="E22" s="56"/>
      <c r="G22" s="56"/>
      <c r="I22" s="56"/>
      <c r="K22" s="56"/>
      <c r="M22" s="56"/>
      <c r="O22" s="56"/>
      <c r="Q22" s="56"/>
    </row>
    <row r="23" spans="3:17">
      <c r="C23" s="56"/>
      <c r="E23" s="56"/>
      <c r="G23" s="56"/>
      <c r="I23" s="56"/>
      <c r="K23" s="56"/>
      <c r="M23" s="56"/>
      <c r="O23" s="56"/>
      <c r="Q23" s="56"/>
    </row>
    <row r="24" spans="3:17">
      <c r="C24" s="56"/>
      <c r="E24" s="56"/>
      <c r="G24" s="56"/>
      <c r="I24" s="56"/>
      <c r="K24" s="56"/>
      <c r="M24" s="56"/>
      <c r="O24" s="56"/>
      <c r="Q24" s="56"/>
    </row>
    <row r="25" spans="3:17">
      <c r="C25" s="56"/>
      <c r="E25" s="56"/>
      <c r="G25" s="56"/>
      <c r="I25" s="56"/>
      <c r="K25" s="56"/>
      <c r="M25" s="56"/>
      <c r="O25" s="56"/>
      <c r="Q25" s="56"/>
    </row>
    <row r="26" spans="3:17">
      <c r="C26" s="56"/>
      <c r="E26" s="56"/>
      <c r="G26" s="56"/>
      <c r="I26" s="56"/>
      <c r="K26" s="56"/>
      <c r="M26" s="56"/>
      <c r="O26" s="56"/>
      <c r="Q26" s="56"/>
    </row>
    <row r="27" spans="3:17">
      <c r="C27" s="56"/>
      <c r="E27" s="56"/>
      <c r="G27" s="56"/>
      <c r="I27" s="56"/>
      <c r="K27" s="56"/>
      <c r="M27" s="56"/>
      <c r="O27" s="56"/>
      <c r="Q27" s="56"/>
    </row>
    <row r="28" spans="3:17">
      <c r="C28" s="56"/>
      <c r="E28" s="56"/>
      <c r="G28" s="56"/>
      <c r="I28" s="56"/>
      <c r="K28" s="56"/>
      <c r="M28" s="56"/>
      <c r="O28" s="56"/>
      <c r="Q28" s="56"/>
    </row>
    <row r="29" spans="3:17">
      <c r="C29" s="56"/>
      <c r="E29" s="56"/>
      <c r="G29" s="56"/>
      <c r="I29" s="56"/>
      <c r="K29" s="56"/>
      <c r="M29" s="56"/>
      <c r="O29" s="56"/>
      <c r="Q29" s="56"/>
    </row>
    <row r="30" spans="3:17">
      <c r="C30" s="56"/>
      <c r="E30" s="56"/>
      <c r="G30" s="56"/>
      <c r="I30" s="56"/>
      <c r="K30" s="56"/>
      <c r="M30" s="56"/>
      <c r="O30" s="56"/>
      <c r="Q30" s="56"/>
    </row>
    <row r="31" spans="3:17">
      <c r="C31" s="56"/>
      <c r="E31" s="56"/>
      <c r="G31" s="56"/>
      <c r="I31" s="56"/>
      <c r="K31" s="56"/>
      <c r="M31" s="56"/>
      <c r="O31" s="56"/>
      <c r="Q31" s="56"/>
    </row>
    <row r="32" spans="3:17">
      <c r="C32" s="56"/>
      <c r="E32" s="56"/>
      <c r="G32" s="56"/>
      <c r="I32" s="56"/>
      <c r="K32" s="56"/>
      <c r="M32" s="56"/>
      <c r="O32" s="56"/>
      <c r="Q32" s="56"/>
    </row>
    <row r="33" spans="3:17">
      <c r="C33" s="56"/>
      <c r="E33" s="56"/>
      <c r="G33" s="56"/>
      <c r="I33" s="56"/>
      <c r="K33" s="56"/>
      <c r="M33" s="56"/>
      <c r="O33" s="56"/>
      <c r="Q33" s="56"/>
    </row>
    <row r="34" spans="3:17">
      <c r="C34" s="56"/>
      <c r="E34" s="56"/>
      <c r="G34" s="56"/>
      <c r="I34" s="56"/>
      <c r="K34" s="56"/>
      <c r="M34" s="56"/>
      <c r="O34" s="56"/>
      <c r="Q34" s="56"/>
    </row>
    <row r="35" spans="3:17">
      <c r="C35" s="56"/>
      <c r="E35" s="56"/>
      <c r="G35" s="56"/>
      <c r="I35" s="56"/>
      <c r="K35" s="56"/>
      <c r="M35" s="56"/>
      <c r="O35" s="56"/>
      <c r="Q35" s="56"/>
    </row>
    <row r="36" spans="3:17">
      <c r="C36" s="56"/>
      <c r="E36" s="56"/>
      <c r="G36" s="56"/>
      <c r="I36" s="56"/>
      <c r="K36" s="56"/>
      <c r="M36" s="56"/>
      <c r="O36" s="56"/>
      <c r="Q36" s="56"/>
    </row>
    <row r="37" spans="3:17">
      <c r="C37" s="56"/>
      <c r="E37" s="56"/>
      <c r="G37" s="56"/>
      <c r="I37" s="56"/>
      <c r="K37" s="56"/>
      <c r="M37" s="56"/>
      <c r="O37" s="56"/>
      <c r="Q37" s="56"/>
    </row>
    <row r="38" spans="3:17">
      <c r="C38" s="56"/>
      <c r="E38" s="56"/>
      <c r="G38" s="56"/>
      <c r="I38" s="56"/>
      <c r="K38" s="56"/>
      <c r="M38" s="56"/>
      <c r="O38" s="56"/>
      <c r="Q38" s="56"/>
    </row>
    <row r="39" spans="3:17">
      <c r="C39" s="56"/>
      <c r="E39" s="56"/>
      <c r="G39" s="56"/>
      <c r="I39" s="56"/>
      <c r="K39" s="56"/>
      <c r="M39" s="56"/>
      <c r="O39" s="56"/>
      <c r="Q39" s="56"/>
    </row>
    <row r="40" spans="3:17">
      <c r="C40" s="56"/>
      <c r="E40" s="56"/>
      <c r="G40" s="56"/>
      <c r="I40" s="56"/>
      <c r="K40" s="56"/>
      <c r="M40" s="56"/>
      <c r="O40" s="56"/>
      <c r="Q40" s="56"/>
    </row>
    <row r="41" spans="3:17">
      <c r="C41" s="56"/>
      <c r="E41" s="56"/>
      <c r="G41" s="56"/>
      <c r="I41" s="56"/>
      <c r="K41" s="56"/>
      <c r="M41" s="56"/>
      <c r="O41" s="56"/>
      <c r="Q41" s="56"/>
    </row>
    <row r="42" spans="3:17">
      <c r="C42" s="56"/>
      <c r="E42" s="56"/>
      <c r="G42" s="56"/>
      <c r="I42" s="56"/>
      <c r="K42" s="56"/>
      <c r="M42" s="56"/>
      <c r="O42" s="56"/>
      <c r="Q42" s="56"/>
    </row>
    <row r="43" spans="3:17">
      <c r="C43" s="56"/>
      <c r="E43" s="56"/>
      <c r="G43" s="56"/>
      <c r="I43" s="56"/>
      <c r="K43" s="56"/>
      <c r="M43" s="56"/>
      <c r="O43" s="56"/>
      <c r="Q43" s="56"/>
    </row>
    <row r="44" spans="3:17">
      <c r="C44" s="56"/>
      <c r="E44" s="56"/>
      <c r="G44" s="56"/>
      <c r="I44" s="56"/>
      <c r="K44" s="56"/>
      <c r="M44" s="56"/>
      <c r="O44" s="56"/>
      <c r="Q44" s="56"/>
    </row>
    <row r="45" spans="3:17">
      <c r="C45" s="56"/>
      <c r="E45" s="56"/>
      <c r="G45" s="56"/>
      <c r="I45" s="56"/>
      <c r="K45" s="56"/>
      <c r="M45" s="56"/>
      <c r="O45" s="56"/>
      <c r="Q45" s="56"/>
    </row>
    <row r="46" spans="3:17">
      <c r="C46" s="56"/>
      <c r="E46" s="56"/>
      <c r="G46" s="56"/>
      <c r="I46" s="56"/>
      <c r="K46" s="56"/>
      <c r="M46" s="56"/>
      <c r="O46" s="56"/>
      <c r="Q46" s="56"/>
    </row>
    <row r="47" spans="3:17">
      <c r="C47" s="56"/>
      <c r="E47" s="56"/>
      <c r="G47" s="56"/>
      <c r="I47" s="56"/>
      <c r="K47" s="56"/>
      <c r="M47" s="56"/>
      <c r="O47" s="56"/>
      <c r="Q47" s="56"/>
    </row>
    <row r="48" spans="3:17">
      <c r="C48" s="56"/>
      <c r="E48" s="56"/>
      <c r="G48" s="56"/>
      <c r="I48" s="56"/>
      <c r="K48" s="56"/>
      <c r="M48" s="56"/>
      <c r="O48" s="56"/>
      <c r="Q48" s="56"/>
    </row>
    <row r="49" spans="3:17">
      <c r="C49" s="56"/>
      <c r="E49" s="56"/>
      <c r="G49" s="56"/>
      <c r="I49" s="56"/>
      <c r="K49" s="56"/>
      <c r="M49" s="56"/>
      <c r="O49" s="56"/>
      <c r="Q49" s="56"/>
    </row>
    <row r="50" spans="3:17">
      <c r="C50" s="56"/>
      <c r="E50" s="56"/>
      <c r="G50" s="56"/>
      <c r="I50" s="56"/>
      <c r="K50" s="56"/>
      <c r="M50" s="56"/>
      <c r="O50" s="56"/>
      <c r="Q50" s="56"/>
    </row>
    <row r="51" spans="3:17">
      <c r="C51" s="56"/>
      <c r="E51" s="56"/>
      <c r="G51" s="56"/>
      <c r="I51" s="56"/>
      <c r="K51" s="56"/>
      <c r="M51" s="56"/>
      <c r="O51" s="56"/>
      <c r="Q51" s="56"/>
    </row>
  </sheetData>
  <mergeCells count="1">
    <mergeCell ref="C2:Q2"/>
  </mergeCells>
  <printOptions horizontalCentered="1"/>
  <pageMargins left="0.70866141732283472" right="0.70866141732283472" top="0.35433070866141736" bottom="0.35433070866141736" header="0.31496062992125984" footer="0.31496062992125984"/>
  <pageSetup paperSize="9" scale="7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C3:K34"/>
  <sheetViews>
    <sheetView showGridLines="0" workbookViewId="0">
      <selection activeCell="B1" sqref="B1"/>
    </sheetView>
  </sheetViews>
  <sheetFormatPr defaultRowHeight="14.25"/>
  <cols>
    <col min="2" max="2" width="1.75" customWidth="1"/>
    <col min="3" max="3" width="12.75" customWidth="1"/>
    <col min="4" max="4" width="1.75" customWidth="1"/>
    <col min="5" max="5" width="35.75" customWidth="1"/>
    <col min="6" max="6" width="1.75" customWidth="1"/>
    <col min="7" max="7" width="12.75" customWidth="1"/>
    <col min="8" max="8" width="1.75" customWidth="1"/>
    <col min="9" max="9" width="12.75" customWidth="1"/>
    <col min="10" max="10" width="1.75" customWidth="1"/>
    <col min="11" max="11" width="12.75" customWidth="1"/>
    <col min="12" max="12" width="1.75" customWidth="1"/>
  </cols>
  <sheetData>
    <row r="3" spans="3:11" ht="24.95" customHeight="1">
      <c r="C3" s="53" t="s">
        <v>71</v>
      </c>
      <c r="D3" s="57"/>
      <c r="E3" s="53" t="s">
        <v>69</v>
      </c>
      <c r="G3" s="53" t="s">
        <v>72</v>
      </c>
      <c r="H3" s="57"/>
      <c r="I3" s="53" t="s">
        <v>70</v>
      </c>
      <c r="K3" s="53" t="s">
        <v>73</v>
      </c>
    </row>
    <row r="4" spans="3:11" ht="24.95" customHeight="1">
      <c r="C4" s="53"/>
      <c r="D4" s="57"/>
      <c r="E4" s="53"/>
      <c r="G4" s="53"/>
      <c r="H4" s="57"/>
      <c r="I4" s="53"/>
      <c r="K4" s="53"/>
    </row>
    <row r="5" spans="3:11" ht="24.95" customHeight="1">
      <c r="C5" s="56"/>
      <c r="D5" s="58"/>
      <c r="E5" s="56"/>
      <c r="G5" s="56"/>
      <c r="H5" s="58"/>
      <c r="I5" s="56"/>
      <c r="K5" s="56"/>
    </row>
    <row r="6" spans="3:11" ht="24.95" customHeight="1">
      <c r="C6" s="56"/>
      <c r="D6" s="58"/>
      <c r="E6" s="56"/>
      <c r="G6" s="56"/>
      <c r="H6" s="58"/>
      <c r="I6" s="56"/>
      <c r="K6" s="56"/>
    </row>
    <row r="7" spans="3:11" ht="24.95" customHeight="1">
      <c r="C7" s="56"/>
      <c r="D7" s="58"/>
      <c r="E7" s="56"/>
      <c r="G7" s="56"/>
      <c r="H7" s="58"/>
      <c r="I7" s="56"/>
      <c r="K7" s="56"/>
    </row>
    <row r="8" spans="3:11" ht="24.95" customHeight="1">
      <c r="C8" s="56"/>
      <c r="D8" s="58"/>
      <c r="E8" s="56"/>
      <c r="G8" s="56"/>
      <c r="H8" s="58"/>
      <c r="I8" s="56"/>
      <c r="K8" s="56"/>
    </row>
    <row r="9" spans="3:11" ht="24.95" customHeight="1">
      <c r="C9" s="56"/>
      <c r="D9" s="58"/>
      <c r="E9" s="56"/>
      <c r="G9" s="56"/>
      <c r="H9" s="58"/>
      <c r="I9" s="56"/>
      <c r="K9" s="56"/>
    </row>
    <row r="10" spans="3:11" ht="24.95" customHeight="1">
      <c r="C10" s="56"/>
      <c r="D10" s="58"/>
      <c r="E10" s="56"/>
      <c r="G10" s="56"/>
      <c r="H10" s="58"/>
      <c r="I10" s="56"/>
      <c r="K10" s="56"/>
    </row>
    <row r="11" spans="3:11" ht="24.95" customHeight="1">
      <c r="C11" s="56"/>
      <c r="D11" s="58"/>
      <c r="E11" s="56"/>
      <c r="G11" s="56"/>
      <c r="H11" s="58"/>
      <c r="I11" s="56"/>
      <c r="K11" s="56"/>
    </row>
    <row r="12" spans="3:11" ht="24.95" customHeight="1">
      <c r="C12" s="56"/>
      <c r="D12" s="58"/>
      <c r="E12" s="56"/>
      <c r="G12" s="56"/>
      <c r="H12" s="58"/>
      <c r="I12" s="56"/>
      <c r="K12" s="56"/>
    </row>
    <row r="13" spans="3:11" ht="24.95" customHeight="1">
      <c r="C13" s="56"/>
      <c r="D13" s="58"/>
      <c r="E13" s="56"/>
      <c r="G13" s="56"/>
      <c r="H13" s="58"/>
      <c r="I13" s="56"/>
      <c r="K13" s="56"/>
    </row>
    <row r="14" spans="3:11" ht="24.95" customHeight="1">
      <c r="C14" s="56"/>
      <c r="D14" s="58"/>
      <c r="E14" s="56"/>
      <c r="G14" s="56"/>
      <c r="H14" s="58"/>
      <c r="I14" s="56"/>
      <c r="K14" s="56"/>
    </row>
    <row r="15" spans="3:11" ht="24.95" customHeight="1">
      <c r="C15" s="56"/>
      <c r="D15" s="58"/>
      <c r="E15" s="56"/>
      <c r="G15" s="56"/>
      <c r="H15" s="58"/>
      <c r="I15" s="56"/>
      <c r="K15" s="56"/>
    </row>
    <row r="16" spans="3:11" ht="24.95" customHeight="1">
      <c r="C16" s="56"/>
      <c r="D16" s="58"/>
      <c r="E16" s="56"/>
      <c r="G16" s="56"/>
      <c r="H16" s="58"/>
      <c r="I16" s="56"/>
      <c r="K16" s="56"/>
    </row>
    <row r="17" spans="3:11" ht="24.95" customHeight="1">
      <c r="C17" s="56"/>
      <c r="D17" s="58"/>
      <c r="E17" s="56"/>
      <c r="G17" s="56"/>
      <c r="H17" s="58"/>
      <c r="I17" s="56"/>
      <c r="K17" s="56"/>
    </row>
    <row r="18" spans="3:11" ht="24.95" customHeight="1">
      <c r="C18" s="56"/>
      <c r="D18" s="58"/>
      <c r="E18" s="56"/>
      <c r="G18" s="56"/>
      <c r="H18" s="58"/>
      <c r="I18" s="56"/>
      <c r="K18" s="56"/>
    </row>
    <row r="19" spans="3:11" ht="24.95" customHeight="1">
      <c r="C19" s="56"/>
      <c r="D19" s="58"/>
      <c r="E19" s="56"/>
      <c r="G19" s="56"/>
      <c r="H19" s="58"/>
      <c r="I19" s="56"/>
      <c r="K19" s="56"/>
    </row>
    <row r="20" spans="3:11" ht="24.95" customHeight="1">
      <c r="C20" s="56"/>
      <c r="D20" s="58"/>
      <c r="E20" s="56"/>
      <c r="G20" s="56"/>
      <c r="H20" s="58"/>
      <c r="I20" s="56"/>
      <c r="K20" s="56"/>
    </row>
    <row r="21" spans="3:11" ht="24.95" customHeight="1">
      <c r="C21" s="56"/>
      <c r="D21" s="58"/>
      <c r="E21" s="56"/>
      <c r="G21" s="56"/>
      <c r="H21" s="58"/>
      <c r="I21" s="56"/>
      <c r="K21" s="56"/>
    </row>
    <row r="22" spans="3:11" ht="24.95" customHeight="1">
      <c r="C22" s="56"/>
      <c r="D22" s="58"/>
      <c r="E22" s="56"/>
      <c r="G22" s="56"/>
      <c r="H22" s="58"/>
      <c r="I22" s="56"/>
      <c r="K22" s="56"/>
    </row>
    <row r="23" spans="3:11" ht="24.95" customHeight="1">
      <c r="C23" s="56"/>
      <c r="D23" s="58"/>
      <c r="E23" s="56"/>
      <c r="G23" s="56"/>
      <c r="H23" s="58"/>
      <c r="I23" s="56"/>
      <c r="K23" s="56"/>
    </row>
    <row r="24" spans="3:11" ht="24.95" customHeight="1">
      <c r="C24" s="56"/>
      <c r="D24" s="58"/>
      <c r="E24" s="56"/>
      <c r="G24" s="56"/>
      <c r="H24" s="58"/>
      <c r="I24" s="56"/>
      <c r="K24" s="56"/>
    </row>
    <row r="25" spans="3:11" ht="24.95" customHeight="1">
      <c r="C25" s="56"/>
      <c r="D25" s="58"/>
      <c r="E25" s="56"/>
      <c r="G25" s="56"/>
      <c r="H25" s="58"/>
      <c r="I25" s="56"/>
      <c r="K25" s="56"/>
    </row>
    <row r="26" spans="3:11" ht="24.95" customHeight="1">
      <c r="C26" s="56"/>
      <c r="D26" s="58"/>
      <c r="E26" s="56"/>
      <c r="G26" s="56"/>
      <c r="H26" s="58"/>
      <c r="I26" s="56"/>
      <c r="K26" s="56"/>
    </row>
    <row r="27" spans="3:11" ht="24.95" customHeight="1">
      <c r="C27" s="56"/>
      <c r="D27" s="58"/>
      <c r="E27" s="56"/>
      <c r="G27" s="56"/>
      <c r="H27" s="58"/>
      <c r="I27" s="56"/>
      <c r="K27" s="56"/>
    </row>
    <row r="28" spans="3:11" ht="24.95" customHeight="1">
      <c r="C28" s="56"/>
      <c r="D28" s="58"/>
      <c r="E28" s="56"/>
      <c r="G28" s="56"/>
      <c r="H28" s="58"/>
      <c r="I28" s="56"/>
      <c r="K28" s="56"/>
    </row>
    <row r="29" spans="3:11" ht="24.95" customHeight="1">
      <c r="C29" s="56"/>
      <c r="D29" s="58"/>
      <c r="E29" s="56"/>
      <c r="G29" s="56"/>
      <c r="H29" s="58"/>
      <c r="I29" s="56"/>
      <c r="K29" s="56"/>
    </row>
    <row r="30" spans="3:11" ht="24.95" customHeight="1">
      <c r="C30" s="56"/>
      <c r="D30" s="58"/>
      <c r="E30" s="56"/>
      <c r="G30" s="56"/>
      <c r="H30" s="58"/>
      <c r="I30" s="56"/>
      <c r="K30" s="56"/>
    </row>
    <row r="31" spans="3:11" ht="24.95" customHeight="1">
      <c r="C31" s="56"/>
      <c r="D31" s="58"/>
      <c r="E31" s="56"/>
      <c r="G31" s="56"/>
      <c r="H31" s="58"/>
      <c r="I31" s="56"/>
      <c r="K31" s="56"/>
    </row>
    <row r="32" spans="3:11" ht="24.95" customHeight="1">
      <c r="C32" s="56"/>
      <c r="D32" s="58"/>
      <c r="E32" s="56"/>
      <c r="G32" s="56"/>
      <c r="H32" s="58"/>
      <c r="I32" s="56"/>
      <c r="K32" s="56"/>
    </row>
    <row r="33" spans="3:11" ht="24.95" customHeight="1">
      <c r="C33" s="56"/>
      <c r="D33" s="58"/>
      <c r="E33" s="56"/>
      <c r="G33" s="56"/>
      <c r="H33" s="58"/>
      <c r="I33" s="56"/>
      <c r="K33" s="56"/>
    </row>
    <row r="34" spans="3:11" ht="24.95" customHeight="1">
      <c r="C34" s="56"/>
      <c r="D34" s="58"/>
      <c r="E34" s="56"/>
      <c r="G34" s="56"/>
      <c r="H34" s="58"/>
      <c r="I34" s="56"/>
      <c r="K34" s="56"/>
    </row>
  </sheetData>
  <pageMargins left="0.70866141732283472" right="0.70866141732283472" top="0.74803149606299213" bottom="0.74803149606299213" header="0.31496062992125984" footer="0.31496062992125984"/>
  <pageSetup paperSize="9" scale="61" orientation="landscape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C3:I34"/>
  <sheetViews>
    <sheetView showGridLines="0" workbookViewId="0">
      <selection activeCell="B1" sqref="B1"/>
    </sheetView>
  </sheetViews>
  <sheetFormatPr defaultRowHeight="14.25"/>
  <cols>
    <col min="2" max="2" width="1.75" customWidth="1"/>
    <col min="3" max="3" width="15.75" customWidth="1"/>
    <col min="4" max="4" width="1.75" customWidth="1"/>
    <col min="5" max="5" width="15.75" customWidth="1"/>
    <col min="6" max="6" width="1.75" customWidth="1"/>
    <col min="7" max="7" width="15.75" customWidth="1"/>
    <col min="8" max="8" width="1.75" customWidth="1"/>
    <col min="9" max="9" width="20.75" customWidth="1"/>
  </cols>
  <sheetData>
    <row r="3" spans="3:9" ht="24.95" customHeight="1">
      <c r="C3" s="53" t="s">
        <v>71</v>
      </c>
      <c r="D3" s="57"/>
      <c r="E3" s="53" t="s">
        <v>75</v>
      </c>
      <c r="G3" s="53" t="s">
        <v>72</v>
      </c>
      <c r="I3" s="53" t="s">
        <v>74</v>
      </c>
    </row>
    <row r="4" spans="3:9" ht="24.95" customHeight="1">
      <c r="C4" s="53"/>
      <c r="D4" s="57"/>
      <c r="E4" s="53"/>
      <c r="G4" s="53"/>
      <c r="I4" s="53"/>
    </row>
    <row r="5" spans="3:9" ht="24.95" customHeight="1">
      <c r="C5" s="56"/>
      <c r="D5" s="58"/>
      <c r="E5" s="56"/>
      <c r="G5" s="56"/>
      <c r="I5" s="56"/>
    </row>
    <row r="6" spans="3:9" ht="24.95" customHeight="1">
      <c r="C6" s="56"/>
      <c r="D6" s="58"/>
      <c r="E6" s="56"/>
      <c r="G6" s="56"/>
      <c r="I6" s="56"/>
    </row>
    <row r="7" spans="3:9" ht="24.95" customHeight="1">
      <c r="C7" s="56"/>
      <c r="D7" s="58"/>
      <c r="E7" s="56"/>
      <c r="G7" s="56"/>
      <c r="I7" s="56"/>
    </row>
    <row r="8" spans="3:9" ht="24.95" customHeight="1">
      <c r="C8" s="56"/>
      <c r="D8" s="58"/>
      <c r="E8" s="56"/>
      <c r="G8" s="56"/>
      <c r="I8" s="56"/>
    </row>
    <row r="9" spans="3:9" ht="24.95" customHeight="1">
      <c r="C9" s="56"/>
      <c r="D9" s="58"/>
      <c r="E9" s="56"/>
      <c r="G9" s="56"/>
      <c r="I9" s="56"/>
    </row>
    <row r="10" spans="3:9" ht="24.95" customHeight="1">
      <c r="C10" s="56"/>
      <c r="D10" s="58"/>
      <c r="E10" s="56"/>
      <c r="G10" s="56"/>
      <c r="I10" s="56"/>
    </row>
    <row r="11" spans="3:9" ht="24.95" customHeight="1">
      <c r="C11" s="56"/>
      <c r="D11" s="58"/>
      <c r="E11" s="56"/>
      <c r="G11" s="56"/>
      <c r="I11" s="56"/>
    </row>
    <row r="12" spans="3:9" ht="24.95" customHeight="1">
      <c r="C12" s="56"/>
      <c r="D12" s="58"/>
      <c r="E12" s="56"/>
      <c r="G12" s="56"/>
      <c r="I12" s="56"/>
    </row>
    <row r="13" spans="3:9" ht="24.95" customHeight="1">
      <c r="C13" s="56"/>
      <c r="D13" s="58"/>
      <c r="E13" s="56"/>
      <c r="G13" s="56"/>
      <c r="I13" s="56"/>
    </row>
    <row r="14" spans="3:9" ht="24.95" customHeight="1">
      <c r="C14" s="56"/>
      <c r="D14" s="58"/>
      <c r="E14" s="56"/>
      <c r="G14" s="56"/>
      <c r="I14" s="56"/>
    </row>
    <row r="15" spans="3:9" ht="24.95" customHeight="1">
      <c r="C15" s="56"/>
      <c r="D15" s="58"/>
      <c r="E15" s="56"/>
      <c r="G15" s="56"/>
      <c r="I15" s="56"/>
    </row>
    <row r="16" spans="3:9" ht="24.95" customHeight="1">
      <c r="C16" s="56"/>
      <c r="D16" s="58"/>
      <c r="E16" s="56"/>
      <c r="G16" s="56"/>
      <c r="I16" s="56"/>
    </row>
    <row r="17" spans="3:9" ht="24.95" customHeight="1">
      <c r="C17" s="56"/>
      <c r="D17" s="58"/>
      <c r="E17" s="56"/>
      <c r="G17" s="56"/>
      <c r="I17" s="56"/>
    </row>
    <row r="18" spans="3:9" ht="24.95" customHeight="1">
      <c r="C18" s="56"/>
      <c r="D18" s="58"/>
      <c r="E18" s="56"/>
      <c r="G18" s="56"/>
      <c r="I18" s="56"/>
    </row>
    <row r="19" spans="3:9" ht="24.95" customHeight="1">
      <c r="C19" s="56"/>
      <c r="D19" s="58"/>
      <c r="E19" s="56"/>
      <c r="G19" s="56"/>
      <c r="I19" s="56"/>
    </row>
    <row r="20" spans="3:9" ht="24.95" customHeight="1">
      <c r="C20" s="56"/>
      <c r="D20" s="58"/>
      <c r="E20" s="56"/>
      <c r="G20" s="56"/>
      <c r="I20" s="56"/>
    </row>
    <row r="21" spans="3:9" ht="24.95" customHeight="1">
      <c r="C21" s="56"/>
      <c r="D21" s="58"/>
      <c r="E21" s="56"/>
      <c r="G21" s="56"/>
      <c r="I21" s="56"/>
    </row>
    <row r="22" spans="3:9" ht="24.95" customHeight="1">
      <c r="C22" s="56"/>
      <c r="D22" s="58"/>
      <c r="E22" s="56"/>
      <c r="G22" s="56"/>
      <c r="I22" s="56"/>
    </row>
    <row r="23" spans="3:9" ht="24.95" customHeight="1">
      <c r="C23" s="56"/>
      <c r="D23" s="58"/>
      <c r="E23" s="56"/>
      <c r="G23" s="56"/>
      <c r="I23" s="56"/>
    </row>
    <row r="24" spans="3:9" ht="24.95" customHeight="1">
      <c r="C24" s="56"/>
      <c r="D24" s="58"/>
      <c r="E24" s="56"/>
      <c r="G24" s="56"/>
      <c r="I24" s="56"/>
    </row>
    <row r="25" spans="3:9" ht="24.95" customHeight="1">
      <c r="C25" s="56"/>
      <c r="D25" s="58"/>
      <c r="E25" s="56"/>
      <c r="G25" s="56"/>
      <c r="I25" s="56"/>
    </row>
    <row r="26" spans="3:9" ht="24.95" customHeight="1">
      <c r="C26" s="56"/>
      <c r="D26" s="58"/>
      <c r="E26" s="56"/>
      <c r="G26" s="56"/>
      <c r="I26" s="56"/>
    </row>
    <row r="27" spans="3:9" ht="24.95" customHeight="1">
      <c r="C27" s="56"/>
      <c r="D27" s="58"/>
      <c r="E27" s="56"/>
      <c r="G27" s="56"/>
      <c r="I27" s="56"/>
    </row>
    <row r="28" spans="3:9" ht="24.95" customHeight="1">
      <c r="C28" s="56"/>
      <c r="D28" s="58"/>
      <c r="E28" s="56"/>
      <c r="G28" s="56"/>
      <c r="I28" s="56"/>
    </row>
    <row r="29" spans="3:9" ht="24.95" customHeight="1">
      <c r="C29" s="56"/>
      <c r="D29" s="58"/>
      <c r="E29" s="56"/>
      <c r="G29" s="56"/>
      <c r="I29" s="56"/>
    </row>
    <row r="30" spans="3:9" ht="24.95" customHeight="1">
      <c r="C30" s="56"/>
      <c r="D30" s="58"/>
      <c r="E30" s="56"/>
      <c r="G30" s="56"/>
      <c r="I30" s="56"/>
    </row>
    <row r="31" spans="3:9" ht="24.95" customHeight="1">
      <c r="C31" s="56"/>
      <c r="D31" s="58"/>
      <c r="E31" s="56"/>
      <c r="G31" s="56"/>
      <c r="I31" s="56"/>
    </row>
    <row r="32" spans="3:9" ht="24.95" customHeight="1">
      <c r="C32" s="56"/>
      <c r="D32" s="58"/>
      <c r="E32" s="56"/>
      <c r="G32" s="56"/>
      <c r="I32" s="56"/>
    </row>
    <row r="33" spans="3:9" ht="24.95" customHeight="1">
      <c r="C33" s="56"/>
      <c r="D33" s="58"/>
      <c r="E33" s="56"/>
      <c r="G33" s="56"/>
      <c r="I33" s="56"/>
    </row>
    <row r="34" spans="3:9" ht="24.95" customHeight="1">
      <c r="C34" s="56"/>
      <c r="D34" s="58"/>
      <c r="E34" s="56"/>
      <c r="G34" s="56"/>
      <c r="I34" s="56"/>
    </row>
  </sheetData>
  <pageMargins left="0.70866141732283472" right="0.70866141732283472" top="0.74803149606299213" bottom="0.74803149606299213" header="0.31496062992125984" footer="0.31496062992125984"/>
  <pageSetup paperSize="9" scale="92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B50"/>
  <sheetViews>
    <sheetView showGridLines="0" topLeftCell="I1" zoomScale="85" zoomScaleNormal="85" workbookViewId="0">
      <selection activeCell="W4" sqref="W4"/>
    </sheetView>
  </sheetViews>
  <sheetFormatPr defaultRowHeight="14.25"/>
  <cols>
    <col min="1" max="1" width="17.5" bestFit="1" customWidth="1"/>
    <col min="2" max="2" width="9" style="87"/>
    <col min="5" max="5" width="12" bestFit="1" customWidth="1"/>
    <col min="7" max="7" width="10.25" bestFit="1" customWidth="1"/>
    <col min="8" max="8" width="9.75" bestFit="1" customWidth="1"/>
    <col min="9" max="9" width="9.875" bestFit="1" customWidth="1"/>
    <col min="11" max="11" width="12.125" bestFit="1" customWidth="1"/>
    <col min="12" max="12" width="15.5" bestFit="1" customWidth="1"/>
    <col min="13" max="16" width="9.875" customWidth="1"/>
    <col min="17" max="17" width="11.375" bestFit="1" customWidth="1"/>
    <col min="18" max="18" width="14.375" bestFit="1" customWidth="1"/>
    <col min="19" max="19" width="9.875" customWidth="1"/>
    <col min="20" max="20" width="10.375" bestFit="1" customWidth="1"/>
    <col min="21" max="25" width="9.875" customWidth="1"/>
    <col min="26" max="26" width="14" hidden="1" customWidth="1"/>
    <col min="27" max="27" width="9.625" hidden="1" customWidth="1"/>
    <col min="28" max="28" width="14" hidden="1" customWidth="1"/>
    <col min="29" max="100" width="9.875" customWidth="1"/>
    <col min="101" max="1000" width="10.75" customWidth="1"/>
    <col min="1001" max="10000" width="11.625" customWidth="1"/>
    <col min="10001" max="16384" width="12.5" customWidth="1"/>
  </cols>
  <sheetData>
    <row r="1" spans="1:28">
      <c r="B1"/>
    </row>
    <row r="2" spans="1:28">
      <c r="C2" s="88">
        <v>4.5</v>
      </c>
      <c r="D2" s="88">
        <v>2.6</v>
      </c>
      <c r="E2" s="88">
        <v>2.6</v>
      </c>
      <c r="F2" s="88">
        <v>2.6</v>
      </c>
      <c r="G2" s="88">
        <v>2.6</v>
      </c>
      <c r="H2" s="88">
        <v>2.6</v>
      </c>
      <c r="I2" s="88">
        <v>2.6</v>
      </c>
      <c r="J2" s="88">
        <v>2.6</v>
      </c>
      <c r="K2" s="88">
        <v>2.6</v>
      </c>
      <c r="L2" s="88">
        <v>2.6</v>
      </c>
      <c r="M2" s="88">
        <v>2.6</v>
      </c>
      <c r="N2" s="88">
        <v>2.6</v>
      </c>
      <c r="O2" s="88">
        <v>2.6</v>
      </c>
      <c r="P2" s="88">
        <v>2.6</v>
      </c>
      <c r="Q2" s="88">
        <v>2.6</v>
      </c>
      <c r="R2" s="88">
        <v>2.6</v>
      </c>
      <c r="S2" s="88">
        <v>2.6</v>
      </c>
      <c r="T2" s="88">
        <v>2.6</v>
      </c>
      <c r="U2" s="88">
        <v>2.6</v>
      </c>
      <c r="V2" s="88">
        <v>2.6</v>
      </c>
    </row>
    <row r="3" spans="1:28" ht="15">
      <c r="A3" s="89" t="s">
        <v>148</v>
      </c>
      <c r="C3" s="88">
        <f t="shared" ref="C3:V3" si="0">SUM(C8:C112)</f>
        <v>3</v>
      </c>
      <c r="D3" s="88">
        <f t="shared" si="0"/>
        <v>1</v>
      </c>
      <c r="E3" s="88">
        <f t="shared" si="0"/>
        <v>1</v>
      </c>
      <c r="F3" s="88">
        <f t="shared" si="0"/>
        <v>3</v>
      </c>
      <c r="G3" s="88">
        <f t="shared" si="0"/>
        <v>0</v>
      </c>
      <c r="H3" s="88">
        <f t="shared" si="0"/>
        <v>1</v>
      </c>
      <c r="I3" s="88">
        <f t="shared" si="0"/>
        <v>1</v>
      </c>
      <c r="J3" s="88">
        <f t="shared" si="0"/>
        <v>31</v>
      </c>
      <c r="K3" s="88">
        <f t="shared" si="0"/>
        <v>1</v>
      </c>
      <c r="L3" s="88">
        <f t="shared" si="0"/>
        <v>1</v>
      </c>
      <c r="M3" s="88">
        <f t="shared" si="0"/>
        <v>0</v>
      </c>
      <c r="N3" s="88">
        <f t="shared" si="0"/>
        <v>1</v>
      </c>
      <c r="O3" s="88">
        <f t="shared" si="0"/>
        <v>1</v>
      </c>
      <c r="P3" s="88">
        <f t="shared" si="0"/>
        <v>20</v>
      </c>
      <c r="Q3" s="88">
        <f t="shared" si="0"/>
        <v>2</v>
      </c>
      <c r="R3" s="88">
        <f t="shared" si="0"/>
        <v>13</v>
      </c>
      <c r="S3" s="88">
        <f t="shared" si="0"/>
        <v>0</v>
      </c>
      <c r="T3" s="88">
        <f t="shared" si="0"/>
        <v>6</v>
      </c>
      <c r="U3" s="88">
        <f t="shared" si="0"/>
        <v>3</v>
      </c>
      <c r="V3" s="88">
        <f t="shared" si="0"/>
        <v>16</v>
      </c>
    </row>
    <row r="4" spans="1:28">
      <c r="C4" s="90">
        <f>C3*C2</f>
        <v>13.5</v>
      </c>
      <c r="D4" s="90">
        <f t="shared" ref="D4:V4" si="1">D3*D2</f>
        <v>2.6</v>
      </c>
      <c r="E4" s="90">
        <f>E3*E2</f>
        <v>2.6</v>
      </c>
      <c r="F4" s="90">
        <f t="shared" si="1"/>
        <v>7.8000000000000007</v>
      </c>
      <c r="G4" s="90">
        <f t="shared" si="1"/>
        <v>0</v>
      </c>
      <c r="H4" s="90">
        <f t="shared" si="1"/>
        <v>2.6</v>
      </c>
      <c r="I4" s="90">
        <f t="shared" si="1"/>
        <v>2.6</v>
      </c>
      <c r="J4" s="90">
        <f t="shared" si="1"/>
        <v>80.600000000000009</v>
      </c>
      <c r="K4" s="90">
        <f t="shared" si="1"/>
        <v>2.6</v>
      </c>
      <c r="L4" s="90">
        <f t="shared" si="1"/>
        <v>2.6</v>
      </c>
      <c r="M4" s="90">
        <f t="shared" si="1"/>
        <v>0</v>
      </c>
      <c r="N4" s="90">
        <f t="shared" si="1"/>
        <v>2.6</v>
      </c>
      <c r="O4" s="90">
        <f t="shared" si="1"/>
        <v>2.6</v>
      </c>
      <c r="P4" s="90">
        <f t="shared" si="1"/>
        <v>52</v>
      </c>
      <c r="Q4" s="90">
        <f t="shared" si="1"/>
        <v>5.2</v>
      </c>
      <c r="R4" s="90">
        <f t="shared" si="1"/>
        <v>33.800000000000004</v>
      </c>
      <c r="S4" s="90">
        <f t="shared" si="1"/>
        <v>0</v>
      </c>
      <c r="T4" s="90">
        <f t="shared" si="1"/>
        <v>15.600000000000001</v>
      </c>
      <c r="U4" s="90">
        <f t="shared" si="1"/>
        <v>7.8000000000000007</v>
      </c>
      <c r="V4" s="90">
        <f t="shared" si="1"/>
        <v>41.6</v>
      </c>
    </row>
    <row r="6" spans="1:28">
      <c r="B6"/>
    </row>
    <row r="7" spans="1:28" ht="15">
      <c r="C7" s="89" t="s">
        <v>149</v>
      </c>
      <c r="D7" s="89" t="s">
        <v>150</v>
      </c>
      <c r="E7" s="89" t="s">
        <v>151</v>
      </c>
      <c r="F7" s="89" t="s">
        <v>152</v>
      </c>
      <c r="G7" s="89" t="s">
        <v>153</v>
      </c>
      <c r="H7" s="89" t="s">
        <v>154</v>
      </c>
      <c r="I7" s="89" t="s">
        <v>155</v>
      </c>
      <c r="J7" s="89" t="s">
        <v>156</v>
      </c>
      <c r="K7" s="89" t="s">
        <v>157</v>
      </c>
      <c r="L7" s="89" t="s">
        <v>158</v>
      </c>
      <c r="M7" s="89" t="s">
        <v>159</v>
      </c>
      <c r="N7" s="89" t="s">
        <v>160</v>
      </c>
      <c r="O7" s="89" t="s">
        <v>161</v>
      </c>
      <c r="P7" s="89" t="s">
        <v>162</v>
      </c>
      <c r="Q7" s="89" t="s">
        <v>163</v>
      </c>
      <c r="R7" s="89" t="s">
        <v>164</v>
      </c>
      <c r="S7" s="89" t="s">
        <v>165</v>
      </c>
      <c r="T7" s="89" t="s">
        <v>166</v>
      </c>
      <c r="U7" s="89" t="s">
        <v>167</v>
      </c>
      <c r="V7" s="89" t="s">
        <v>168</v>
      </c>
      <c r="W7" s="89" t="s">
        <v>169</v>
      </c>
      <c r="X7" s="89" t="s">
        <v>170</v>
      </c>
      <c r="Z7" s="89" t="s">
        <v>171</v>
      </c>
      <c r="AB7" s="89" t="s">
        <v>172</v>
      </c>
    </row>
    <row r="8" spans="1:28" ht="15">
      <c r="A8" s="84" t="s">
        <v>136</v>
      </c>
      <c r="B8" s="91"/>
      <c r="C8" s="92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>
        <f t="shared" ref="W8:W50" si="2">SUBTOTAL(9,C8:V8)</f>
        <v>0</v>
      </c>
      <c r="X8" s="90">
        <f t="shared" ref="X8:X50" si="3">SUMPRODUCT(C8:V8,$C$2:$V$2)</f>
        <v>0</v>
      </c>
      <c r="Z8" s="93">
        <f>SUM(C4:V4)</f>
        <v>278.7</v>
      </c>
      <c r="AB8" s="93">
        <v>1000</v>
      </c>
    </row>
    <row r="9" spans="1:28">
      <c r="A9" s="84" t="s">
        <v>137</v>
      </c>
      <c r="B9" s="91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>
        <f t="shared" si="2"/>
        <v>0</v>
      </c>
      <c r="X9" s="90">
        <f t="shared" si="3"/>
        <v>0</v>
      </c>
    </row>
    <row r="10" spans="1:28" ht="15">
      <c r="A10" s="84" t="s">
        <v>15</v>
      </c>
      <c r="B10" s="91"/>
      <c r="C10" s="84"/>
      <c r="D10" s="84"/>
      <c r="E10" s="84"/>
      <c r="F10" s="84"/>
      <c r="G10" s="84"/>
      <c r="H10" s="84"/>
      <c r="I10" s="84"/>
      <c r="J10" s="84">
        <v>1</v>
      </c>
      <c r="K10" s="84"/>
      <c r="L10" s="84"/>
      <c r="M10" s="84"/>
      <c r="N10" s="84"/>
      <c r="O10" s="84"/>
      <c r="P10" s="84">
        <v>1</v>
      </c>
      <c r="Q10" s="84"/>
      <c r="R10" s="84">
        <v>1</v>
      </c>
      <c r="S10" s="84"/>
      <c r="T10" s="84"/>
      <c r="U10" s="84"/>
      <c r="V10" s="84">
        <v>1</v>
      </c>
      <c r="W10">
        <f t="shared" si="2"/>
        <v>4</v>
      </c>
      <c r="X10" s="90">
        <f t="shared" si="3"/>
        <v>10.4</v>
      </c>
      <c r="AA10" s="94" t="s">
        <v>173</v>
      </c>
    </row>
    <row r="11" spans="1:28" ht="15">
      <c r="A11" s="84" t="s">
        <v>16</v>
      </c>
      <c r="B11" s="91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>
        <f t="shared" si="2"/>
        <v>0</v>
      </c>
      <c r="X11" s="90">
        <f t="shared" si="3"/>
        <v>0</v>
      </c>
      <c r="AA11" s="93">
        <f>AB8-Z8</f>
        <v>721.3</v>
      </c>
    </row>
    <row r="12" spans="1:28">
      <c r="A12" s="84" t="s">
        <v>139</v>
      </c>
      <c r="B12" s="91"/>
      <c r="C12" s="84">
        <v>1</v>
      </c>
      <c r="D12" s="84">
        <v>1</v>
      </c>
      <c r="E12" s="84">
        <v>1</v>
      </c>
      <c r="F12" s="84">
        <v>1</v>
      </c>
      <c r="G12" s="84"/>
      <c r="H12" s="84">
        <v>1</v>
      </c>
      <c r="I12" s="84"/>
      <c r="J12" s="84">
        <v>3</v>
      </c>
      <c r="K12" s="84">
        <v>1</v>
      </c>
      <c r="L12" s="84">
        <v>1</v>
      </c>
      <c r="M12" s="84"/>
      <c r="N12" s="84">
        <v>1</v>
      </c>
      <c r="O12" s="84">
        <v>1</v>
      </c>
      <c r="P12" s="84"/>
      <c r="Q12" s="84"/>
      <c r="R12" s="84"/>
      <c r="S12" s="84"/>
      <c r="T12" s="84">
        <v>1</v>
      </c>
      <c r="U12" s="84">
        <v>1</v>
      </c>
      <c r="V12" s="84"/>
      <c r="W12">
        <f t="shared" si="2"/>
        <v>14</v>
      </c>
      <c r="X12" s="90">
        <f t="shared" si="3"/>
        <v>38.300000000000004</v>
      </c>
    </row>
    <row r="13" spans="1:28">
      <c r="A13" s="84" t="s">
        <v>17</v>
      </c>
      <c r="B13" s="91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>
        <f t="shared" si="2"/>
        <v>0</v>
      </c>
      <c r="X13" s="90">
        <f t="shared" si="3"/>
        <v>0</v>
      </c>
    </row>
    <row r="14" spans="1:28">
      <c r="A14" s="84" t="s">
        <v>140</v>
      </c>
      <c r="B14" s="91"/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>
        <f t="shared" si="2"/>
        <v>0</v>
      </c>
      <c r="X14" s="90">
        <f t="shared" si="3"/>
        <v>0</v>
      </c>
    </row>
    <row r="15" spans="1:28">
      <c r="A15" s="84" t="s">
        <v>110</v>
      </c>
      <c r="B15" s="91"/>
      <c r="C15" s="84">
        <v>1</v>
      </c>
      <c r="D15" s="84"/>
      <c r="E15" s="84"/>
      <c r="F15" s="84"/>
      <c r="G15" s="84"/>
      <c r="H15" s="84"/>
      <c r="I15" s="84"/>
      <c r="J15" s="84">
        <v>1</v>
      </c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>
        <f t="shared" si="2"/>
        <v>2</v>
      </c>
      <c r="X15" s="90">
        <f t="shared" si="3"/>
        <v>7.1</v>
      </c>
    </row>
    <row r="16" spans="1:28">
      <c r="A16" s="84" t="s">
        <v>18</v>
      </c>
      <c r="B16" s="91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>
        <f t="shared" si="2"/>
        <v>0</v>
      </c>
      <c r="X16" s="90">
        <f t="shared" si="3"/>
        <v>0</v>
      </c>
    </row>
    <row r="17" spans="1:24">
      <c r="A17" s="84" t="s">
        <v>122</v>
      </c>
      <c r="B17" s="91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>
        <f t="shared" si="2"/>
        <v>0</v>
      </c>
      <c r="X17" s="90">
        <f t="shared" si="3"/>
        <v>0</v>
      </c>
    </row>
    <row r="18" spans="1:24">
      <c r="A18" s="84" t="s">
        <v>81</v>
      </c>
      <c r="B18" s="91"/>
      <c r="C18" s="84"/>
      <c r="D18" s="84"/>
      <c r="E18" s="84"/>
      <c r="F18" s="84"/>
      <c r="G18" s="84"/>
      <c r="H18" s="84"/>
      <c r="I18" s="84"/>
      <c r="J18" s="84">
        <v>1</v>
      </c>
      <c r="K18" s="84"/>
      <c r="L18" s="84"/>
      <c r="M18" s="84"/>
      <c r="N18" s="84"/>
      <c r="O18" s="84"/>
      <c r="P18" s="84">
        <v>1</v>
      </c>
      <c r="Q18" s="84"/>
      <c r="R18" s="84">
        <v>1</v>
      </c>
      <c r="S18" s="84"/>
      <c r="T18" s="84"/>
      <c r="U18" s="84"/>
      <c r="V18" s="84">
        <v>1</v>
      </c>
      <c r="W18">
        <f t="shared" si="2"/>
        <v>4</v>
      </c>
      <c r="X18" s="90">
        <f t="shared" si="3"/>
        <v>10.4</v>
      </c>
    </row>
    <row r="19" spans="1:24">
      <c r="A19" s="84" t="s">
        <v>138</v>
      </c>
      <c r="B19" s="91"/>
      <c r="C19" s="84"/>
      <c r="D19" s="84"/>
      <c r="E19" s="84"/>
      <c r="F19" s="84"/>
      <c r="G19" s="84"/>
      <c r="H19" s="84"/>
      <c r="I19" s="84"/>
      <c r="J19" s="84">
        <v>1</v>
      </c>
      <c r="K19" s="84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>
        <f t="shared" si="2"/>
        <v>1</v>
      </c>
      <c r="X19" s="90">
        <f t="shared" si="3"/>
        <v>2.6</v>
      </c>
    </row>
    <row r="20" spans="1:24">
      <c r="A20" s="84" t="s">
        <v>141</v>
      </c>
      <c r="B20" s="91"/>
      <c r="C20" s="84"/>
      <c r="D20" s="84"/>
      <c r="E20" s="84"/>
      <c r="F20" s="84"/>
      <c r="G20" s="84"/>
      <c r="H20" s="84"/>
      <c r="I20" s="84"/>
      <c r="J20" s="84">
        <v>1</v>
      </c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>
        <f t="shared" si="2"/>
        <v>1</v>
      </c>
      <c r="X20" s="90">
        <f t="shared" si="3"/>
        <v>2.6</v>
      </c>
    </row>
    <row r="21" spans="1:24">
      <c r="A21" s="84" t="s">
        <v>142</v>
      </c>
      <c r="B21" s="91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>
        <f t="shared" si="2"/>
        <v>0</v>
      </c>
      <c r="X21" s="90">
        <f t="shared" si="3"/>
        <v>0</v>
      </c>
    </row>
    <row r="22" spans="1:24">
      <c r="A22" s="84" t="s">
        <v>101</v>
      </c>
      <c r="B22" s="91"/>
      <c r="C22" s="84"/>
      <c r="D22" s="84"/>
      <c r="E22" s="84"/>
      <c r="F22" s="84"/>
      <c r="G22" s="84"/>
      <c r="H22" s="84"/>
      <c r="I22" s="84"/>
      <c r="J22" s="84">
        <v>1</v>
      </c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>
        <f t="shared" si="2"/>
        <v>1</v>
      </c>
      <c r="X22" s="90">
        <f t="shared" si="3"/>
        <v>2.6</v>
      </c>
    </row>
    <row r="23" spans="1:24">
      <c r="A23" s="84" t="s">
        <v>143</v>
      </c>
      <c r="B23" s="91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>
        <v>1</v>
      </c>
      <c r="Q23" s="84"/>
      <c r="R23" s="84"/>
      <c r="S23" s="84"/>
      <c r="T23" s="84"/>
      <c r="U23" s="84"/>
      <c r="V23" s="84">
        <v>2</v>
      </c>
      <c r="W23">
        <f t="shared" si="2"/>
        <v>3</v>
      </c>
      <c r="X23" s="90">
        <f t="shared" si="3"/>
        <v>7.8000000000000007</v>
      </c>
    </row>
    <row r="24" spans="1:24">
      <c r="A24" s="84" t="s">
        <v>90</v>
      </c>
      <c r="B24" s="91"/>
      <c r="C24" s="84"/>
      <c r="D24" s="84"/>
      <c r="E24" s="84"/>
      <c r="F24" s="84"/>
      <c r="G24" s="84"/>
      <c r="H24" s="84"/>
      <c r="I24" s="84"/>
      <c r="J24" s="84">
        <v>1</v>
      </c>
      <c r="K24" s="84"/>
      <c r="L24" s="84"/>
      <c r="M24" s="84"/>
      <c r="N24" s="84"/>
      <c r="O24" s="84"/>
      <c r="P24" s="84">
        <v>1</v>
      </c>
      <c r="Q24" s="84"/>
      <c r="R24" s="84"/>
      <c r="S24" s="84"/>
      <c r="T24" s="84">
        <v>2</v>
      </c>
      <c r="U24" s="84"/>
      <c r="V24" s="84"/>
      <c r="W24">
        <f t="shared" si="2"/>
        <v>4</v>
      </c>
      <c r="X24" s="90">
        <f t="shared" si="3"/>
        <v>10.4</v>
      </c>
    </row>
    <row r="25" spans="1:24">
      <c r="A25" s="84" t="s">
        <v>125</v>
      </c>
      <c r="B25" s="91"/>
      <c r="C25" s="84"/>
      <c r="D25" s="84"/>
      <c r="E25" s="84"/>
      <c r="F25" s="84"/>
      <c r="G25" s="84"/>
      <c r="H25" s="84"/>
      <c r="I25" s="84"/>
      <c r="J25" s="84">
        <v>1</v>
      </c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>
        <f t="shared" si="2"/>
        <v>1</v>
      </c>
      <c r="X25" s="90">
        <f t="shared" si="3"/>
        <v>2.6</v>
      </c>
    </row>
    <row r="26" spans="1:24">
      <c r="A26" s="84" t="s">
        <v>91</v>
      </c>
      <c r="B26" s="91"/>
      <c r="C26" s="84"/>
      <c r="D26" s="84"/>
      <c r="E26" s="84"/>
      <c r="F26" s="84"/>
      <c r="G26" s="84"/>
      <c r="H26" s="84"/>
      <c r="I26" s="84"/>
      <c r="J26" s="84">
        <v>1</v>
      </c>
      <c r="K26" s="84"/>
      <c r="L26" s="84"/>
      <c r="M26" s="84"/>
      <c r="N26" s="84"/>
      <c r="O26" s="84"/>
      <c r="P26" s="84"/>
      <c r="Q26" s="84">
        <v>1</v>
      </c>
      <c r="R26" s="84"/>
      <c r="S26" s="84"/>
      <c r="T26" s="84"/>
      <c r="U26" s="84"/>
      <c r="V26" s="84">
        <v>1</v>
      </c>
      <c r="W26">
        <f t="shared" si="2"/>
        <v>3</v>
      </c>
      <c r="X26" s="90">
        <f t="shared" si="3"/>
        <v>7.8000000000000007</v>
      </c>
    </row>
    <row r="27" spans="1:24">
      <c r="A27" s="84" t="s">
        <v>144</v>
      </c>
      <c r="B27" s="91"/>
      <c r="C27" s="84"/>
      <c r="D27" s="84"/>
      <c r="E27" s="84"/>
      <c r="F27" s="84"/>
      <c r="G27" s="84"/>
      <c r="H27" s="84"/>
      <c r="I27" s="84"/>
      <c r="J27" s="84">
        <v>1</v>
      </c>
      <c r="K27" s="84"/>
      <c r="L27" s="84"/>
      <c r="M27" s="84"/>
      <c r="N27" s="84"/>
      <c r="O27" s="84"/>
      <c r="P27" s="84">
        <v>1</v>
      </c>
      <c r="Q27" s="84"/>
      <c r="R27" s="84">
        <v>1</v>
      </c>
      <c r="S27" s="84"/>
      <c r="T27" s="84"/>
      <c r="U27" s="84"/>
      <c r="V27" s="84">
        <v>1</v>
      </c>
      <c r="W27">
        <f t="shared" si="2"/>
        <v>4</v>
      </c>
      <c r="X27" s="90">
        <f t="shared" si="3"/>
        <v>10.4</v>
      </c>
    </row>
    <row r="28" spans="1:24">
      <c r="A28" s="95" t="s">
        <v>19</v>
      </c>
      <c r="B28" s="91"/>
      <c r="C28" s="84"/>
      <c r="D28" s="84"/>
      <c r="E28" s="84"/>
      <c r="F28" s="84">
        <v>1</v>
      </c>
      <c r="G28" s="84"/>
      <c r="H28" s="84"/>
      <c r="I28" s="84"/>
      <c r="J28" s="84">
        <v>1</v>
      </c>
      <c r="K28" s="84"/>
      <c r="L28" s="84"/>
      <c r="M28" s="84"/>
      <c r="N28" s="84"/>
      <c r="O28" s="84"/>
      <c r="P28" s="84">
        <v>1</v>
      </c>
      <c r="Q28" s="84"/>
      <c r="R28" s="84">
        <v>1</v>
      </c>
      <c r="S28" s="84"/>
      <c r="T28" s="84">
        <v>1</v>
      </c>
      <c r="U28" s="84"/>
      <c r="V28" s="84"/>
      <c r="W28">
        <f t="shared" si="2"/>
        <v>5</v>
      </c>
      <c r="X28" s="90">
        <f t="shared" si="3"/>
        <v>13</v>
      </c>
    </row>
    <row r="29" spans="1:24">
      <c r="A29" s="84" t="s">
        <v>27</v>
      </c>
      <c r="B29" s="91"/>
      <c r="C29" s="84"/>
      <c r="D29" s="84"/>
      <c r="E29" s="84"/>
      <c r="F29" s="84"/>
      <c r="G29" s="84"/>
      <c r="H29" s="84"/>
      <c r="I29" s="84"/>
      <c r="J29" s="84">
        <v>1</v>
      </c>
      <c r="K29" s="84"/>
      <c r="L29" s="84"/>
      <c r="M29" s="84"/>
      <c r="N29" s="84"/>
      <c r="O29" s="84"/>
      <c r="P29" s="84">
        <v>1</v>
      </c>
      <c r="Q29" s="84"/>
      <c r="R29" s="84">
        <v>1</v>
      </c>
      <c r="S29" s="84"/>
      <c r="T29" s="84"/>
      <c r="U29" s="84"/>
      <c r="V29" s="84">
        <v>1</v>
      </c>
      <c r="W29">
        <f t="shared" si="2"/>
        <v>4</v>
      </c>
      <c r="X29" s="90">
        <f t="shared" si="3"/>
        <v>10.4</v>
      </c>
    </row>
    <row r="30" spans="1:24">
      <c r="A30" s="84" t="s">
        <v>111</v>
      </c>
      <c r="B30" s="91"/>
      <c r="C30" s="84"/>
      <c r="D30" s="84"/>
      <c r="E30" s="84"/>
      <c r="F30" s="84"/>
      <c r="G30" s="84"/>
      <c r="H30" s="84"/>
      <c r="I30" s="84"/>
      <c r="J30" s="84">
        <v>1</v>
      </c>
      <c r="K30" s="84"/>
      <c r="L30" s="84"/>
      <c r="M30" s="84"/>
      <c r="N30" s="84"/>
      <c r="O30" s="84"/>
      <c r="P30" s="84">
        <v>1</v>
      </c>
      <c r="Q30" s="84"/>
      <c r="R30" s="84">
        <v>1</v>
      </c>
      <c r="S30" s="84"/>
      <c r="T30" s="84"/>
      <c r="U30" s="84"/>
      <c r="V30" s="84">
        <v>1</v>
      </c>
      <c r="W30">
        <f t="shared" si="2"/>
        <v>4</v>
      </c>
      <c r="X30" s="90">
        <f t="shared" si="3"/>
        <v>10.4</v>
      </c>
    </row>
    <row r="31" spans="1:24">
      <c r="A31" s="84" t="s">
        <v>97</v>
      </c>
      <c r="B31" s="91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>
        <f t="shared" si="2"/>
        <v>0</v>
      </c>
      <c r="X31" s="90">
        <f t="shared" si="3"/>
        <v>0</v>
      </c>
    </row>
    <row r="32" spans="1:24">
      <c r="A32" s="84" t="s">
        <v>130</v>
      </c>
      <c r="B32" s="91"/>
      <c r="C32" s="84">
        <v>1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>
        <v>1</v>
      </c>
      <c r="Q32" s="84"/>
      <c r="R32" s="84">
        <v>1</v>
      </c>
      <c r="S32" s="84"/>
      <c r="T32" s="84"/>
      <c r="U32" s="84"/>
      <c r="V32" s="84">
        <v>2</v>
      </c>
      <c r="W32">
        <f t="shared" si="2"/>
        <v>5</v>
      </c>
      <c r="X32" s="90">
        <f t="shared" si="3"/>
        <v>14.899999999999999</v>
      </c>
    </row>
    <row r="33" spans="1:24">
      <c r="A33" s="84" t="s">
        <v>21</v>
      </c>
      <c r="B33" s="91"/>
      <c r="C33" s="84"/>
      <c r="D33" s="84"/>
      <c r="E33" s="84"/>
      <c r="F33" s="84"/>
      <c r="G33" s="84"/>
      <c r="H33" s="84"/>
      <c r="I33" s="84"/>
      <c r="J33" s="84">
        <v>1</v>
      </c>
      <c r="K33" s="84"/>
      <c r="L33" s="84"/>
      <c r="M33" s="84"/>
      <c r="N33" s="84"/>
      <c r="O33" s="84"/>
      <c r="P33" s="84">
        <v>2</v>
      </c>
      <c r="Q33" s="84"/>
      <c r="R33" s="84">
        <v>1</v>
      </c>
      <c r="S33" s="84"/>
      <c r="T33" s="84"/>
      <c r="U33" s="84">
        <v>2</v>
      </c>
      <c r="V33" s="84"/>
      <c r="W33">
        <f t="shared" si="2"/>
        <v>6</v>
      </c>
      <c r="X33" s="90">
        <f t="shared" si="3"/>
        <v>15.600000000000001</v>
      </c>
    </row>
    <row r="34" spans="1:24">
      <c r="A34" s="84" t="s">
        <v>82</v>
      </c>
      <c r="B34" s="9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>
        <f t="shared" si="2"/>
        <v>0</v>
      </c>
      <c r="X34" s="90">
        <f t="shared" si="3"/>
        <v>0</v>
      </c>
    </row>
    <row r="35" spans="1:24">
      <c r="A35" s="84" t="s">
        <v>78</v>
      </c>
      <c r="B35" s="91"/>
      <c r="C35" s="84"/>
      <c r="D35" s="84"/>
      <c r="E35" s="84"/>
      <c r="F35" s="84"/>
      <c r="G35" s="84"/>
      <c r="H35" s="84"/>
      <c r="I35" s="84"/>
      <c r="J35" s="84">
        <v>1</v>
      </c>
      <c r="K35" s="84"/>
      <c r="L35" s="84"/>
      <c r="M35" s="84"/>
      <c r="N35" s="84"/>
      <c r="O35" s="84"/>
      <c r="P35" s="84">
        <v>1</v>
      </c>
      <c r="Q35" s="84"/>
      <c r="R35" s="84">
        <v>1</v>
      </c>
      <c r="S35" s="84"/>
      <c r="T35" s="84"/>
      <c r="U35" s="84"/>
      <c r="V35" s="84">
        <v>1</v>
      </c>
      <c r="W35">
        <f t="shared" si="2"/>
        <v>4</v>
      </c>
      <c r="X35" s="90">
        <f t="shared" si="3"/>
        <v>10.4</v>
      </c>
    </row>
    <row r="36" spans="1:24">
      <c r="A36" s="84" t="s">
        <v>22</v>
      </c>
      <c r="B36" s="91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>
        <f t="shared" si="2"/>
        <v>0</v>
      </c>
      <c r="X36" s="90">
        <f t="shared" si="3"/>
        <v>0</v>
      </c>
    </row>
    <row r="37" spans="1:24">
      <c r="A37" s="84" t="s">
        <v>145</v>
      </c>
      <c r="B37" s="91"/>
      <c r="C37" s="84"/>
      <c r="D37" s="84"/>
      <c r="E37" s="84"/>
      <c r="F37" s="84"/>
      <c r="G37" s="84"/>
      <c r="H37" s="84"/>
      <c r="I37" s="84"/>
      <c r="J37" s="84">
        <v>1</v>
      </c>
      <c r="K37" s="84"/>
      <c r="L37" s="84"/>
      <c r="M37" s="84"/>
      <c r="N37" s="84"/>
      <c r="O37" s="84"/>
      <c r="P37" s="84">
        <v>1</v>
      </c>
      <c r="Q37" s="84"/>
      <c r="R37" s="84"/>
      <c r="S37" s="84"/>
      <c r="T37" s="84"/>
      <c r="U37" s="84"/>
      <c r="V37" s="84"/>
      <c r="W37">
        <f t="shared" si="2"/>
        <v>2</v>
      </c>
      <c r="X37" s="90">
        <f t="shared" si="3"/>
        <v>5.2</v>
      </c>
    </row>
    <row r="38" spans="1:24">
      <c r="A38" s="84" t="s">
        <v>146</v>
      </c>
      <c r="B38" s="9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>
        <f t="shared" si="2"/>
        <v>0</v>
      </c>
      <c r="X38" s="90">
        <f t="shared" si="3"/>
        <v>0</v>
      </c>
    </row>
    <row r="39" spans="1:24">
      <c r="A39" s="84" t="s">
        <v>23</v>
      </c>
      <c r="B39" s="9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>
        <v>1</v>
      </c>
      <c r="Q39" s="84"/>
      <c r="R39" s="84">
        <v>1</v>
      </c>
      <c r="S39" s="84"/>
      <c r="T39" s="84"/>
      <c r="U39" s="84"/>
      <c r="V39" s="84">
        <v>1</v>
      </c>
      <c r="W39">
        <f t="shared" si="2"/>
        <v>3</v>
      </c>
      <c r="X39" s="90">
        <f t="shared" si="3"/>
        <v>7.8000000000000007</v>
      </c>
    </row>
    <row r="40" spans="1:24">
      <c r="A40" s="84" t="s">
        <v>96</v>
      </c>
      <c r="B40" s="9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>
        <f t="shared" si="2"/>
        <v>0</v>
      </c>
      <c r="X40" s="90">
        <f t="shared" si="3"/>
        <v>0</v>
      </c>
    </row>
    <row r="41" spans="1:24">
      <c r="A41" s="84" t="s">
        <v>24</v>
      </c>
      <c r="B41" s="91"/>
      <c r="C41" s="84"/>
      <c r="D41" s="84"/>
      <c r="E41" s="84"/>
      <c r="F41" s="84"/>
      <c r="G41" s="84"/>
      <c r="H41" s="84"/>
      <c r="I41" s="84"/>
      <c r="J41" s="84">
        <v>1</v>
      </c>
      <c r="K41" s="84"/>
      <c r="L41" s="84"/>
      <c r="M41" s="84"/>
      <c r="N41" s="84"/>
      <c r="O41" s="84"/>
      <c r="P41" s="84">
        <v>1</v>
      </c>
      <c r="Q41" s="84"/>
      <c r="R41" s="84"/>
      <c r="S41" s="84"/>
      <c r="T41" s="84"/>
      <c r="U41" s="84"/>
      <c r="V41" s="84"/>
      <c r="W41">
        <f t="shared" si="2"/>
        <v>2</v>
      </c>
      <c r="X41" s="90">
        <f t="shared" si="3"/>
        <v>5.2</v>
      </c>
    </row>
    <row r="42" spans="1:24">
      <c r="A42" s="84" t="s">
        <v>147</v>
      </c>
      <c r="B42" s="91" t="s">
        <v>77</v>
      </c>
      <c r="C42" s="84"/>
      <c r="D42" s="84"/>
      <c r="E42" s="84"/>
      <c r="F42" s="84">
        <v>1</v>
      </c>
      <c r="G42" s="84"/>
      <c r="H42" s="84"/>
      <c r="I42" s="84"/>
      <c r="J42" s="84">
        <v>1</v>
      </c>
      <c r="K42" s="84"/>
      <c r="L42" s="84"/>
      <c r="M42" s="84"/>
      <c r="N42" s="84"/>
      <c r="O42" s="84"/>
      <c r="P42" s="84">
        <v>1</v>
      </c>
      <c r="Q42" s="84">
        <v>1</v>
      </c>
      <c r="R42" s="84"/>
      <c r="S42" s="84"/>
      <c r="T42" s="84">
        <v>2</v>
      </c>
      <c r="U42" s="84"/>
      <c r="V42" s="84">
        <v>1</v>
      </c>
      <c r="W42">
        <f t="shared" si="2"/>
        <v>7</v>
      </c>
      <c r="X42" s="90">
        <f t="shared" si="3"/>
        <v>18.200000000000003</v>
      </c>
    </row>
    <row r="43" spans="1:24">
      <c r="A43" s="84" t="s">
        <v>440</v>
      </c>
      <c r="B43" s="91"/>
      <c r="C43" s="84"/>
      <c r="D43" s="84"/>
      <c r="E43" s="84"/>
      <c r="F43" s="84"/>
      <c r="G43" s="84"/>
      <c r="H43" s="84"/>
      <c r="I43" s="84"/>
      <c r="J43" s="84">
        <v>1</v>
      </c>
      <c r="K43" s="84"/>
      <c r="L43" s="84"/>
      <c r="M43" s="84"/>
      <c r="N43" s="84"/>
      <c r="O43" s="84"/>
      <c r="P43" s="84">
        <v>2</v>
      </c>
      <c r="Q43" s="84"/>
      <c r="R43" s="84">
        <v>1</v>
      </c>
      <c r="S43" s="84"/>
      <c r="T43" s="84"/>
      <c r="U43" s="84"/>
      <c r="V43" s="84">
        <v>1</v>
      </c>
      <c r="W43">
        <f t="shared" si="2"/>
        <v>5</v>
      </c>
      <c r="X43" s="90">
        <f t="shared" si="3"/>
        <v>13</v>
      </c>
    </row>
    <row r="44" spans="1:24">
      <c r="A44" s="84" t="s">
        <v>25</v>
      </c>
      <c r="B44" s="91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>
        <f t="shared" si="2"/>
        <v>0</v>
      </c>
      <c r="X44" s="90">
        <f t="shared" si="3"/>
        <v>0</v>
      </c>
    </row>
    <row r="45" spans="1:24">
      <c r="A45" s="84" t="s">
        <v>129</v>
      </c>
      <c r="B45" s="91"/>
      <c r="C45" s="84"/>
      <c r="D45" s="84"/>
      <c r="E45" s="84"/>
      <c r="F45" s="84"/>
      <c r="G45" s="84"/>
      <c r="H45" s="84"/>
      <c r="I45" s="84"/>
      <c r="J45" s="84">
        <v>1</v>
      </c>
      <c r="K45" s="84"/>
      <c r="L45" s="84"/>
      <c r="M45" s="84"/>
      <c r="N45" s="84"/>
      <c r="O45" s="84"/>
      <c r="P45" s="84">
        <v>1</v>
      </c>
      <c r="Q45" s="84"/>
      <c r="R45" s="84">
        <v>1</v>
      </c>
      <c r="S45" s="84"/>
      <c r="T45" s="84"/>
      <c r="U45" s="84"/>
      <c r="V45" s="84">
        <v>1</v>
      </c>
      <c r="W45">
        <f t="shared" si="2"/>
        <v>4</v>
      </c>
      <c r="X45" s="90">
        <f t="shared" si="3"/>
        <v>10.4</v>
      </c>
    </row>
    <row r="46" spans="1:24">
      <c r="A46" s="84" t="s">
        <v>121</v>
      </c>
      <c r="B46" s="91"/>
      <c r="C46" s="84"/>
      <c r="D46" s="84"/>
      <c r="E46" s="84"/>
      <c r="F46" s="84"/>
      <c r="G46" s="84"/>
      <c r="H46" s="84"/>
      <c r="I46" s="84"/>
      <c r="J46" s="84">
        <v>4</v>
      </c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>
        <f t="shared" si="2"/>
        <v>4</v>
      </c>
      <c r="X46" s="90">
        <f t="shared" si="3"/>
        <v>10.4</v>
      </c>
    </row>
    <row r="47" spans="1:24">
      <c r="A47" s="84" t="s">
        <v>133</v>
      </c>
      <c r="B47" s="91"/>
      <c r="C47" s="84"/>
      <c r="D47" s="84"/>
      <c r="E47" s="84"/>
      <c r="F47" s="84"/>
      <c r="G47" s="84"/>
      <c r="H47" s="84"/>
      <c r="I47" s="84">
        <v>1</v>
      </c>
      <c r="J47" s="84">
        <v>2</v>
      </c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>
        <f t="shared" si="2"/>
        <v>3</v>
      </c>
      <c r="X47" s="90">
        <f t="shared" si="3"/>
        <v>7.8000000000000007</v>
      </c>
    </row>
    <row r="48" spans="1:24">
      <c r="A48" s="84" t="s">
        <v>126</v>
      </c>
      <c r="B48" s="9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>
        <f t="shared" si="2"/>
        <v>0</v>
      </c>
      <c r="X48" s="90">
        <f t="shared" si="3"/>
        <v>0</v>
      </c>
    </row>
    <row r="49" spans="1:24">
      <c r="A49" s="84" t="s">
        <v>466</v>
      </c>
      <c r="B49" s="91"/>
      <c r="C49" s="84"/>
      <c r="D49" s="84"/>
      <c r="E49" s="84"/>
      <c r="F49" s="84"/>
      <c r="G49" s="84"/>
      <c r="H49" s="84"/>
      <c r="I49" s="84"/>
      <c r="J49" s="84">
        <v>1</v>
      </c>
      <c r="K49" s="84"/>
      <c r="L49" s="84"/>
      <c r="M49" s="84"/>
      <c r="N49" s="84"/>
      <c r="O49" s="84"/>
      <c r="P49" s="84">
        <v>1</v>
      </c>
      <c r="Q49" s="84"/>
      <c r="R49" s="84">
        <v>1</v>
      </c>
      <c r="S49" s="84"/>
      <c r="T49" s="84"/>
      <c r="U49" s="84"/>
      <c r="V49" s="84">
        <v>1</v>
      </c>
      <c r="W49">
        <f t="shared" si="2"/>
        <v>4</v>
      </c>
      <c r="X49" s="90">
        <f t="shared" si="3"/>
        <v>10.4</v>
      </c>
    </row>
    <row r="50" spans="1:24">
      <c r="A50" s="84" t="s">
        <v>174</v>
      </c>
      <c r="B50" s="91"/>
      <c r="C50" s="84"/>
      <c r="D50" s="84"/>
      <c r="E50" s="84"/>
      <c r="F50" s="84"/>
      <c r="G50" s="84"/>
      <c r="H50" s="84"/>
      <c r="I50" s="84"/>
      <c r="J50" s="84">
        <v>1</v>
      </c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>
        <f t="shared" si="2"/>
        <v>1</v>
      </c>
      <c r="X50" s="90">
        <f t="shared" si="3"/>
        <v>2.6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C58"/>
  <sheetViews>
    <sheetView showGridLines="0" showZeros="0" topLeftCell="L1" zoomScale="85" zoomScaleNormal="85" workbookViewId="0">
      <pane ySplit="7" topLeftCell="A22" activePane="bottomLeft" state="frozen"/>
      <selection activeCell="J1" sqref="J1"/>
      <selection pane="bottomLeft" activeCell="Z42" sqref="Z42"/>
    </sheetView>
  </sheetViews>
  <sheetFormatPr defaultRowHeight="14.25"/>
  <cols>
    <col min="1" max="1" width="17.5" bestFit="1" customWidth="1"/>
    <col min="2" max="2" width="2.75" style="87" customWidth="1"/>
    <col min="3" max="3" width="10.125" bestFit="1" customWidth="1"/>
    <col min="4" max="4" width="10.875" bestFit="1" customWidth="1"/>
    <col min="5" max="5" width="15.125" bestFit="1" customWidth="1"/>
    <col min="6" max="6" width="11.625" bestFit="1" customWidth="1"/>
    <col min="7" max="7" width="13.375" bestFit="1" customWidth="1"/>
    <col min="8" max="9" width="13.25" bestFit="1" customWidth="1"/>
    <col min="10" max="10" width="10.125" bestFit="1" customWidth="1"/>
    <col min="11" max="11" width="16" bestFit="1" customWidth="1"/>
    <col min="12" max="12" width="19.75" bestFit="1" customWidth="1"/>
    <col min="13" max="13" width="10.375" bestFit="1" customWidth="1"/>
    <col min="14" max="14" width="9.625" bestFit="1" customWidth="1"/>
    <col min="15" max="15" width="10" bestFit="1" customWidth="1"/>
    <col min="16" max="16" width="10.125" bestFit="1" customWidth="1"/>
    <col min="17" max="17" width="15.125" bestFit="1" customWidth="1"/>
    <col min="18" max="18" width="18.125" bestFit="1" customWidth="1"/>
    <col min="19" max="19" width="12.375" bestFit="1" customWidth="1"/>
    <col min="20" max="20" width="14.125" bestFit="1" customWidth="1"/>
    <col min="21" max="21" width="9.125" bestFit="1" customWidth="1"/>
    <col min="22" max="22" width="11.5" bestFit="1" customWidth="1"/>
    <col min="24" max="24" width="11.75" bestFit="1" customWidth="1"/>
    <col min="25" max="25" width="11.5" bestFit="1" customWidth="1"/>
    <col min="26" max="26" width="4.875" style="98" customWidth="1"/>
    <col min="27" max="27" width="14" bestFit="1" customWidth="1"/>
    <col min="28" max="28" width="10.25" bestFit="1" customWidth="1"/>
    <col min="29" max="29" width="14" customWidth="1"/>
  </cols>
  <sheetData>
    <row r="1" spans="1:29" s="88" customFormat="1">
      <c r="B1" s="96"/>
      <c r="C1" s="88">
        <v>5.0999999999999996</v>
      </c>
      <c r="D1" s="88">
        <v>3.4</v>
      </c>
      <c r="E1" s="88">
        <v>3.4</v>
      </c>
      <c r="F1" s="88">
        <v>3.4</v>
      </c>
      <c r="G1" s="88">
        <v>3.4</v>
      </c>
      <c r="H1" s="88">
        <v>3.4</v>
      </c>
      <c r="I1" s="88">
        <v>3.4</v>
      </c>
      <c r="J1" s="88">
        <v>3.4</v>
      </c>
      <c r="K1" s="88">
        <v>3.4</v>
      </c>
      <c r="L1" s="88">
        <v>3.4</v>
      </c>
      <c r="M1" s="88">
        <v>3.4</v>
      </c>
      <c r="N1" s="88">
        <v>3.4</v>
      </c>
      <c r="O1" s="88">
        <v>3.4</v>
      </c>
      <c r="P1" s="88">
        <v>3.4</v>
      </c>
      <c r="Q1" s="88">
        <v>3.4</v>
      </c>
      <c r="R1" s="88">
        <v>3.4</v>
      </c>
      <c r="S1" s="88">
        <v>3.4</v>
      </c>
      <c r="T1" s="88">
        <v>3.4</v>
      </c>
      <c r="U1" s="88">
        <v>3.4</v>
      </c>
      <c r="V1" s="88">
        <v>3.4</v>
      </c>
      <c r="W1" s="97"/>
    </row>
    <row r="2" spans="1:29">
      <c r="C2" s="88">
        <v>4.5</v>
      </c>
      <c r="D2" s="88">
        <v>2.6</v>
      </c>
      <c r="E2" s="88">
        <v>2.6</v>
      </c>
      <c r="F2" s="88">
        <v>2.6</v>
      </c>
      <c r="G2" s="88">
        <v>2.6</v>
      </c>
      <c r="H2" s="88">
        <v>2.6</v>
      </c>
      <c r="I2" s="88">
        <v>2.6</v>
      </c>
      <c r="J2" s="88">
        <v>2.6</v>
      </c>
      <c r="K2" s="88">
        <v>2.6</v>
      </c>
      <c r="L2" s="88">
        <v>2.6</v>
      </c>
      <c r="M2" s="88">
        <v>2.6</v>
      </c>
      <c r="N2" s="88">
        <v>2.6</v>
      </c>
      <c r="O2" s="88">
        <v>2.6</v>
      </c>
      <c r="P2" s="88">
        <v>2.6</v>
      </c>
      <c r="Q2" s="88">
        <v>2.6</v>
      </c>
      <c r="R2" s="88">
        <v>2.6</v>
      </c>
      <c r="S2" s="88">
        <v>2.6</v>
      </c>
      <c r="T2" s="88">
        <v>2.6</v>
      </c>
      <c r="U2" s="88">
        <v>2.6</v>
      </c>
      <c r="V2" s="88">
        <v>2.6</v>
      </c>
      <c r="Z2"/>
    </row>
    <row r="3" spans="1:29">
      <c r="A3" s="85" t="s">
        <v>131</v>
      </c>
      <c r="C3" s="98">
        <f t="shared" ref="C3:V3" si="0">SUMIF($Z:$Z,"OK",C:C)</f>
        <v>12</v>
      </c>
      <c r="D3" s="98">
        <f t="shared" si="0"/>
        <v>4</v>
      </c>
      <c r="E3" s="98">
        <f t="shared" si="0"/>
        <v>4</v>
      </c>
      <c r="F3" s="98">
        <f t="shared" si="0"/>
        <v>12</v>
      </c>
      <c r="G3" s="98">
        <f t="shared" si="0"/>
        <v>0</v>
      </c>
      <c r="H3" s="98">
        <f t="shared" si="0"/>
        <v>4</v>
      </c>
      <c r="I3" s="98">
        <f t="shared" si="0"/>
        <v>4</v>
      </c>
      <c r="J3" s="98">
        <f t="shared" si="0"/>
        <v>68</v>
      </c>
      <c r="K3" s="98">
        <f t="shared" si="0"/>
        <v>4</v>
      </c>
      <c r="L3" s="98">
        <f t="shared" si="0"/>
        <v>4</v>
      </c>
      <c r="M3" s="98">
        <f t="shared" si="0"/>
        <v>0</v>
      </c>
      <c r="N3" s="98">
        <f t="shared" si="0"/>
        <v>4</v>
      </c>
      <c r="O3" s="98">
        <f t="shared" si="0"/>
        <v>4</v>
      </c>
      <c r="P3" s="98">
        <f t="shared" si="0"/>
        <v>44</v>
      </c>
      <c r="Q3" s="98">
        <f t="shared" si="0"/>
        <v>8</v>
      </c>
      <c r="R3" s="98">
        <f t="shared" si="0"/>
        <v>24</v>
      </c>
      <c r="S3" s="98">
        <f t="shared" si="0"/>
        <v>0</v>
      </c>
      <c r="T3" s="98">
        <f t="shared" si="0"/>
        <v>24</v>
      </c>
      <c r="U3" s="98">
        <f t="shared" si="0"/>
        <v>4</v>
      </c>
      <c r="V3" s="98">
        <f t="shared" si="0"/>
        <v>32</v>
      </c>
      <c r="Z3"/>
    </row>
    <row r="4" spans="1:29">
      <c r="A4" s="85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Z4"/>
    </row>
    <row r="5" spans="1:29" ht="15">
      <c r="A5" s="89" t="s">
        <v>175</v>
      </c>
      <c r="C5" s="90">
        <f>C3*C2</f>
        <v>54</v>
      </c>
      <c r="D5" s="90">
        <f t="shared" ref="D5:V5" si="1">D3*D2</f>
        <v>10.4</v>
      </c>
      <c r="E5" s="90">
        <f t="shared" si="1"/>
        <v>10.4</v>
      </c>
      <c r="F5" s="90">
        <f t="shared" si="1"/>
        <v>31.200000000000003</v>
      </c>
      <c r="G5" s="90">
        <f t="shared" si="1"/>
        <v>0</v>
      </c>
      <c r="H5" s="90">
        <f t="shared" si="1"/>
        <v>10.4</v>
      </c>
      <c r="I5" s="90">
        <f t="shared" si="1"/>
        <v>10.4</v>
      </c>
      <c r="J5" s="90">
        <f t="shared" si="1"/>
        <v>176.8</v>
      </c>
      <c r="K5" s="90">
        <f t="shared" si="1"/>
        <v>10.4</v>
      </c>
      <c r="L5" s="90">
        <f t="shared" si="1"/>
        <v>10.4</v>
      </c>
      <c r="M5" s="90">
        <f t="shared" si="1"/>
        <v>0</v>
      </c>
      <c r="N5" s="90">
        <f t="shared" si="1"/>
        <v>10.4</v>
      </c>
      <c r="O5" s="90">
        <f t="shared" si="1"/>
        <v>10.4</v>
      </c>
      <c r="P5" s="90">
        <f t="shared" si="1"/>
        <v>114.4</v>
      </c>
      <c r="Q5" s="90">
        <f t="shared" si="1"/>
        <v>20.8</v>
      </c>
      <c r="R5" s="90">
        <f t="shared" si="1"/>
        <v>62.400000000000006</v>
      </c>
      <c r="S5" s="90">
        <f t="shared" si="1"/>
        <v>0</v>
      </c>
      <c r="T5" s="90">
        <f t="shared" si="1"/>
        <v>62.400000000000006</v>
      </c>
      <c r="U5" s="90">
        <f t="shared" si="1"/>
        <v>10.4</v>
      </c>
      <c r="V5" s="90">
        <f t="shared" si="1"/>
        <v>83.2</v>
      </c>
      <c r="Z5"/>
    </row>
    <row r="6" spans="1:29">
      <c r="C6" s="88">
        <v>1</v>
      </c>
      <c r="D6" s="88">
        <v>2</v>
      </c>
      <c r="E6" s="88">
        <v>3</v>
      </c>
      <c r="F6" s="88">
        <v>4</v>
      </c>
      <c r="G6" s="88">
        <v>5</v>
      </c>
      <c r="H6" s="88">
        <v>6</v>
      </c>
      <c r="I6" s="88">
        <v>7</v>
      </c>
      <c r="J6" s="88">
        <v>8</v>
      </c>
      <c r="K6" s="88">
        <v>9</v>
      </c>
      <c r="L6" s="88">
        <v>10</v>
      </c>
      <c r="M6" s="88">
        <v>11</v>
      </c>
      <c r="N6" s="88">
        <v>12</v>
      </c>
      <c r="O6" s="88">
        <v>13</v>
      </c>
      <c r="P6" s="88">
        <v>14</v>
      </c>
      <c r="Q6" s="88">
        <v>15</v>
      </c>
      <c r="R6" s="88">
        <v>16</v>
      </c>
      <c r="S6" s="88">
        <v>17</v>
      </c>
      <c r="T6" s="88">
        <v>18</v>
      </c>
      <c r="U6" s="88">
        <v>19</v>
      </c>
      <c r="V6" s="88">
        <v>20</v>
      </c>
      <c r="Z6"/>
    </row>
    <row r="7" spans="1:29" ht="15">
      <c r="C7" s="89" t="s">
        <v>149</v>
      </c>
      <c r="D7" s="89" t="s">
        <v>150</v>
      </c>
      <c r="E7" s="89" t="s">
        <v>151</v>
      </c>
      <c r="F7" s="89" t="s">
        <v>152</v>
      </c>
      <c r="G7" s="89" t="s">
        <v>153</v>
      </c>
      <c r="H7" s="89" t="s">
        <v>154</v>
      </c>
      <c r="I7" s="89" t="s">
        <v>155</v>
      </c>
      <c r="J7" s="89" t="s">
        <v>156</v>
      </c>
      <c r="K7" s="89" t="s">
        <v>157</v>
      </c>
      <c r="L7" s="89" t="s">
        <v>158</v>
      </c>
      <c r="M7" s="89" t="s">
        <v>159</v>
      </c>
      <c r="N7" s="89" t="s">
        <v>160</v>
      </c>
      <c r="O7" s="89" t="s">
        <v>161</v>
      </c>
      <c r="P7" s="89" t="s">
        <v>162</v>
      </c>
      <c r="Q7" s="89" t="s">
        <v>176</v>
      </c>
      <c r="R7" s="89" t="s">
        <v>164</v>
      </c>
      <c r="S7" s="89" t="s">
        <v>165</v>
      </c>
      <c r="T7" s="89" t="s">
        <v>166</v>
      </c>
      <c r="U7" s="89" t="s">
        <v>167</v>
      </c>
      <c r="V7" s="89" t="s">
        <v>168</v>
      </c>
      <c r="W7" s="89" t="s">
        <v>169</v>
      </c>
      <c r="X7" s="89" t="s">
        <v>177</v>
      </c>
      <c r="Y7" s="89" t="s">
        <v>178</v>
      </c>
      <c r="Z7" s="99"/>
    </row>
    <row r="8" spans="1:29" ht="15">
      <c r="A8" s="84" t="s">
        <v>136</v>
      </c>
      <c r="B8" s="91"/>
      <c r="C8" s="92">
        <f>IFERROR(INDEX(Velas_máscara!$C$8:$V$52,MATCH(Velas!$A8,Velas_máscara!$A$8:$A$52,0),MATCH(Velas!C$7,Velas_máscara!$C$7:$V$7,0))*qtdsemana,"")</f>
        <v>0</v>
      </c>
      <c r="D8" s="92">
        <f>IFERROR(INDEX(Velas_máscara!$C$8:$V$52,MATCH(Velas!$A8,Velas_máscara!$A$8:$A$52,0),MATCH(Velas!D$7,Velas_máscara!$C$7:$V$7,0))*qtdsemana,"")</f>
        <v>0</v>
      </c>
      <c r="E8" s="92">
        <f>IFERROR(INDEX(Velas_máscara!$C$8:$V$52,MATCH(Velas!$A8,Velas_máscara!$A$8:$A$52,0),MATCH(Velas!E$7,Velas_máscara!$C$7:$V$7,0))*qtdsemana,"")</f>
        <v>0</v>
      </c>
      <c r="F8" s="92">
        <f>IFERROR(INDEX(Velas_máscara!$C$8:$V$52,MATCH(Velas!$A8,Velas_máscara!$A$8:$A$52,0),MATCH(Velas!F$7,Velas_máscara!$C$7:$V$7,0))*qtdsemana,"")</f>
        <v>0</v>
      </c>
      <c r="G8" s="92">
        <f>IFERROR(INDEX(Velas_máscara!$C$8:$V$52,MATCH(Velas!$A8,Velas_máscara!$A$8:$A$52,0),MATCH(Velas!G$7,Velas_máscara!$C$7:$V$7,0))*qtdsemana,"")</f>
        <v>0</v>
      </c>
      <c r="H8" s="92">
        <f>IFERROR(INDEX(Velas_máscara!$C$8:$V$52,MATCH(Velas!$A8,Velas_máscara!$A$8:$A$52,0),MATCH(Velas!H$7,Velas_máscara!$C$7:$V$7,0))*qtdsemana,"")</f>
        <v>0</v>
      </c>
      <c r="I8" s="92">
        <f>IFERROR(INDEX(Velas_máscara!$C$8:$V$52,MATCH(Velas!$A8,Velas_máscara!$A$8:$A$52,0),MATCH(Velas!I$7,Velas_máscara!$C$7:$V$7,0))*qtdsemana,"")</f>
        <v>0</v>
      </c>
      <c r="J8" s="92">
        <f>IFERROR(INDEX(Velas_máscara!$C$8:$V$52,MATCH(Velas!$A8,Velas_máscara!$A$8:$A$52,0),MATCH(Velas!J$7,Velas_máscara!$C$7:$V$7,0))*qtdsemana,"")</f>
        <v>0</v>
      </c>
      <c r="K8" s="92">
        <f>IFERROR(INDEX(Velas_máscara!$C$8:$V$52,MATCH(Velas!$A8,Velas_máscara!$A$8:$A$52,0),MATCH(Velas!K$7,Velas_máscara!$C$7:$V$7,0))*qtdsemana,"")</f>
        <v>0</v>
      </c>
      <c r="L8" s="92">
        <f>IFERROR(INDEX(Velas_máscara!$C$8:$V$52,MATCH(Velas!$A8,Velas_máscara!$A$8:$A$52,0),MATCH(Velas!L$7,Velas_máscara!$C$7:$V$7,0))*qtdsemana,"")</f>
        <v>0</v>
      </c>
      <c r="M8" s="92">
        <f>IFERROR(INDEX(Velas_máscara!$C$8:$V$52,MATCH(Velas!$A8,Velas_máscara!$A$8:$A$52,0),MATCH(Velas!M$7,Velas_máscara!$C$7:$V$7,0))*qtdsemana,"")</f>
        <v>0</v>
      </c>
      <c r="N8" s="92">
        <f>IFERROR(INDEX(Velas_máscara!$C$8:$V$52,MATCH(Velas!$A8,Velas_máscara!$A$8:$A$52,0),MATCH(Velas!N$7,Velas_máscara!$C$7:$V$7,0))*qtdsemana,"")</f>
        <v>0</v>
      </c>
      <c r="O8" s="92">
        <f>IFERROR(INDEX(Velas_máscara!$C$8:$V$52,MATCH(Velas!$A8,Velas_máscara!$A$8:$A$52,0),MATCH(Velas!O$7,Velas_máscara!$C$7:$V$7,0))*qtdsemana,"")</f>
        <v>0</v>
      </c>
      <c r="P8" s="92">
        <f>IFERROR(INDEX(Velas_máscara!$C$8:$V$52,MATCH(Velas!$A8,Velas_máscara!$A$8:$A$52,0),MATCH(Velas!P$7,Velas_máscara!$C$7:$V$7,0))*qtdsemana,"")</f>
        <v>0</v>
      </c>
      <c r="Q8" s="92">
        <f>IFERROR(INDEX(Velas_máscara!$C$8:$V$52,MATCH(Velas!$A8,Velas_máscara!$A$8:$A$52,0),MATCH(Velas!Q$7,Velas_máscara!$C$7:$V$7,0))*qtdsemana,"")</f>
        <v>0</v>
      </c>
      <c r="R8" s="92">
        <f>IFERROR(INDEX(Velas_máscara!$C$8:$V$52,MATCH(Velas!$A8,Velas_máscara!$A$8:$A$52,0),MATCH(Velas!R$7,Velas_máscara!$C$7:$V$7,0))*qtdsemana,"")</f>
        <v>0</v>
      </c>
      <c r="S8" s="92">
        <f>IFERROR(INDEX(Velas_máscara!$C$8:$V$52,MATCH(Velas!$A8,Velas_máscara!$A$8:$A$52,0),MATCH(Velas!S$7,Velas_máscara!$C$7:$V$7,0))*qtdsemana,"")</f>
        <v>0</v>
      </c>
      <c r="T8" s="92">
        <f>IFERROR(INDEX(Velas_máscara!$C$8:$V$52,MATCH(Velas!$A8,Velas_máscara!$A$8:$A$52,0),MATCH(Velas!T$7,Velas_máscara!$C$7:$V$7,0))*qtdsemana,"")</f>
        <v>0</v>
      </c>
      <c r="U8" s="92">
        <f>IFERROR(INDEX(Velas_máscara!$C$8:$V$52,MATCH(Velas!$A8,Velas_máscara!$A$8:$A$52,0),MATCH(Velas!U$7,Velas_máscara!$C$7:$V$7,0))*qtdsemana,"")</f>
        <v>0</v>
      </c>
      <c r="V8" s="92">
        <f>IFERROR(INDEX(Velas_máscara!$C$8:$V$52,MATCH(Velas!$A8,Velas_máscara!$A$8:$A$52,0),MATCH(Velas!V$7,Velas_máscara!$C$7:$V$7,0))*qtdsemana,"")</f>
        <v>0</v>
      </c>
      <c r="W8">
        <f t="shared" ref="W8:W43" si="2">SUBTOTAL(9,C8:V8)</f>
        <v>0</v>
      </c>
      <c r="X8" s="90">
        <f t="shared" ref="X8:X50" si="3">SUMPRODUCT(C8:V8,$C$2:$V$2)</f>
        <v>0</v>
      </c>
      <c r="Y8" s="90">
        <f t="shared" ref="Y8:Y50" si="4">SUMPRODUCT(C8:V8,$C$1:$V$1)</f>
        <v>0</v>
      </c>
      <c r="AA8" s="89" t="s">
        <v>171</v>
      </c>
      <c r="AC8" s="89" t="s">
        <v>172</v>
      </c>
    </row>
    <row r="9" spans="1:29" ht="15">
      <c r="A9" s="84" t="s">
        <v>137</v>
      </c>
      <c r="B9" s="91"/>
      <c r="C9" s="92">
        <f>IFERROR(INDEX(Velas_máscara!$C$8:$V$52,MATCH(Velas!$A9,Velas_máscara!$A$8:$A$52,0),MATCH(Velas!C$7,Velas_máscara!$C$7:$V$7,0))*qtdsemana,"")</f>
        <v>0</v>
      </c>
      <c r="D9" s="92">
        <f>IFERROR(INDEX(Velas_máscara!$C$8:$V$52,MATCH(Velas!$A9,Velas_máscara!$A$8:$A$52,0),MATCH(Velas!D$7,Velas_máscara!$C$7:$V$7,0))*qtdsemana,"")</f>
        <v>0</v>
      </c>
      <c r="E9" s="92">
        <f>IFERROR(INDEX(Velas_máscara!$C$8:$V$52,MATCH(Velas!$A9,Velas_máscara!$A$8:$A$52,0),MATCH(Velas!E$7,Velas_máscara!$C$7:$V$7,0))*qtdsemana,"")</f>
        <v>0</v>
      </c>
      <c r="F9" s="92">
        <f>IFERROR(INDEX(Velas_máscara!$C$8:$V$52,MATCH(Velas!$A9,Velas_máscara!$A$8:$A$52,0),MATCH(Velas!F$7,Velas_máscara!$C$7:$V$7,0))*qtdsemana,"")</f>
        <v>0</v>
      </c>
      <c r="G9" s="92">
        <f>IFERROR(INDEX(Velas_máscara!$C$8:$V$52,MATCH(Velas!$A9,Velas_máscara!$A$8:$A$52,0),MATCH(Velas!G$7,Velas_máscara!$C$7:$V$7,0))*qtdsemana,"")</f>
        <v>0</v>
      </c>
      <c r="H9" s="92">
        <f>IFERROR(INDEX(Velas_máscara!$C$8:$V$52,MATCH(Velas!$A9,Velas_máscara!$A$8:$A$52,0),MATCH(Velas!H$7,Velas_máscara!$C$7:$V$7,0))*qtdsemana,"")</f>
        <v>0</v>
      </c>
      <c r="I9" s="92">
        <f>IFERROR(INDEX(Velas_máscara!$C$8:$V$52,MATCH(Velas!$A9,Velas_máscara!$A$8:$A$52,0),MATCH(Velas!I$7,Velas_máscara!$C$7:$V$7,0))*qtdsemana,"")</f>
        <v>0</v>
      </c>
      <c r="J9" s="92">
        <f>IFERROR(INDEX(Velas_máscara!$C$8:$V$52,MATCH(Velas!$A9,Velas_máscara!$A$8:$A$52,0),MATCH(Velas!J$7,Velas_máscara!$C$7:$V$7,0))*qtdsemana,"")</f>
        <v>0</v>
      </c>
      <c r="K9" s="92">
        <f>IFERROR(INDEX(Velas_máscara!$C$8:$V$52,MATCH(Velas!$A9,Velas_máscara!$A$8:$A$52,0),MATCH(Velas!K$7,Velas_máscara!$C$7:$V$7,0))*qtdsemana,"")</f>
        <v>0</v>
      </c>
      <c r="L9" s="92">
        <f>IFERROR(INDEX(Velas_máscara!$C$8:$V$52,MATCH(Velas!$A9,Velas_máscara!$A$8:$A$52,0),MATCH(Velas!L$7,Velas_máscara!$C$7:$V$7,0))*qtdsemana,"")</f>
        <v>0</v>
      </c>
      <c r="M9" s="92">
        <f>IFERROR(INDEX(Velas_máscara!$C$8:$V$52,MATCH(Velas!$A9,Velas_máscara!$A$8:$A$52,0),MATCH(Velas!M$7,Velas_máscara!$C$7:$V$7,0))*qtdsemana,"")</f>
        <v>0</v>
      </c>
      <c r="N9" s="92">
        <f>IFERROR(INDEX(Velas_máscara!$C$8:$V$52,MATCH(Velas!$A9,Velas_máscara!$A$8:$A$52,0),MATCH(Velas!N$7,Velas_máscara!$C$7:$V$7,0))*qtdsemana,"")</f>
        <v>0</v>
      </c>
      <c r="O9" s="92">
        <f>IFERROR(INDEX(Velas_máscara!$C$8:$V$52,MATCH(Velas!$A9,Velas_máscara!$A$8:$A$52,0),MATCH(Velas!O$7,Velas_máscara!$C$7:$V$7,0))*qtdsemana,"")</f>
        <v>0</v>
      </c>
      <c r="P9" s="92">
        <f>IFERROR(INDEX(Velas_máscara!$C$8:$V$52,MATCH(Velas!$A9,Velas_máscara!$A$8:$A$52,0),MATCH(Velas!P$7,Velas_máscara!$C$7:$V$7,0))*qtdsemana,"")</f>
        <v>0</v>
      </c>
      <c r="Q9" s="92">
        <f>IFERROR(INDEX(Velas_máscara!$C$8:$V$52,MATCH(Velas!$A9,Velas_máscara!$A$8:$A$52,0),MATCH(Velas!Q$7,Velas_máscara!$C$7:$V$7,0))*qtdsemana,"")</f>
        <v>0</v>
      </c>
      <c r="R9" s="92">
        <f>IFERROR(INDEX(Velas_máscara!$C$8:$V$52,MATCH(Velas!$A9,Velas_máscara!$A$8:$A$52,0),MATCH(Velas!R$7,Velas_máscara!$C$7:$V$7,0))*qtdsemana,"")</f>
        <v>0</v>
      </c>
      <c r="S9" s="92">
        <f>IFERROR(INDEX(Velas_máscara!$C$8:$V$52,MATCH(Velas!$A9,Velas_máscara!$A$8:$A$52,0),MATCH(Velas!S$7,Velas_máscara!$C$7:$V$7,0))*qtdsemana,"")</f>
        <v>0</v>
      </c>
      <c r="T9" s="92">
        <f>IFERROR(INDEX(Velas_máscara!$C$8:$V$52,MATCH(Velas!$A9,Velas_máscara!$A$8:$A$52,0),MATCH(Velas!T$7,Velas_máscara!$C$7:$V$7,0))*qtdsemana,"")</f>
        <v>0</v>
      </c>
      <c r="U9" s="92">
        <f>IFERROR(INDEX(Velas_máscara!$C$8:$V$52,MATCH(Velas!$A9,Velas_máscara!$A$8:$A$52,0),MATCH(Velas!U$7,Velas_máscara!$C$7:$V$7,0))*qtdsemana,"")</f>
        <v>0</v>
      </c>
      <c r="V9" s="92">
        <f>IFERROR(INDEX(Velas_máscara!$C$8:$V$52,MATCH(Velas!$A9,Velas_máscara!$A$8:$A$52,0),MATCH(Velas!V$7,Velas_máscara!$C$7:$V$7,0))*qtdsemana,"")</f>
        <v>0</v>
      </c>
      <c r="W9">
        <f t="shared" si="2"/>
        <v>0</v>
      </c>
      <c r="X9" s="90">
        <f t="shared" si="3"/>
        <v>0</v>
      </c>
      <c r="Y9" s="90">
        <f t="shared" si="4"/>
        <v>0</v>
      </c>
      <c r="AA9" s="93">
        <f>Y51</f>
        <v>904.39999999999986</v>
      </c>
      <c r="AC9" s="93">
        <v>1000</v>
      </c>
    </row>
    <row r="10" spans="1:29">
      <c r="A10" s="84" t="s">
        <v>15</v>
      </c>
      <c r="B10" s="91"/>
      <c r="C10" s="92">
        <f>IFERROR(INDEX(Velas_máscara!$C$8:$V$52,MATCH(Velas!$A10,Velas_máscara!$A$8:$A$52,0),MATCH(Velas!C$7,Velas_máscara!$C$7:$V$7,0))*qtdsemana,"")</f>
        <v>0</v>
      </c>
      <c r="D10" s="92">
        <f>IFERROR(INDEX(Velas_máscara!$C$8:$V$52,MATCH(Velas!$A10,Velas_máscara!$A$8:$A$52,0),MATCH(Velas!D$7,Velas_máscara!$C$7:$V$7,0))*qtdsemana,"")</f>
        <v>0</v>
      </c>
      <c r="E10" s="92">
        <f>IFERROR(INDEX(Velas_máscara!$C$8:$V$52,MATCH(Velas!$A10,Velas_máscara!$A$8:$A$52,0),MATCH(Velas!E$7,Velas_máscara!$C$7:$V$7,0))*qtdsemana,"")</f>
        <v>0</v>
      </c>
      <c r="F10" s="92">
        <f>IFERROR(INDEX(Velas_máscara!$C$8:$V$52,MATCH(Velas!$A10,Velas_máscara!$A$8:$A$52,0),MATCH(Velas!F$7,Velas_máscara!$C$7:$V$7,0))*qtdsemana,"")</f>
        <v>0</v>
      </c>
      <c r="G10" s="92">
        <f>IFERROR(INDEX(Velas_máscara!$C$8:$V$52,MATCH(Velas!$A10,Velas_máscara!$A$8:$A$52,0),MATCH(Velas!G$7,Velas_máscara!$C$7:$V$7,0))*qtdsemana,"")</f>
        <v>0</v>
      </c>
      <c r="H10" s="92">
        <f>IFERROR(INDEX(Velas_máscara!$C$8:$V$52,MATCH(Velas!$A10,Velas_máscara!$A$8:$A$52,0),MATCH(Velas!H$7,Velas_máscara!$C$7:$V$7,0))*qtdsemana,"")</f>
        <v>0</v>
      </c>
      <c r="I10" s="92">
        <f>IFERROR(INDEX(Velas_máscara!$C$8:$V$52,MATCH(Velas!$A10,Velas_máscara!$A$8:$A$52,0),MATCH(Velas!I$7,Velas_máscara!$C$7:$V$7,0))*qtdsemana,"")</f>
        <v>0</v>
      </c>
      <c r="J10" s="92">
        <f>IFERROR(INDEX(Velas_máscara!$C$8:$V$52,MATCH(Velas!$A10,Velas_máscara!$A$8:$A$52,0),MATCH(Velas!J$7,Velas_máscara!$C$7:$V$7,0))*qtdsemana,"")</f>
        <v>4</v>
      </c>
      <c r="K10" s="92">
        <f>IFERROR(INDEX(Velas_máscara!$C$8:$V$52,MATCH(Velas!$A10,Velas_máscara!$A$8:$A$52,0),MATCH(Velas!K$7,Velas_máscara!$C$7:$V$7,0))*qtdsemana,"")</f>
        <v>0</v>
      </c>
      <c r="L10" s="92">
        <f>IFERROR(INDEX(Velas_máscara!$C$8:$V$52,MATCH(Velas!$A10,Velas_máscara!$A$8:$A$52,0),MATCH(Velas!L$7,Velas_máscara!$C$7:$V$7,0))*qtdsemana,"")</f>
        <v>0</v>
      </c>
      <c r="M10" s="92">
        <f>IFERROR(INDEX(Velas_máscara!$C$8:$V$52,MATCH(Velas!$A10,Velas_máscara!$A$8:$A$52,0),MATCH(Velas!M$7,Velas_máscara!$C$7:$V$7,0))*qtdsemana,"")</f>
        <v>0</v>
      </c>
      <c r="N10" s="92">
        <f>IFERROR(INDEX(Velas_máscara!$C$8:$V$52,MATCH(Velas!$A10,Velas_máscara!$A$8:$A$52,0),MATCH(Velas!N$7,Velas_máscara!$C$7:$V$7,0))*qtdsemana,"")</f>
        <v>0</v>
      </c>
      <c r="O10" s="92">
        <f>IFERROR(INDEX(Velas_máscara!$C$8:$V$52,MATCH(Velas!$A10,Velas_máscara!$A$8:$A$52,0),MATCH(Velas!O$7,Velas_máscara!$C$7:$V$7,0))*qtdsemana,"")</f>
        <v>0</v>
      </c>
      <c r="P10" s="92">
        <f>IFERROR(INDEX(Velas_máscara!$C$8:$V$52,MATCH(Velas!$A10,Velas_máscara!$A$8:$A$52,0),MATCH(Velas!P$7,Velas_máscara!$C$7:$V$7,0))*qtdsemana,"")</f>
        <v>4</v>
      </c>
      <c r="Q10" s="92">
        <f>IFERROR(INDEX(Velas_máscara!$C$8:$V$52,MATCH(Velas!$A10,Velas_máscara!$A$8:$A$52,0),MATCH(Velas!Q$7,Velas_máscara!$C$7:$V$7,0))*qtdsemana,"")</f>
        <v>0</v>
      </c>
      <c r="R10" s="92">
        <f>IFERROR(INDEX(Velas_máscara!$C$8:$V$52,MATCH(Velas!$A10,Velas_máscara!$A$8:$A$52,0),MATCH(Velas!R$7,Velas_máscara!$C$7:$V$7,0))*qtdsemana,"")</f>
        <v>4</v>
      </c>
      <c r="S10" s="92">
        <f>IFERROR(INDEX(Velas_máscara!$C$8:$V$52,MATCH(Velas!$A10,Velas_máscara!$A$8:$A$52,0),MATCH(Velas!S$7,Velas_máscara!$C$7:$V$7,0))*qtdsemana,"")</f>
        <v>0</v>
      </c>
      <c r="T10" s="92">
        <f>IFERROR(INDEX(Velas_máscara!$C$8:$V$52,MATCH(Velas!$A10,Velas_máscara!$A$8:$A$52,0),MATCH(Velas!T$7,Velas_máscara!$C$7:$V$7,0))*qtdsemana,"")</f>
        <v>0</v>
      </c>
      <c r="U10" s="92">
        <f>IFERROR(INDEX(Velas_máscara!$C$8:$V$52,MATCH(Velas!$A10,Velas_máscara!$A$8:$A$52,0),MATCH(Velas!U$7,Velas_máscara!$C$7:$V$7,0))*qtdsemana,"")</f>
        <v>0</v>
      </c>
      <c r="V10" s="92">
        <f>IFERROR(INDEX(Velas_máscara!$C$8:$V$52,MATCH(Velas!$A10,Velas_máscara!$A$8:$A$52,0),MATCH(Velas!V$7,Velas_máscara!$C$7:$V$7,0))*qtdsemana,"")</f>
        <v>4</v>
      </c>
      <c r="W10">
        <f t="shared" si="2"/>
        <v>16</v>
      </c>
      <c r="X10" s="90">
        <f t="shared" si="3"/>
        <v>41.6</v>
      </c>
      <c r="Y10" s="90">
        <f t="shared" si="4"/>
        <v>54.4</v>
      </c>
      <c r="Z10" s="98" t="s">
        <v>179</v>
      </c>
    </row>
    <row r="11" spans="1:29" ht="15">
      <c r="A11" s="84" t="s">
        <v>16</v>
      </c>
      <c r="B11" s="91"/>
      <c r="C11" s="92">
        <f>IFERROR(INDEX(Velas_máscara!$C$8:$V$52,MATCH(Velas!$A11,Velas_máscara!$A$8:$A$52,0),MATCH(Velas!C$7,Velas_máscara!$C$7:$V$7,0))*qtdsemana,"")</f>
        <v>0</v>
      </c>
      <c r="D11" s="92">
        <f>IFERROR(INDEX(Velas_máscara!$C$8:$V$52,MATCH(Velas!$A11,Velas_máscara!$A$8:$A$52,0),MATCH(Velas!D$7,Velas_máscara!$C$7:$V$7,0))*qtdsemana,"")</f>
        <v>0</v>
      </c>
      <c r="E11" s="92">
        <f>IFERROR(INDEX(Velas_máscara!$C$8:$V$52,MATCH(Velas!$A11,Velas_máscara!$A$8:$A$52,0),MATCH(Velas!E$7,Velas_máscara!$C$7:$V$7,0))*qtdsemana,"")</f>
        <v>0</v>
      </c>
      <c r="F11" s="92">
        <f>IFERROR(INDEX(Velas_máscara!$C$8:$V$52,MATCH(Velas!$A11,Velas_máscara!$A$8:$A$52,0),MATCH(Velas!F$7,Velas_máscara!$C$7:$V$7,0))*qtdsemana,"")</f>
        <v>0</v>
      </c>
      <c r="G11" s="92">
        <f>IFERROR(INDEX(Velas_máscara!$C$8:$V$52,MATCH(Velas!$A11,Velas_máscara!$A$8:$A$52,0),MATCH(Velas!G$7,Velas_máscara!$C$7:$V$7,0))*qtdsemana,"")</f>
        <v>0</v>
      </c>
      <c r="H11" s="92">
        <f>IFERROR(INDEX(Velas_máscara!$C$8:$V$52,MATCH(Velas!$A11,Velas_máscara!$A$8:$A$52,0),MATCH(Velas!H$7,Velas_máscara!$C$7:$V$7,0))*qtdsemana,"")</f>
        <v>0</v>
      </c>
      <c r="I11" s="92">
        <f>IFERROR(INDEX(Velas_máscara!$C$8:$V$52,MATCH(Velas!$A11,Velas_máscara!$A$8:$A$52,0),MATCH(Velas!I$7,Velas_máscara!$C$7:$V$7,0))*qtdsemana,"")</f>
        <v>0</v>
      </c>
      <c r="J11" s="92">
        <f>IFERROR(INDEX(Velas_máscara!$C$8:$V$52,MATCH(Velas!$A11,Velas_máscara!$A$8:$A$52,0),MATCH(Velas!J$7,Velas_máscara!$C$7:$V$7,0))*qtdsemana,"")</f>
        <v>0</v>
      </c>
      <c r="K11" s="92">
        <f>IFERROR(INDEX(Velas_máscara!$C$8:$V$52,MATCH(Velas!$A11,Velas_máscara!$A$8:$A$52,0),MATCH(Velas!K$7,Velas_máscara!$C$7:$V$7,0))*qtdsemana,"")</f>
        <v>0</v>
      </c>
      <c r="L11" s="92">
        <f>IFERROR(INDEX(Velas_máscara!$C$8:$V$52,MATCH(Velas!$A11,Velas_máscara!$A$8:$A$52,0),MATCH(Velas!L$7,Velas_máscara!$C$7:$V$7,0))*qtdsemana,"")</f>
        <v>0</v>
      </c>
      <c r="M11" s="92">
        <f>IFERROR(INDEX(Velas_máscara!$C$8:$V$52,MATCH(Velas!$A11,Velas_máscara!$A$8:$A$52,0),MATCH(Velas!M$7,Velas_máscara!$C$7:$V$7,0))*qtdsemana,"")</f>
        <v>0</v>
      </c>
      <c r="N11" s="92">
        <f>IFERROR(INDEX(Velas_máscara!$C$8:$V$52,MATCH(Velas!$A11,Velas_máscara!$A$8:$A$52,0),MATCH(Velas!N$7,Velas_máscara!$C$7:$V$7,0))*qtdsemana,"")</f>
        <v>0</v>
      </c>
      <c r="O11" s="92">
        <f>IFERROR(INDEX(Velas_máscara!$C$8:$V$52,MATCH(Velas!$A11,Velas_máscara!$A$8:$A$52,0),MATCH(Velas!O$7,Velas_máscara!$C$7:$V$7,0))*qtdsemana,"")</f>
        <v>0</v>
      </c>
      <c r="P11" s="92">
        <f>IFERROR(INDEX(Velas_máscara!$C$8:$V$52,MATCH(Velas!$A11,Velas_máscara!$A$8:$A$52,0),MATCH(Velas!P$7,Velas_máscara!$C$7:$V$7,0))*qtdsemana,"")</f>
        <v>0</v>
      </c>
      <c r="Q11" s="92">
        <f>IFERROR(INDEX(Velas_máscara!$C$8:$V$52,MATCH(Velas!$A11,Velas_máscara!$A$8:$A$52,0),MATCH(Velas!Q$7,Velas_máscara!$C$7:$V$7,0))*qtdsemana,"")</f>
        <v>0</v>
      </c>
      <c r="R11" s="92">
        <f>IFERROR(INDEX(Velas_máscara!$C$8:$V$52,MATCH(Velas!$A11,Velas_máscara!$A$8:$A$52,0),MATCH(Velas!R$7,Velas_máscara!$C$7:$V$7,0))*qtdsemana,"")</f>
        <v>0</v>
      </c>
      <c r="S11" s="92">
        <f>IFERROR(INDEX(Velas_máscara!$C$8:$V$52,MATCH(Velas!$A11,Velas_máscara!$A$8:$A$52,0),MATCH(Velas!S$7,Velas_máscara!$C$7:$V$7,0))*qtdsemana,"")</f>
        <v>0</v>
      </c>
      <c r="T11" s="92">
        <f>IFERROR(INDEX(Velas_máscara!$C$8:$V$52,MATCH(Velas!$A11,Velas_máscara!$A$8:$A$52,0),MATCH(Velas!T$7,Velas_máscara!$C$7:$V$7,0))*qtdsemana,"")</f>
        <v>0</v>
      </c>
      <c r="U11" s="92">
        <f>IFERROR(INDEX(Velas_máscara!$C$8:$V$52,MATCH(Velas!$A11,Velas_máscara!$A$8:$A$52,0),MATCH(Velas!U$7,Velas_máscara!$C$7:$V$7,0))*qtdsemana,"")</f>
        <v>0</v>
      </c>
      <c r="V11" s="92">
        <f>IFERROR(INDEX(Velas_máscara!$C$8:$V$52,MATCH(Velas!$A11,Velas_máscara!$A$8:$A$52,0),MATCH(Velas!V$7,Velas_máscara!$C$7:$V$7,0))*qtdsemana,"")</f>
        <v>0</v>
      </c>
      <c r="W11">
        <f t="shared" si="2"/>
        <v>0</v>
      </c>
      <c r="X11" s="90">
        <f t="shared" si="3"/>
        <v>0</v>
      </c>
      <c r="Y11" s="90">
        <f t="shared" si="4"/>
        <v>0</v>
      </c>
      <c r="AB11" s="94" t="s">
        <v>173</v>
      </c>
    </row>
    <row r="12" spans="1:29" ht="15">
      <c r="A12" s="84" t="s">
        <v>139</v>
      </c>
      <c r="B12" s="84"/>
      <c r="C12" s="92">
        <f>IFERROR(INDEX(Velas_máscara!$C$8:$V$52,MATCH(Velas!$A12,Velas_máscara!$A$8:$A$52,0),MATCH(Velas!C$7,Velas_máscara!$C$7:$V$7,0))*qtdsemana,"")</f>
        <v>4</v>
      </c>
      <c r="D12" s="92">
        <f>IFERROR(INDEX(Velas_máscara!$C$8:$V$52,MATCH(Velas!$A12,Velas_máscara!$A$8:$A$52,0),MATCH(Velas!D$7,Velas_máscara!$C$7:$V$7,0))*qtdsemana,"")</f>
        <v>4</v>
      </c>
      <c r="E12" s="92">
        <f>IFERROR(INDEX(Velas_máscara!$C$8:$V$52,MATCH(Velas!$A12,Velas_máscara!$A$8:$A$52,0),MATCH(Velas!E$7,Velas_máscara!$C$7:$V$7,0))*qtdsemana,"")</f>
        <v>4</v>
      </c>
      <c r="F12" s="92">
        <f>IFERROR(INDEX(Velas_máscara!$C$8:$V$52,MATCH(Velas!$A12,Velas_máscara!$A$8:$A$52,0),MATCH(Velas!F$7,Velas_máscara!$C$7:$V$7,0))*qtdsemana,"")</f>
        <v>4</v>
      </c>
      <c r="G12" s="92">
        <f>IFERROR(INDEX(Velas_máscara!$C$8:$V$52,MATCH(Velas!$A12,Velas_máscara!$A$8:$A$52,0),MATCH(Velas!G$7,Velas_máscara!$C$7:$V$7,0))*qtdsemana,"")</f>
        <v>0</v>
      </c>
      <c r="H12" s="92">
        <f>IFERROR(INDEX(Velas_máscara!$C$8:$V$52,MATCH(Velas!$A12,Velas_máscara!$A$8:$A$52,0),MATCH(Velas!H$7,Velas_máscara!$C$7:$V$7,0))*qtdsemana,"")</f>
        <v>4</v>
      </c>
      <c r="I12" s="92">
        <f>IFERROR(INDEX(Velas_máscara!$C$8:$V$52,MATCH(Velas!$A12,Velas_máscara!$A$8:$A$52,0),MATCH(Velas!I$7,Velas_máscara!$C$7:$V$7,0))*qtdsemana,"")</f>
        <v>0</v>
      </c>
      <c r="J12" s="92">
        <f>IFERROR(INDEX(Velas_máscara!$C$8:$V$52,MATCH(Velas!$A12,Velas_máscara!$A$8:$A$52,0),MATCH(Velas!J$7,Velas_máscara!$C$7:$V$7,0))*qtdsemana,"")</f>
        <v>12</v>
      </c>
      <c r="K12" s="92">
        <f>IFERROR(INDEX(Velas_máscara!$C$8:$V$52,MATCH(Velas!$A12,Velas_máscara!$A$8:$A$52,0),MATCH(Velas!K$7,Velas_máscara!$C$7:$V$7,0))*qtdsemana,"")</f>
        <v>4</v>
      </c>
      <c r="L12" s="92">
        <f>IFERROR(INDEX(Velas_máscara!$C$8:$V$52,MATCH(Velas!$A12,Velas_máscara!$A$8:$A$52,0),MATCH(Velas!L$7,Velas_máscara!$C$7:$V$7,0))*qtdsemana,"")</f>
        <v>4</v>
      </c>
      <c r="M12" s="92">
        <f>IFERROR(INDEX(Velas_máscara!$C$8:$V$52,MATCH(Velas!$A12,Velas_máscara!$A$8:$A$52,0),MATCH(Velas!M$7,Velas_máscara!$C$7:$V$7,0))*qtdsemana,"")</f>
        <v>0</v>
      </c>
      <c r="N12" s="92">
        <f>IFERROR(INDEX(Velas_máscara!$C$8:$V$52,MATCH(Velas!$A12,Velas_máscara!$A$8:$A$52,0),MATCH(Velas!N$7,Velas_máscara!$C$7:$V$7,0))*qtdsemana,"")</f>
        <v>4</v>
      </c>
      <c r="O12" s="92">
        <f>IFERROR(INDEX(Velas_máscara!$C$8:$V$52,MATCH(Velas!$A12,Velas_máscara!$A$8:$A$52,0),MATCH(Velas!O$7,Velas_máscara!$C$7:$V$7,0))*qtdsemana,"")</f>
        <v>4</v>
      </c>
      <c r="P12" s="92">
        <f>IFERROR(INDEX(Velas_máscara!$C$8:$V$52,MATCH(Velas!$A12,Velas_máscara!$A$8:$A$52,0),MATCH(Velas!P$7,Velas_máscara!$C$7:$V$7,0))*qtdsemana,"")</f>
        <v>0</v>
      </c>
      <c r="Q12" s="92">
        <f>IFERROR(INDEX(Velas_máscara!$C$8:$V$52,MATCH(Velas!$A12,Velas_máscara!$A$8:$A$52,0),MATCH(Velas!Q$7,Velas_máscara!$C$7:$V$7,0))*qtdsemana,"")</f>
        <v>0</v>
      </c>
      <c r="R12" s="92">
        <f>IFERROR(INDEX(Velas_máscara!$C$8:$V$52,MATCH(Velas!$A12,Velas_máscara!$A$8:$A$52,0),MATCH(Velas!R$7,Velas_máscara!$C$7:$V$7,0))*qtdsemana,"")</f>
        <v>0</v>
      </c>
      <c r="S12" s="92">
        <f>IFERROR(INDEX(Velas_máscara!$C$8:$V$52,MATCH(Velas!$A12,Velas_máscara!$A$8:$A$52,0),MATCH(Velas!S$7,Velas_máscara!$C$7:$V$7,0))*qtdsemana,"")</f>
        <v>0</v>
      </c>
      <c r="T12" s="92">
        <f>IFERROR(INDEX(Velas_máscara!$C$8:$V$52,MATCH(Velas!$A12,Velas_máscara!$A$8:$A$52,0),MATCH(Velas!T$7,Velas_máscara!$C$7:$V$7,0))*qtdsemana,"")</f>
        <v>4</v>
      </c>
      <c r="U12" s="92">
        <f>IFERROR(INDEX(Velas_máscara!$C$8:$V$52,MATCH(Velas!$A12,Velas_máscara!$A$8:$A$52,0),MATCH(Velas!U$7,Velas_máscara!$C$7:$V$7,0))*qtdsemana,"")</f>
        <v>4</v>
      </c>
      <c r="V12" s="92">
        <f>IFERROR(INDEX(Velas_máscara!$C$8:$V$52,MATCH(Velas!$A12,Velas_máscara!$A$8:$A$52,0),MATCH(Velas!V$7,Velas_máscara!$C$7:$V$7,0))*qtdsemana,"")</f>
        <v>0</v>
      </c>
      <c r="W12">
        <f t="shared" si="2"/>
        <v>56</v>
      </c>
      <c r="X12" s="90">
        <f t="shared" si="3"/>
        <v>153.20000000000002</v>
      </c>
      <c r="Y12" s="90">
        <f t="shared" si="4"/>
        <v>197.19999999999996</v>
      </c>
      <c r="Z12" s="98" t="s">
        <v>179</v>
      </c>
      <c r="AB12" s="100">
        <f>AC9-AA9</f>
        <v>95.600000000000136</v>
      </c>
    </row>
    <row r="13" spans="1:29" s="98" customFormat="1">
      <c r="A13" s="101" t="s">
        <v>17</v>
      </c>
      <c r="B13" s="101"/>
      <c r="C13" s="102">
        <f>IFERROR(INDEX(Velas_máscara!$C$8:$V$52,MATCH(Velas!$A13,Velas_máscara!$A$8:$A$52,0),MATCH(Velas!C$7,Velas_máscara!$C$7:$V$7,0))*qtdsemana,"")</f>
        <v>0</v>
      </c>
      <c r="D13" s="102">
        <f>IFERROR(INDEX(Velas_máscara!$C$8:$V$52,MATCH(Velas!$A13,Velas_máscara!$A$8:$A$52,0),MATCH(Velas!D$7,Velas_máscara!$C$7:$V$7,0))*qtdsemana,"")</f>
        <v>0</v>
      </c>
      <c r="E13" s="102">
        <f>IFERROR(INDEX(Velas_máscara!$C$8:$V$52,MATCH(Velas!$A13,Velas_máscara!$A$8:$A$52,0),MATCH(Velas!E$7,Velas_máscara!$C$7:$V$7,0))*qtdsemana,"")</f>
        <v>0</v>
      </c>
      <c r="F13" s="102">
        <f>IFERROR(INDEX(Velas_máscara!$C$8:$V$52,MATCH(Velas!$A13,Velas_máscara!$A$8:$A$52,0),MATCH(Velas!F$7,Velas_máscara!$C$7:$V$7,0))*qtdsemana,"")</f>
        <v>0</v>
      </c>
      <c r="G13" s="102">
        <f>IFERROR(INDEX(Velas_máscara!$C$8:$V$52,MATCH(Velas!$A13,Velas_máscara!$A$8:$A$52,0),MATCH(Velas!G$7,Velas_máscara!$C$7:$V$7,0))*qtdsemana,"")</f>
        <v>0</v>
      </c>
      <c r="H13" s="102">
        <f>IFERROR(INDEX(Velas_máscara!$C$8:$V$52,MATCH(Velas!$A13,Velas_máscara!$A$8:$A$52,0),MATCH(Velas!H$7,Velas_máscara!$C$7:$V$7,0))*qtdsemana,"")</f>
        <v>0</v>
      </c>
      <c r="I13" s="102">
        <f>IFERROR(INDEX(Velas_máscara!$C$8:$V$52,MATCH(Velas!$A13,Velas_máscara!$A$8:$A$52,0),MATCH(Velas!I$7,Velas_máscara!$C$7:$V$7,0))*qtdsemana,"")</f>
        <v>0</v>
      </c>
      <c r="J13" s="102">
        <f>IFERROR(INDEX(Velas_máscara!$C$8:$V$52,MATCH(Velas!$A13,Velas_máscara!$A$8:$A$52,0),MATCH(Velas!J$7,Velas_máscara!$C$7:$V$7,0))*qtdsemana,"")</f>
        <v>0</v>
      </c>
      <c r="K13" s="102">
        <f>IFERROR(INDEX(Velas_máscara!$C$8:$V$52,MATCH(Velas!$A13,Velas_máscara!$A$8:$A$52,0),MATCH(Velas!K$7,Velas_máscara!$C$7:$V$7,0))*qtdsemana,"")</f>
        <v>0</v>
      </c>
      <c r="L13" s="102">
        <f>IFERROR(INDEX(Velas_máscara!$C$8:$V$52,MATCH(Velas!$A13,Velas_máscara!$A$8:$A$52,0),MATCH(Velas!L$7,Velas_máscara!$C$7:$V$7,0))*qtdsemana,"")</f>
        <v>0</v>
      </c>
      <c r="M13" s="102">
        <f>IFERROR(INDEX(Velas_máscara!$C$8:$V$52,MATCH(Velas!$A13,Velas_máscara!$A$8:$A$52,0),MATCH(Velas!M$7,Velas_máscara!$C$7:$V$7,0))*qtdsemana,"")</f>
        <v>0</v>
      </c>
      <c r="N13" s="102">
        <f>IFERROR(INDEX(Velas_máscara!$C$8:$V$52,MATCH(Velas!$A13,Velas_máscara!$A$8:$A$52,0),MATCH(Velas!N$7,Velas_máscara!$C$7:$V$7,0))*qtdsemana,"")</f>
        <v>0</v>
      </c>
      <c r="O13" s="102">
        <f>IFERROR(INDEX(Velas_máscara!$C$8:$V$52,MATCH(Velas!$A13,Velas_máscara!$A$8:$A$52,0),MATCH(Velas!O$7,Velas_máscara!$C$7:$V$7,0))*qtdsemana,"")</f>
        <v>0</v>
      </c>
      <c r="P13" s="102">
        <f>IFERROR(INDEX(Velas_máscara!$C$8:$V$52,MATCH(Velas!$A13,Velas_máscara!$A$8:$A$52,0),MATCH(Velas!P$7,Velas_máscara!$C$7:$V$7,0))*qtdsemana,"")</f>
        <v>0</v>
      </c>
      <c r="Q13" s="102">
        <f>IFERROR(INDEX(Velas_máscara!$C$8:$V$52,MATCH(Velas!$A13,Velas_máscara!$A$8:$A$52,0),MATCH(Velas!Q$7,Velas_máscara!$C$7:$V$7,0))*qtdsemana,"")</f>
        <v>0</v>
      </c>
      <c r="R13" s="102">
        <f>IFERROR(INDEX(Velas_máscara!$C$8:$V$52,MATCH(Velas!$A13,Velas_máscara!$A$8:$A$52,0),MATCH(Velas!R$7,Velas_máscara!$C$7:$V$7,0))*qtdsemana,"")</f>
        <v>0</v>
      </c>
      <c r="S13" s="102">
        <f>IFERROR(INDEX(Velas_máscara!$C$8:$V$52,MATCH(Velas!$A13,Velas_máscara!$A$8:$A$52,0),MATCH(Velas!S$7,Velas_máscara!$C$7:$V$7,0))*qtdsemana,"")</f>
        <v>0</v>
      </c>
      <c r="T13" s="102">
        <f>IFERROR(INDEX(Velas_máscara!$C$8:$V$52,MATCH(Velas!$A13,Velas_máscara!$A$8:$A$52,0),MATCH(Velas!T$7,Velas_máscara!$C$7:$V$7,0))*qtdsemana,"")</f>
        <v>0</v>
      </c>
      <c r="U13" s="102">
        <f>IFERROR(INDEX(Velas_máscara!$C$8:$V$52,MATCH(Velas!$A13,Velas_máscara!$A$8:$A$52,0),MATCH(Velas!U$7,Velas_máscara!$C$7:$V$7,0))*qtdsemana,"")</f>
        <v>0</v>
      </c>
      <c r="V13" s="102">
        <f>IFERROR(INDEX(Velas_máscara!$C$8:$V$52,MATCH(Velas!$A13,Velas_máscara!$A$8:$A$52,0),MATCH(Velas!V$7,Velas_máscara!$C$7:$V$7,0))*qtdsemana,"")</f>
        <v>0</v>
      </c>
      <c r="W13" s="98">
        <f t="shared" si="2"/>
        <v>0</v>
      </c>
      <c r="X13" s="103">
        <f t="shared" si="3"/>
        <v>0</v>
      </c>
      <c r="Y13" s="103">
        <f t="shared" si="4"/>
        <v>0</v>
      </c>
    </row>
    <row r="14" spans="1:29" s="98" customFormat="1">
      <c r="A14" s="101" t="s">
        <v>140</v>
      </c>
      <c r="B14" s="101"/>
      <c r="C14" s="102">
        <f>IFERROR(INDEX(Velas_máscara!$C$8:$V$52,MATCH(Velas!$A14,Velas_máscara!$A$8:$A$52,0),MATCH(Velas!C$7,Velas_máscara!$C$7:$V$7,0))*qtdsemana,"")</f>
        <v>0</v>
      </c>
      <c r="D14" s="102">
        <f>IFERROR(INDEX(Velas_máscara!$C$8:$V$52,MATCH(Velas!$A14,Velas_máscara!$A$8:$A$52,0),MATCH(Velas!D$7,Velas_máscara!$C$7:$V$7,0))*qtdsemana,"")</f>
        <v>0</v>
      </c>
      <c r="E14" s="102">
        <f>IFERROR(INDEX(Velas_máscara!$C$8:$V$52,MATCH(Velas!$A14,Velas_máscara!$A$8:$A$52,0),MATCH(Velas!E$7,Velas_máscara!$C$7:$V$7,0))*qtdsemana,"")</f>
        <v>0</v>
      </c>
      <c r="F14" s="102">
        <f>IFERROR(INDEX(Velas_máscara!$C$8:$V$52,MATCH(Velas!$A14,Velas_máscara!$A$8:$A$52,0),MATCH(Velas!F$7,Velas_máscara!$C$7:$V$7,0))*qtdsemana,"")</f>
        <v>0</v>
      </c>
      <c r="G14" s="102">
        <f>IFERROR(INDEX(Velas_máscara!$C$8:$V$52,MATCH(Velas!$A14,Velas_máscara!$A$8:$A$52,0),MATCH(Velas!G$7,Velas_máscara!$C$7:$V$7,0))*qtdsemana,"")</f>
        <v>0</v>
      </c>
      <c r="H14" s="102">
        <f>IFERROR(INDEX(Velas_máscara!$C$8:$V$52,MATCH(Velas!$A14,Velas_máscara!$A$8:$A$52,0),MATCH(Velas!H$7,Velas_máscara!$C$7:$V$7,0))*qtdsemana,"")</f>
        <v>0</v>
      </c>
      <c r="I14" s="102">
        <f>IFERROR(INDEX(Velas_máscara!$C$8:$V$52,MATCH(Velas!$A14,Velas_máscara!$A$8:$A$52,0),MATCH(Velas!I$7,Velas_máscara!$C$7:$V$7,0))*qtdsemana,"")</f>
        <v>0</v>
      </c>
      <c r="J14" s="102">
        <f>IFERROR(INDEX(Velas_máscara!$C$8:$V$52,MATCH(Velas!$A14,Velas_máscara!$A$8:$A$52,0),MATCH(Velas!J$7,Velas_máscara!$C$7:$V$7,0))*qtdsemana,"")</f>
        <v>0</v>
      </c>
      <c r="K14" s="102">
        <f>IFERROR(INDEX(Velas_máscara!$C$8:$V$52,MATCH(Velas!$A14,Velas_máscara!$A$8:$A$52,0),MATCH(Velas!K$7,Velas_máscara!$C$7:$V$7,0))*qtdsemana,"")</f>
        <v>0</v>
      </c>
      <c r="L14" s="102">
        <f>IFERROR(INDEX(Velas_máscara!$C$8:$V$52,MATCH(Velas!$A14,Velas_máscara!$A$8:$A$52,0),MATCH(Velas!L$7,Velas_máscara!$C$7:$V$7,0))*qtdsemana,"")</f>
        <v>0</v>
      </c>
      <c r="M14" s="102">
        <f>IFERROR(INDEX(Velas_máscara!$C$8:$V$52,MATCH(Velas!$A14,Velas_máscara!$A$8:$A$52,0),MATCH(Velas!M$7,Velas_máscara!$C$7:$V$7,0))*qtdsemana,"")</f>
        <v>0</v>
      </c>
      <c r="N14" s="102">
        <f>IFERROR(INDEX(Velas_máscara!$C$8:$V$52,MATCH(Velas!$A14,Velas_máscara!$A$8:$A$52,0),MATCH(Velas!N$7,Velas_máscara!$C$7:$V$7,0))*qtdsemana,"")</f>
        <v>0</v>
      </c>
      <c r="O14" s="102">
        <f>IFERROR(INDEX(Velas_máscara!$C$8:$V$52,MATCH(Velas!$A14,Velas_máscara!$A$8:$A$52,0),MATCH(Velas!O$7,Velas_máscara!$C$7:$V$7,0))*qtdsemana,"")</f>
        <v>0</v>
      </c>
      <c r="P14" s="102">
        <f>IFERROR(INDEX(Velas_máscara!$C$8:$V$52,MATCH(Velas!$A14,Velas_máscara!$A$8:$A$52,0),MATCH(Velas!P$7,Velas_máscara!$C$7:$V$7,0))*qtdsemana,"")</f>
        <v>0</v>
      </c>
      <c r="Q14" s="102">
        <f>IFERROR(INDEX(Velas_máscara!$C$8:$V$52,MATCH(Velas!$A14,Velas_máscara!$A$8:$A$52,0),MATCH(Velas!Q$7,Velas_máscara!$C$7:$V$7,0))*qtdsemana,"")</f>
        <v>0</v>
      </c>
      <c r="R14" s="102">
        <f>IFERROR(INDEX(Velas_máscara!$C$8:$V$52,MATCH(Velas!$A14,Velas_máscara!$A$8:$A$52,0),MATCH(Velas!R$7,Velas_máscara!$C$7:$V$7,0))*qtdsemana,"")</f>
        <v>0</v>
      </c>
      <c r="S14" s="102">
        <f>IFERROR(INDEX(Velas_máscara!$C$8:$V$52,MATCH(Velas!$A14,Velas_máscara!$A$8:$A$52,0),MATCH(Velas!S$7,Velas_máscara!$C$7:$V$7,0))*qtdsemana,"")</f>
        <v>0</v>
      </c>
      <c r="T14" s="102">
        <f>IFERROR(INDEX(Velas_máscara!$C$8:$V$52,MATCH(Velas!$A14,Velas_máscara!$A$8:$A$52,0),MATCH(Velas!T$7,Velas_máscara!$C$7:$V$7,0))*qtdsemana,"")</f>
        <v>0</v>
      </c>
      <c r="U14" s="102">
        <f>IFERROR(INDEX(Velas_máscara!$C$8:$V$52,MATCH(Velas!$A14,Velas_máscara!$A$8:$A$52,0),MATCH(Velas!U$7,Velas_máscara!$C$7:$V$7,0))*qtdsemana,"")</f>
        <v>0</v>
      </c>
      <c r="V14" s="102">
        <f>IFERROR(INDEX(Velas_máscara!$C$8:$V$52,MATCH(Velas!$A14,Velas_máscara!$A$8:$A$52,0),MATCH(Velas!V$7,Velas_máscara!$C$7:$V$7,0))*qtdsemana,"")</f>
        <v>0</v>
      </c>
      <c r="W14" s="98">
        <f t="shared" si="2"/>
        <v>0</v>
      </c>
      <c r="X14" s="103">
        <f t="shared" si="3"/>
        <v>0</v>
      </c>
      <c r="Y14" s="103">
        <f t="shared" si="4"/>
        <v>0</v>
      </c>
    </row>
    <row r="15" spans="1:29" s="98" customFormat="1">
      <c r="A15" s="101" t="s">
        <v>110</v>
      </c>
      <c r="B15" s="101"/>
      <c r="C15" s="92">
        <f>IFERROR(INDEX(Velas_máscara!$C$8:$V$52,MATCH(Velas!$A15,Velas_máscara!$A$8:$A$52,0),MATCH(Velas!C$7,Velas_máscara!$C$7:$V$7,0))*qtdsemana,"")</f>
        <v>4</v>
      </c>
      <c r="D15" s="92">
        <f>IFERROR(INDEX(Velas_máscara!$C$8:$V$52,MATCH(Velas!$A15,Velas_máscara!$A$8:$A$52,0),MATCH(Velas!D$7,Velas_máscara!$C$7:$V$7,0))*qtdsemana,"")</f>
        <v>0</v>
      </c>
      <c r="E15" s="92">
        <f>IFERROR(INDEX(Velas_máscara!$C$8:$V$52,MATCH(Velas!$A15,Velas_máscara!$A$8:$A$52,0),MATCH(Velas!E$7,Velas_máscara!$C$7:$V$7,0))*qtdsemana,"")</f>
        <v>0</v>
      </c>
      <c r="F15" s="92">
        <f>IFERROR(INDEX(Velas_máscara!$C$8:$V$52,MATCH(Velas!$A15,Velas_máscara!$A$8:$A$52,0),MATCH(Velas!F$7,Velas_máscara!$C$7:$V$7,0))*qtdsemana,"")</f>
        <v>0</v>
      </c>
      <c r="G15" s="92">
        <f>IFERROR(INDEX(Velas_máscara!$C$8:$V$52,MATCH(Velas!$A15,Velas_máscara!$A$8:$A$52,0),MATCH(Velas!G$7,Velas_máscara!$C$7:$V$7,0))*qtdsemana,"")</f>
        <v>0</v>
      </c>
      <c r="H15" s="92">
        <f>IFERROR(INDEX(Velas_máscara!$C$8:$V$52,MATCH(Velas!$A15,Velas_máscara!$A$8:$A$52,0),MATCH(Velas!H$7,Velas_máscara!$C$7:$V$7,0))*qtdsemana,"")</f>
        <v>0</v>
      </c>
      <c r="I15" s="92">
        <f>IFERROR(INDEX(Velas_máscara!$C$8:$V$52,MATCH(Velas!$A15,Velas_máscara!$A$8:$A$52,0),MATCH(Velas!I$7,Velas_máscara!$C$7:$V$7,0))*qtdsemana,"")</f>
        <v>0</v>
      </c>
      <c r="J15" s="92">
        <f>IFERROR(INDEX(Velas_máscara!$C$8:$V$52,MATCH(Velas!$A15,Velas_máscara!$A$8:$A$52,0),MATCH(Velas!J$7,Velas_máscara!$C$7:$V$7,0))*qtdsemana,"")</f>
        <v>4</v>
      </c>
      <c r="K15" s="92">
        <f>IFERROR(INDEX(Velas_máscara!$C$8:$V$52,MATCH(Velas!$A15,Velas_máscara!$A$8:$A$52,0),MATCH(Velas!K$7,Velas_máscara!$C$7:$V$7,0))*qtdsemana,"")</f>
        <v>0</v>
      </c>
      <c r="L15" s="92">
        <f>IFERROR(INDEX(Velas_máscara!$C$8:$V$52,MATCH(Velas!$A15,Velas_máscara!$A$8:$A$52,0),MATCH(Velas!L$7,Velas_máscara!$C$7:$V$7,0))*qtdsemana,"")</f>
        <v>0</v>
      </c>
      <c r="M15" s="92">
        <f>IFERROR(INDEX(Velas_máscara!$C$8:$V$52,MATCH(Velas!$A15,Velas_máscara!$A$8:$A$52,0),MATCH(Velas!M$7,Velas_máscara!$C$7:$V$7,0))*qtdsemana,"")</f>
        <v>0</v>
      </c>
      <c r="N15" s="92">
        <f>IFERROR(INDEX(Velas_máscara!$C$8:$V$52,MATCH(Velas!$A15,Velas_máscara!$A$8:$A$52,0),MATCH(Velas!N$7,Velas_máscara!$C$7:$V$7,0))*qtdsemana,"")</f>
        <v>0</v>
      </c>
      <c r="O15" s="92">
        <f>IFERROR(INDEX(Velas_máscara!$C$8:$V$52,MATCH(Velas!$A15,Velas_máscara!$A$8:$A$52,0),MATCH(Velas!O$7,Velas_máscara!$C$7:$V$7,0))*qtdsemana,"")</f>
        <v>0</v>
      </c>
      <c r="P15" s="92">
        <f>IFERROR(INDEX(Velas_máscara!$C$8:$V$52,MATCH(Velas!$A15,Velas_máscara!$A$8:$A$52,0),MATCH(Velas!P$7,Velas_máscara!$C$7:$V$7,0))*qtdsemana,"")</f>
        <v>0</v>
      </c>
      <c r="Q15" s="92">
        <f>IFERROR(INDEX(Velas_máscara!$C$8:$V$52,MATCH(Velas!$A15,Velas_máscara!$A$8:$A$52,0),MATCH(Velas!Q$7,Velas_máscara!$C$7:$V$7,0))*qtdsemana,"")</f>
        <v>0</v>
      </c>
      <c r="R15" s="92">
        <f>IFERROR(INDEX(Velas_máscara!$C$8:$V$52,MATCH(Velas!$A15,Velas_máscara!$A$8:$A$52,0),MATCH(Velas!R$7,Velas_máscara!$C$7:$V$7,0))*qtdsemana,"")</f>
        <v>0</v>
      </c>
      <c r="S15" s="92">
        <f>IFERROR(INDEX(Velas_máscara!$C$8:$V$52,MATCH(Velas!$A15,Velas_máscara!$A$8:$A$52,0),MATCH(Velas!S$7,Velas_máscara!$C$7:$V$7,0))*qtdsemana,"")</f>
        <v>0</v>
      </c>
      <c r="T15" s="92">
        <f>IFERROR(INDEX(Velas_máscara!$C$8:$V$52,MATCH(Velas!$A15,Velas_máscara!$A$8:$A$52,0),MATCH(Velas!T$7,Velas_máscara!$C$7:$V$7,0))*qtdsemana,"")</f>
        <v>0</v>
      </c>
      <c r="U15" s="92">
        <f>IFERROR(INDEX(Velas_máscara!$C$8:$V$52,MATCH(Velas!$A15,Velas_máscara!$A$8:$A$52,0),MATCH(Velas!U$7,Velas_máscara!$C$7:$V$7,0))*qtdsemana,"")</f>
        <v>0</v>
      </c>
      <c r="V15" s="92">
        <f>IFERROR(INDEX(Velas_máscara!$C$8:$V$52,MATCH(Velas!$A15,Velas_máscara!$A$8:$A$52,0),MATCH(Velas!V$7,Velas_máscara!$C$7:$V$7,0))*qtdsemana,"")</f>
        <v>0</v>
      </c>
      <c r="W15" s="98">
        <f t="shared" si="2"/>
        <v>8</v>
      </c>
      <c r="X15" s="103">
        <f t="shared" si="3"/>
        <v>28.4</v>
      </c>
      <c r="Y15" s="103">
        <f t="shared" si="4"/>
        <v>34</v>
      </c>
      <c r="Z15" s="98" t="s">
        <v>179</v>
      </c>
      <c r="AA15"/>
    </row>
    <row r="16" spans="1:29" s="98" customFormat="1">
      <c r="A16" s="101" t="s">
        <v>18</v>
      </c>
      <c r="B16" s="101"/>
      <c r="C16" s="102">
        <f>IFERROR(INDEX(Velas_máscara!$C$8:$V$52,MATCH(Velas!$A16,Velas_máscara!$A$8:$A$52,0),MATCH(Velas!C$7,Velas_máscara!$C$7:$V$7,0))*qtdsemana,"")</f>
        <v>0</v>
      </c>
      <c r="D16" s="102">
        <f>IFERROR(INDEX(Velas_máscara!$C$8:$V$52,MATCH(Velas!$A16,Velas_máscara!$A$8:$A$52,0),MATCH(Velas!D$7,Velas_máscara!$C$7:$V$7,0))*qtdsemana,"")</f>
        <v>0</v>
      </c>
      <c r="E16" s="102">
        <f>IFERROR(INDEX(Velas_máscara!$C$8:$V$52,MATCH(Velas!$A16,Velas_máscara!$A$8:$A$52,0),MATCH(Velas!E$7,Velas_máscara!$C$7:$V$7,0))*qtdsemana,"")</f>
        <v>0</v>
      </c>
      <c r="F16" s="102">
        <f>IFERROR(INDEX(Velas_máscara!$C$8:$V$52,MATCH(Velas!$A16,Velas_máscara!$A$8:$A$52,0),MATCH(Velas!F$7,Velas_máscara!$C$7:$V$7,0))*qtdsemana,"")</f>
        <v>0</v>
      </c>
      <c r="G16" s="102">
        <f>IFERROR(INDEX(Velas_máscara!$C$8:$V$52,MATCH(Velas!$A16,Velas_máscara!$A$8:$A$52,0),MATCH(Velas!G$7,Velas_máscara!$C$7:$V$7,0))*qtdsemana,"")</f>
        <v>0</v>
      </c>
      <c r="H16" s="102">
        <f>IFERROR(INDEX(Velas_máscara!$C$8:$V$52,MATCH(Velas!$A16,Velas_máscara!$A$8:$A$52,0),MATCH(Velas!H$7,Velas_máscara!$C$7:$V$7,0))*qtdsemana,"")</f>
        <v>0</v>
      </c>
      <c r="I16" s="102">
        <f>IFERROR(INDEX(Velas_máscara!$C$8:$V$52,MATCH(Velas!$A16,Velas_máscara!$A$8:$A$52,0),MATCH(Velas!I$7,Velas_máscara!$C$7:$V$7,0))*qtdsemana,"")</f>
        <v>0</v>
      </c>
      <c r="J16" s="102">
        <f>IFERROR(INDEX(Velas_máscara!$C$8:$V$52,MATCH(Velas!$A16,Velas_máscara!$A$8:$A$52,0),MATCH(Velas!J$7,Velas_máscara!$C$7:$V$7,0))*qtdsemana,"")</f>
        <v>0</v>
      </c>
      <c r="K16" s="102">
        <f>IFERROR(INDEX(Velas_máscara!$C$8:$V$52,MATCH(Velas!$A16,Velas_máscara!$A$8:$A$52,0),MATCH(Velas!K$7,Velas_máscara!$C$7:$V$7,0))*qtdsemana,"")</f>
        <v>0</v>
      </c>
      <c r="L16" s="102">
        <f>IFERROR(INDEX(Velas_máscara!$C$8:$V$52,MATCH(Velas!$A16,Velas_máscara!$A$8:$A$52,0),MATCH(Velas!L$7,Velas_máscara!$C$7:$V$7,0))*qtdsemana,"")</f>
        <v>0</v>
      </c>
      <c r="M16" s="102">
        <f>IFERROR(INDEX(Velas_máscara!$C$8:$V$52,MATCH(Velas!$A16,Velas_máscara!$A$8:$A$52,0),MATCH(Velas!M$7,Velas_máscara!$C$7:$V$7,0))*qtdsemana,"")</f>
        <v>0</v>
      </c>
      <c r="N16" s="102">
        <f>IFERROR(INDEX(Velas_máscara!$C$8:$V$52,MATCH(Velas!$A16,Velas_máscara!$A$8:$A$52,0),MATCH(Velas!N$7,Velas_máscara!$C$7:$V$7,0))*qtdsemana,"")</f>
        <v>0</v>
      </c>
      <c r="O16" s="102">
        <f>IFERROR(INDEX(Velas_máscara!$C$8:$V$52,MATCH(Velas!$A16,Velas_máscara!$A$8:$A$52,0),MATCH(Velas!O$7,Velas_máscara!$C$7:$V$7,0))*qtdsemana,"")</f>
        <v>0</v>
      </c>
      <c r="P16" s="102">
        <f>IFERROR(INDEX(Velas_máscara!$C$8:$V$52,MATCH(Velas!$A16,Velas_máscara!$A$8:$A$52,0),MATCH(Velas!P$7,Velas_máscara!$C$7:$V$7,0))*qtdsemana,"")</f>
        <v>0</v>
      </c>
      <c r="Q16" s="102">
        <f>IFERROR(INDEX(Velas_máscara!$C$8:$V$52,MATCH(Velas!$A16,Velas_máscara!$A$8:$A$52,0),MATCH(Velas!Q$7,Velas_máscara!$C$7:$V$7,0))*qtdsemana,"")</f>
        <v>0</v>
      </c>
      <c r="R16" s="102">
        <f>IFERROR(INDEX(Velas_máscara!$C$8:$V$52,MATCH(Velas!$A16,Velas_máscara!$A$8:$A$52,0),MATCH(Velas!R$7,Velas_máscara!$C$7:$V$7,0))*qtdsemana,"")</f>
        <v>0</v>
      </c>
      <c r="S16" s="102">
        <f>IFERROR(INDEX(Velas_máscara!$C$8:$V$52,MATCH(Velas!$A16,Velas_máscara!$A$8:$A$52,0),MATCH(Velas!S$7,Velas_máscara!$C$7:$V$7,0))*qtdsemana,"")</f>
        <v>0</v>
      </c>
      <c r="T16" s="102">
        <f>IFERROR(INDEX(Velas_máscara!$C$8:$V$52,MATCH(Velas!$A16,Velas_máscara!$A$8:$A$52,0),MATCH(Velas!T$7,Velas_máscara!$C$7:$V$7,0))*qtdsemana,"")</f>
        <v>0</v>
      </c>
      <c r="U16" s="102">
        <f>IFERROR(INDEX(Velas_máscara!$C$8:$V$52,MATCH(Velas!$A16,Velas_máscara!$A$8:$A$52,0),MATCH(Velas!U$7,Velas_máscara!$C$7:$V$7,0))*qtdsemana,"")</f>
        <v>0</v>
      </c>
      <c r="V16" s="102">
        <f>IFERROR(INDEX(Velas_máscara!$C$8:$V$52,MATCH(Velas!$A16,Velas_máscara!$A$8:$A$52,0),MATCH(Velas!V$7,Velas_máscara!$C$7:$V$7,0))*qtdsemana,"")</f>
        <v>0</v>
      </c>
      <c r="W16" s="98">
        <f t="shared" si="2"/>
        <v>0</v>
      </c>
      <c r="X16" s="103">
        <f t="shared" si="3"/>
        <v>0</v>
      </c>
      <c r="Y16" s="103">
        <f t="shared" si="4"/>
        <v>0</v>
      </c>
    </row>
    <row r="17" spans="1:27" s="98" customFormat="1">
      <c r="A17" s="101" t="s">
        <v>122</v>
      </c>
      <c r="B17" s="101"/>
      <c r="C17" s="102">
        <f>IFERROR(INDEX(Velas_máscara!$C$8:$V$52,MATCH(Velas!$A17,Velas_máscara!$A$8:$A$52,0),MATCH(Velas!C$7,Velas_máscara!$C$7:$V$7,0))*qtdsemana,"")</f>
        <v>0</v>
      </c>
      <c r="D17" s="102">
        <f>IFERROR(INDEX(Velas_máscara!$C$8:$V$52,MATCH(Velas!$A17,Velas_máscara!$A$8:$A$52,0),MATCH(Velas!D$7,Velas_máscara!$C$7:$V$7,0))*qtdsemana,"")</f>
        <v>0</v>
      </c>
      <c r="E17" s="102">
        <f>IFERROR(INDEX(Velas_máscara!$C$8:$V$52,MATCH(Velas!$A17,Velas_máscara!$A$8:$A$52,0),MATCH(Velas!E$7,Velas_máscara!$C$7:$V$7,0))*qtdsemana,"")</f>
        <v>0</v>
      </c>
      <c r="F17" s="102">
        <f>IFERROR(INDEX(Velas_máscara!$C$8:$V$52,MATCH(Velas!$A17,Velas_máscara!$A$8:$A$52,0),MATCH(Velas!F$7,Velas_máscara!$C$7:$V$7,0))*qtdsemana,"")</f>
        <v>0</v>
      </c>
      <c r="G17" s="102">
        <f>IFERROR(INDEX(Velas_máscara!$C$8:$V$52,MATCH(Velas!$A17,Velas_máscara!$A$8:$A$52,0),MATCH(Velas!G$7,Velas_máscara!$C$7:$V$7,0))*qtdsemana,"")</f>
        <v>0</v>
      </c>
      <c r="H17" s="102">
        <f>IFERROR(INDEX(Velas_máscara!$C$8:$V$52,MATCH(Velas!$A17,Velas_máscara!$A$8:$A$52,0),MATCH(Velas!H$7,Velas_máscara!$C$7:$V$7,0))*qtdsemana,"")</f>
        <v>0</v>
      </c>
      <c r="I17" s="102">
        <f>IFERROR(INDEX(Velas_máscara!$C$8:$V$52,MATCH(Velas!$A17,Velas_máscara!$A$8:$A$52,0),MATCH(Velas!I$7,Velas_máscara!$C$7:$V$7,0))*qtdsemana,"")</f>
        <v>0</v>
      </c>
      <c r="J17" s="102">
        <f>IFERROR(INDEX(Velas_máscara!$C$8:$V$52,MATCH(Velas!$A17,Velas_máscara!$A$8:$A$52,0),MATCH(Velas!J$7,Velas_máscara!$C$7:$V$7,0))*qtdsemana,"")</f>
        <v>0</v>
      </c>
      <c r="K17" s="102">
        <f>IFERROR(INDEX(Velas_máscara!$C$8:$V$52,MATCH(Velas!$A17,Velas_máscara!$A$8:$A$52,0),MATCH(Velas!K$7,Velas_máscara!$C$7:$V$7,0))*qtdsemana,"")</f>
        <v>0</v>
      </c>
      <c r="L17" s="102">
        <f>IFERROR(INDEX(Velas_máscara!$C$8:$V$52,MATCH(Velas!$A17,Velas_máscara!$A$8:$A$52,0),MATCH(Velas!L$7,Velas_máscara!$C$7:$V$7,0))*qtdsemana,"")</f>
        <v>0</v>
      </c>
      <c r="M17" s="102">
        <f>IFERROR(INDEX(Velas_máscara!$C$8:$V$52,MATCH(Velas!$A17,Velas_máscara!$A$8:$A$52,0),MATCH(Velas!M$7,Velas_máscara!$C$7:$V$7,0))*qtdsemana,"")</f>
        <v>0</v>
      </c>
      <c r="N17" s="102">
        <f>IFERROR(INDEX(Velas_máscara!$C$8:$V$52,MATCH(Velas!$A17,Velas_máscara!$A$8:$A$52,0),MATCH(Velas!N$7,Velas_máscara!$C$7:$V$7,0))*qtdsemana,"")</f>
        <v>0</v>
      </c>
      <c r="O17" s="102">
        <f>IFERROR(INDEX(Velas_máscara!$C$8:$V$52,MATCH(Velas!$A17,Velas_máscara!$A$8:$A$52,0),MATCH(Velas!O$7,Velas_máscara!$C$7:$V$7,0))*qtdsemana,"")</f>
        <v>0</v>
      </c>
      <c r="P17" s="102">
        <f>IFERROR(INDEX(Velas_máscara!$C$8:$V$52,MATCH(Velas!$A17,Velas_máscara!$A$8:$A$52,0),MATCH(Velas!P$7,Velas_máscara!$C$7:$V$7,0))*qtdsemana,"")</f>
        <v>0</v>
      </c>
      <c r="Q17" s="102">
        <f>IFERROR(INDEX(Velas_máscara!$C$8:$V$52,MATCH(Velas!$A17,Velas_máscara!$A$8:$A$52,0),MATCH(Velas!Q$7,Velas_máscara!$C$7:$V$7,0))*qtdsemana,"")</f>
        <v>0</v>
      </c>
      <c r="R17" s="102">
        <f>IFERROR(INDEX(Velas_máscara!$C$8:$V$52,MATCH(Velas!$A17,Velas_máscara!$A$8:$A$52,0),MATCH(Velas!R$7,Velas_máscara!$C$7:$V$7,0))*qtdsemana,"")</f>
        <v>0</v>
      </c>
      <c r="S17" s="102">
        <f>IFERROR(INDEX(Velas_máscara!$C$8:$V$52,MATCH(Velas!$A17,Velas_máscara!$A$8:$A$52,0),MATCH(Velas!S$7,Velas_máscara!$C$7:$V$7,0))*qtdsemana,"")</f>
        <v>0</v>
      </c>
      <c r="T17" s="102">
        <f>IFERROR(INDEX(Velas_máscara!$C$8:$V$52,MATCH(Velas!$A17,Velas_máscara!$A$8:$A$52,0),MATCH(Velas!T$7,Velas_máscara!$C$7:$V$7,0))*qtdsemana,"")</f>
        <v>0</v>
      </c>
      <c r="U17" s="102">
        <f>IFERROR(INDEX(Velas_máscara!$C$8:$V$52,MATCH(Velas!$A17,Velas_máscara!$A$8:$A$52,0),MATCH(Velas!U$7,Velas_máscara!$C$7:$V$7,0))*qtdsemana,"")</f>
        <v>0</v>
      </c>
      <c r="V17" s="102">
        <f>IFERROR(INDEX(Velas_máscara!$C$8:$V$52,MATCH(Velas!$A17,Velas_máscara!$A$8:$A$52,0),MATCH(Velas!V$7,Velas_máscara!$C$7:$V$7,0))*qtdsemana,"")</f>
        <v>0</v>
      </c>
      <c r="W17" s="98">
        <f t="shared" si="2"/>
        <v>0</v>
      </c>
      <c r="X17" s="103">
        <f t="shared" si="3"/>
        <v>0</v>
      </c>
      <c r="Y17" s="103">
        <f t="shared" si="4"/>
        <v>0</v>
      </c>
    </row>
    <row r="18" spans="1:27" s="98" customFormat="1">
      <c r="A18" s="101" t="s">
        <v>81</v>
      </c>
      <c r="B18" s="101"/>
      <c r="C18" s="92">
        <f>IFERROR(INDEX(Velas_máscara!$C$8:$V$52,MATCH(Velas!$A18,Velas_máscara!$A$8:$A$52,0),MATCH(Velas!C$7,Velas_máscara!$C$7:$V$7,0))*qtdsemana,"")</f>
        <v>0</v>
      </c>
      <c r="D18" s="92">
        <f>IFERROR(INDEX(Velas_máscara!$C$8:$V$52,MATCH(Velas!$A18,Velas_máscara!$A$8:$A$52,0),MATCH(Velas!D$7,Velas_máscara!$C$7:$V$7,0))*qtdsemana,"")</f>
        <v>0</v>
      </c>
      <c r="E18" s="92">
        <f>IFERROR(INDEX(Velas_máscara!$C$8:$V$52,MATCH(Velas!$A18,Velas_máscara!$A$8:$A$52,0),MATCH(Velas!E$7,Velas_máscara!$C$7:$V$7,0))*qtdsemana,"")</f>
        <v>0</v>
      </c>
      <c r="F18" s="92">
        <f>IFERROR(INDEX(Velas_máscara!$C$8:$V$52,MATCH(Velas!$A18,Velas_máscara!$A$8:$A$52,0),MATCH(Velas!F$7,Velas_máscara!$C$7:$V$7,0))*qtdsemana,"")</f>
        <v>0</v>
      </c>
      <c r="G18" s="92">
        <f>IFERROR(INDEX(Velas_máscara!$C$8:$V$52,MATCH(Velas!$A18,Velas_máscara!$A$8:$A$52,0),MATCH(Velas!G$7,Velas_máscara!$C$7:$V$7,0))*qtdsemana,"")</f>
        <v>0</v>
      </c>
      <c r="H18" s="92">
        <f>IFERROR(INDEX(Velas_máscara!$C$8:$V$52,MATCH(Velas!$A18,Velas_máscara!$A$8:$A$52,0),MATCH(Velas!H$7,Velas_máscara!$C$7:$V$7,0))*qtdsemana,"")</f>
        <v>0</v>
      </c>
      <c r="I18" s="92">
        <f>IFERROR(INDEX(Velas_máscara!$C$8:$V$52,MATCH(Velas!$A18,Velas_máscara!$A$8:$A$52,0),MATCH(Velas!I$7,Velas_máscara!$C$7:$V$7,0))*qtdsemana,"")</f>
        <v>0</v>
      </c>
      <c r="J18" s="92">
        <f>IFERROR(INDEX(Velas_máscara!$C$8:$V$52,MATCH(Velas!$A18,Velas_máscara!$A$8:$A$52,0),MATCH(Velas!J$7,Velas_máscara!$C$7:$V$7,0))*qtdsemana,"")</f>
        <v>4</v>
      </c>
      <c r="K18" s="92">
        <f>IFERROR(INDEX(Velas_máscara!$C$8:$V$52,MATCH(Velas!$A18,Velas_máscara!$A$8:$A$52,0),MATCH(Velas!K$7,Velas_máscara!$C$7:$V$7,0))*qtdsemana,"")</f>
        <v>0</v>
      </c>
      <c r="L18" s="92">
        <f>IFERROR(INDEX(Velas_máscara!$C$8:$V$52,MATCH(Velas!$A18,Velas_máscara!$A$8:$A$52,0),MATCH(Velas!L$7,Velas_máscara!$C$7:$V$7,0))*qtdsemana,"")</f>
        <v>0</v>
      </c>
      <c r="M18" s="92">
        <f>IFERROR(INDEX(Velas_máscara!$C$8:$V$52,MATCH(Velas!$A18,Velas_máscara!$A$8:$A$52,0),MATCH(Velas!M$7,Velas_máscara!$C$7:$V$7,0))*qtdsemana,"")</f>
        <v>0</v>
      </c>
      <c r="N18" s="92">
        <f>IFERROR(INDEX(Velas_máscara!$C$8:$V$52,MATCH(Velas!$A18,Velas_máscara!$A$8:$A$52,0),MATCH(Velas!N$7,Velas_máscara!$C$7:$V$7,0))*qtdsemana,"")</f>
        <v>0</v>
      </c>
      <c r="O18" s="92">
        <f>IFERROR(INDEX(Velas_máscara!$C$8:$V$52,MATCH(Velas!$A18,Velas_máscara!$A$8:$A$52,0),MATCH(Velas!O$7,Velas_máscara!$C$7:$V$7,0))*qtdsemana,"")</f>
        <v>0</v>
      </c>
      <c r="P18" s="92">
        <f>IFERROR(INDEX(Velas_máscara!$C$8:$V$52,MATCH(Velas!$A18,Velas_máscara!$A$8:$A$52,0),MATCH(Velas!P$7,Velas_máscara!$C$7:$V$7,0))*qtdsemana,"")</f>
        <v>4</v>
      </c>
      <c r="Q18" s="92">
        <f>IFERROR(INDEX(Velas_máscara!$C$8:$V$52,MATCH(Velas!$A18,Velas_máscara!$A$8:$A$52,0),MATCH(Velas!Q$7,Velas_máscara!$C$7:$V$7,0))*qtdsemana,"")</f>
        <v>0</v>
      </c>
      <c r="R18" s="92">
        <f>IFERROR(INDEX(Velas_máscara!$C$8:$V$52,MATCH(Velas!$A18,Velas_máscara!$A$8:$A$52,0),MATCH(Velas!R$7,Velas_máscara!$C$7:$V$7,0))*qtdsemana,"")</f>
        <v>4</v>
      </c>
      <c r="S18" s="92">
        <f>IFERROR(INDEX(Velas_máscara!$C$8:$V$52,MATCH(Velas!$A18,Velas_máscara!$A$8:$A$52,0),MATCH(Velas!S$7,Velas_máscara!$C$7:$V$7,0))*qtdsemana,"")</f>
        <v>0</v>
      </c>
      <c r="T18" s="92">
        <f>IFERROR(INDEX(Velas_máscara!$C$8:$V$52,MATCH(Velas!$A18,Velas_máscara!$A$8:$A$52,0),MATCH(Velas!T$7,Velas_máscara!$C$7:$V$7,0))*qtdsemana,"")</f>
        <v>0</v>
      </c>
      <c r="U18" s="92">
        <f>IFERROR(INDEX(Velas_máscara!$C$8:$V$52,MATCH(Velas!$A18,Velas_máscara!$A$8:$A$52,0),MATCH(Velas!U$7,Velas_máscara!$C$7:$V$7,0))*qtdsemana,"")</f>
        <v>0</v>
      </c>
      <c r="V18" s="92">
        <f>IFERROR(INDEX(Velas_máscara!$C$8:$V$52,MATCH(Velas!$A18,Velas_máscara!$A$8:$A$52,0),MATCH(Velas!V$7,Velas_máscara!$C$7:$V$7,0))*qtdsemana,"")</f>
        <v>4</v>
      </c>
      <c r="W18" s="98">
        <f t="shared" si="2"/>
        <v>16</v>
      </c>
      <c r="X18" s="103">
        <f t="shared" si="3"/>
        <v>41.6</v>
      </c>
      <c r="Y18" s="103">
        <f t="shared" si="4"/>
        <v>54.4</v>
      </c>
      <c r="Z18" s="98" t="s">
        <v>179</v>
      </c>
      <c r="AA18"/>
    </row>
    <row r="19" spans="1:27" s="98" customFormat="1">
      <c r="A19" s="101" t="s">
        <v>138</v>
      </c>
      <c r="B19" s="101"/>
      <c r="C19" s="92">
        <f>IFERROR(INDEX(Velas_máscara!$C$8:$V$52,MATCH(Velas!$A19,Velas_máscara!$A$8:$A$52,0),MATCH(Velas!C$7,Velas_máscara!$C$7:$V$7,0))*qtdsemana,"")</f>
        <v>0</v>
      </c>
      <c r="D19" s="92">
        <f>IFERROR(INDEX(Velas_máscara!$C$8:$V$52,MATCH(Velas!$A19,Velas_máscara!$A$8:$A$52,0),MATCH(Velas!D$7,Velas_máscara!$C$7:$V$7,0))*qtdsemana,"")</f>
        <v>0</v>
      </c>
      <c r="E19" s="92">
        <f>IFERROR(INDEX(Velas_máscara!$C$8:$V$52,MATCH(Velas!$A19,Velas_máscara!$A$8:$A$52,0),MATCH(Velas!E$7,Velas_máscara!$C$7:$V$7,0))*qtdsemana,"")</f>
        <v>0</v>
      </c>
      <c r="F19" s="92">
        <f>IFERROR(INDEX(Velas_máscara!$C$8:$V$52,MATCH(Velas!$A19,Velas_máscara!$A$8:$A$52,0),MATCH(Velas!F$7,Velas_máscara!$C$7:$V$7,0))*qtdsemana,"")</f>
        <v>0</v>
      </c>
      <c r="G19" s="92">
        <f>IFERROR(INDEX(Velas_máscara!$C$8:$V$52,MATCH(Velas!$A19,Velas_máscara!$A$8:$A$52,0),MATCH(Velas!G$7,Velas_máscara!$C$7:$V$7,0))*qtdsemana,"")</f>
        <v>0</v>
      </c>
      <c r="H19" s="92">
        <f>IFERROR(INDEX(Velas_máscara!$C$8:$V$52,MATCH(Velas!$A19,Velas_máscara!$A$8:$A$52,0),MATCH(Velas!H$7,Velas_máscara!$C$7:$V$7,0))*qtdsemana,"")</f>
        <v>0</v>
      </c>
      <c r="I19" s="92">
        <f>IFERROR(INDEX(Velas_máscara!$C$8:$V$52,MATCH(Velas!$A19,Velas_máscara!$A$8:$A$52,0),MATCH(Velas!I$7,Velas_máscara!$C$7:$V$7,0))*qtdsemana,"")</f>
        <v>0</v>
      </c>
      <c r="J19" s="92">
        <f>IFERROR(INDEX(Velas_máscara!$C$8:$V$52,MATCH(Velas!$A19,Velas_máscara!$A$8:$A$52,0),MATCH(Velas!J$7,Velas_máscara!$C$7:$V$7,0))*qtdsemana,"")</f>
        <v>4</v>
      </c>
      <c r="K19" s="92">
        <f>IFERROR(INDEX(Velas_máscara!$C$8:$V$52,MATCH(Velas!$A19,Velas_máscara!$A$8:$A$52,0),MATCH(Velas!K$7,Velas_máscara!$C$7:$V$7,0))*qtdsemana,"")</f>
        <v>0</v>
      </c>
      <c r="L19" s="92">
        <f>IFERROR(INDEX(Velas_máscara!$C$8:$V$52,MATCH(Velas!$A19,Velas_máscara!$A$8:$A$52,0),MATCH(Velas!L$7,Velas_máscara!$C$7:$V$7,0))*qtdsemana,"")</f>
        <v>0</v>
      </c>
      <c r="M19" s="92">
        <f>IFERROR(INDEX(Velas_máscara!$C$8:$V$52,MATCH(Velas!$A19,Velas_máscara!$A$8:$A$52,0),MATCH(Velas!M$7,Velas_máscara!$C$7:$V$7,0))*qtdsemana,"")</f>
        <v>0</v>
      </c>
      <c r="N19" s="92">
        <f>IFERROR(INDEX(Velas_máscara!$C$8:$V$52,MATCH(Velas!$A19,Velas_máscara!$A$8:$A$52,0),MATCH(Velas!N$7,Velas_máscara!$C$7:$V$7,0))*qtdsemana,"")</f>
        <v>0</v>
      </c>
      <c r="O19" s="92">
        <f>IFERROR(INDEX(Velas_máscara!$C$8:$V$52,MATCH(Velas!$A19,Velas_máscara!$A$8:$A$52,0),MATCH(Velas!O$7,Velas_máscara!$C$7:$V$7,0))*qtdsemana,"")</f>
        <v>0</v>
      </c>
      <c r="P19" s="92">
        <f>IFERROR(INDEX(Velas_máscara!$C$8:$V$52,MATCH(Velas!$A19,Velas_máscara!$A$8:$A$52,0),MATCH(Velas!P$7,Velas_máscara!$C$7:$V$7,0))*qtdsemana,"")</f>
        <v>0</v>
      </c>
      <c r="Q19" s="92">
        <f>IFERROR(INDEX(Velas_máscara!$C$8:$V$52,MATCH(Velas!$A19,Velas_máscara!$A$8:$A$52,0),MATCH(Velas!Q$7,Velas_máscara!$C$7:$V$7,0))*qtdsemana,"")</f>
        <v>0</v>
      </c>
      <c r="R19" s="92">
        <f>IFERROR(INDEX(Velas_máscara!$C$8:$V$52,MATCH(Velas!$A19,Velas_máscara!$A$8:$A$52,0),MATCH(Velas!R$7,Velas_máscara!$C$7:$V$7,0))*qtdsemana,"")</f>
        <v>0</v>
      </c>
      <c r="S19" s="92">
        <f>IFERROR(INDEX(Velas_máscara!$C$8:$V$52,MATCH(Velas!$A19,Velas_máscara!$A$8:$A$52,0),MATCH(Velas!S$7,Velas_máscara!$C$7:$V$7,0))*qtdsemana,"")</f>
        <v>0</v>
      </c>
      <c r="T19" s="92">
        <f>IFERROR(INDEX(Velas_máscara!$C$8:$V$52,MATCH(Velas!$A19,Velas_máscara!$A$8:$A$52,0),MATCH(Velas!T$7,Velas_máscara!$C$7:$V$7,0))*qtdsemana,"")</f>
        <v>0</v>
      </c>
      <c r="U19" s="92">
        <f>IFERROR(INDEX(Velas_máscara!$C$8:$V$52,MATCH(Velas!$A19,Velas_máscara!$A$8:$A$52,0),MATCH(Velas!U$7,Velas_máscara!$C$7:$V$7,0))*qtdsemana,"")</f>
        <v>0</v>
      </c>
      <c r="V19" s="92">
        <f>IFERROR(INDEX(Velas_máscara!$C$8:$V$52,MATCH(Velas!$A19,Velas_máscara!$A$8:$A$52,0),MATCH(Velas!V$7,Velas_máscara!$C$7:$V$7,0))*qtdsemana,"")</f>
        <v>0</v>
      </c>
      <c r="W19" s="98">
        <f t="shared" si="2"/>
        <v>4</v>
      </c>
      <c r="X19" s="103">
        <f t="shared" si="3"/>
        <v>10.4</v>
      </c>
      <c r="Y19" s="103">
        <f t="shared" si="4"/>
        <v>13.6</v>
      </c>
      <c r="AA19"/>
    </row>
    <row r="20" spans="1:27" s="98" customFormat="1">
      <c r="A20" s="101" t="s">
        <v>141</v>
      </c>
      <c r="B20" s="101"/>
      <c r="C20" s="92">
        <f>IFERROR(INDEX(Velas_máscara!$C$8:$V$52,MATCH(Velas!$A20,Velas_máscara!$A$8:$A$52,0),MATCH(Velas!C$7,Velas_máscara!$C$7:$V$7,0))*qtdsemana,"")</f>
        <v>0</v>
      </c>
      <c r="D20" s="92">
        <f>IFERROR(INDEX(Velas_máscara!$C$8:$V$52,MATCH(Velas!$A20,Velas_máscara!$A$8:$A$52,0),MATCH(Velas!D$7,Velas_máscara!$C$7:$V$7,0))*qtdsemana,"")</f>
        <v>0</v>
      </c>
      <c r="E20" s="92">
        <f>IFERROR(INDEX(Velas_máscara!$C$8:$V$52,MATCH(Velas!$A20,Velas_máscara!$A$8:$A$52,0),MATCH(Velas!E$7,Velas_máscara!$C$7:$V$7,0))*qtdsemana,"")</f>
        <v>0</v>
      </c>
      <c r="F20" s="92">
        <f>IFERROR(INDEX(Velas_máscara!$C$8:$V$52,MATCH(Velas!$A20,Velas_máscara!$A$8:$A$52,0),MATCH(Velas!F$7,Velas_máscara!$C$7:$V$7,0))*qtdsemana,"")</f>
        <v>0</v>
      </c>
      <c r="G20" s="92">
        <f>IFERROR(INDEX(Velas_máscara!$C$8:$V$52,MATCH(Velas!$A20,Velas_máscara!$A$8:$A$52,0),MATCH(Velas!G$7,Velas_máscara!$C$7:$V$7,0))*qtdsemana,"")</f>
        <v>0</v>
      </c>
      <c r="H20" s="92">
        <f>IFERROR(INDEX(Velas_máscara!$C$8:$V$52,MATCH(Velas!$A20,Velas_máscara!$A$8:$A$52,0),MATCH(Velas!H$7,Velas_máscara!$C$7:$V$7,0))*qtdsemana,"")</f>
        <v>0</v>
      </c>
      <c r="I20" s="92">
        <f>IFERROR(INDEX(Velas_máscara!$C$8:$V$52,MATCH(Velas!$A20,Velas_máscara!$A$8:$A$52,0),MATCH(Velas!I$7,Velas_máscara!$C$7:$V$7,0))*qtdsemana,"")</f>
        <v>0</v>
      </c>
      <c r="J20" s="92">
        <f>IFERROR(INDEX(Velas_máscara!$C$8:$V$52,MATCH(Velas!$A20,Velas_máscara!$A$8:$A$52,0),MATCH(Velas!J$7,Velas_máscara!$C$7:$V$7,0))*qtdsemana,"")</f>
        <v>4</v>
      </c>
      <c r="K20" s="92">
        <f>IFERROR(INDEX(Velas_máscara!$C$8:$V$52,MATCH(Velas!$A20,Velas_máscara!$A$8:$A$52,0),MATCH(Velas!K$7,Velas_máscara!$C$7:$V$7,0))*qtdsemana,"")</f>
        <v>0</v>
      </c>
      <c r="L20" s="92">
        <f>IFERROR(INDEX(Velas_máscara!$C$8:$V$52,MATCH(Velas!$A20,Velas_máscara!$A$8:$A$52,0),MATCH(Velas!L$7,Velas_máscara!$C$7:$V$7,0))*qtdsemana,"")</f>
        <v>0</v>
      </c>
      <c r="M20" s="92">
        <f>IFERROR(INDEX(Velas_máscara!$C$8:$V$52,MATCH(Velas!$A20,Velas_máscara!$A$8:$A$52,0),MATCH(Velas!M$7,Velas_máscara!$C$7:$V$7,0))*qtdsemana,"")</f>
        <v>0</v>
      </c>
      <c r="N20" s="92">
        <f>IFERROR(INDEX(Velas_máscara!$C$8:$V$52,MATCH(Velas!$A20,Velas_máscara!$A$8:$A$52,0),MATCH(Velas!N$7,Velas_máscara!$C$7:$V$7,0))*qtdsemana,"")</f>
        <v>0</v>
      </c>
      <c r="O20" s="92">
        <f>IFERROR(INDEX(Velas_máscara!$C$8:$V$52,MATCH(Velas!$A20,Velas_máscara!$A$8:$A$52,0),MATCH(Velas!O$7,Velas_máscara!$C$7:$V$7,0))*qtdsemana,"")</f>
        <v>0</v>
      </c>
      <c r="P20" s="92">
        <f>IFERROR(INDEX(Velas_máscara!$C$8:$V$52,MATCH(Velas!$A20,Velas_máscara!$A$8:$A$52,0),MATCH(Velas!P$7,Velas_máscara!$C$7:$V$7,0))*qtdsemana,"")</f>
        <v>0</v>
      </c>
      <c r="Q20" s="92">
        <f>IFERROR(INDEX(Velas_máscara!$C$8:$V$52,MATCH(Velas!$A20,Velas_máscara!$A$8:$A$52,0),MATCH(Velas!Q$7,Velas_máscara!$C$7:$V$7,0))*qtdsemana,"")</f>
        <v>0</v>
      </c>
      <c r="R20" s="92">
        <f>IFERROR(INDEX(Velas_máscara!$C$8:$V$52,MATCH(Velas!$A20,Velas_máscara!$A$8:$A$52,0),MATCH(Velas!R$7,Velas_máscara!$C$7:$V$7,0))*qtdsemana,"")</f>
        <v>0</v>
      </c>
      <c r="S20" s="92">
        <f>IFERROR(INDEX(Velas_máscara!$C$8:$V$52,MATCH(Velas!$A20,Velas_máscara!$A$8:$A$52,0),MATCH(Velas!S$7,Velas_máscara!$C$7:$V$7,0))*qtdsemana,"")</f>
        <v>0</v>
      </c>
      <c r="T20" s="92">
        <f>IFERROR(INDEX(Velas_máscara!$C$8:$V$52,MATCH(Velas!$A20,Velas_máscara!$A$8:$A$52,0),MATCH(Velas!T$7,Velas_máscara!$C$7:$V$7,0))*qtdsemana,"")</f>
        <v>0</v>
      </c>
      <c r="U20" s="92">
        <f>IFERROR(INDEX(Velas_máscara!$C$8:$V$52,MATCH(Velas!$A20,Velas_máscara!$A$8:$A$52,0),MATCH(Velas!U$7,Velas_máscara!$C$7:$V$7,0))*qtdsemana,"")</f>
        <v>0</v>
      </c>
      <c r="V20" s="92">
        <f>IFERROR(INDEX(Velas_máscara!$C$8:$V$52,MATCH(Velas!$A20,Velas_máscara!$A$8:$A$52,0),MATCH(Velas!V$7,Velas_máscara!$C$7:$V$7,0))*qtdsemana,"")</f>
        <v>0</v>
      </c>
      <c r="W20" s="98">
        <f t="shared" si="2"/>
        <v>4</v>
      </c>
      <c r="X20" s="103">
        <f t="shared" si="3"/>
        <v>10.4</v>
      </c>
      <c r="Y20" s="103">
        <f t="shared" si="4"/>
        <v>13.6</v>
      </c>
      <c r="AA20"/>
    </row>
    <row r="21" spans="1:27" s="98" customFormat="1">
      <c r="A21" s="101" t="s">
        <v>142</v>
      </c>
      <c r="B21" s="101"/>
      <c r="C21" s="102">
        <f>IFERROR(INDEX(Velas_máscara!$C$8:$V$52,MATCH(Velas!$A21,Velas_máscara!$A$8:$A$52,0),MATCH(Velas!C$7,Velas_máscara!$C$7:$V$7,0))*qtdsemana,"")</f>
        <v>0</v>
      </c>
      <c r="D21" s="102">
        <f>IFERROR(INDEX(Velas_máscara!$C$8:$V$52,MATCH(Velas!$A21,Velas_máscara!$A$8:$A$52,0),MATCH(Velas!D$7,Velas_máscara!$C$7:$V$7,0))*qtdsemana,"")</f>
        <v>0</v>
      </c>
      <c r="E21" s="102">
        <f>IFERROR(INDEX(Velas_máscara!$C$8:$V$52,MATCH(Velas!$A21,Velas_máscara!$A$8:$A$52,0),MATCH(Velas!E$7,Velas_máscara!$C$7:$V$7,0))*qtdsemana,"")</f>
        <v>0</v>
      </c>
      <c r="F21" s="102">
        <f>IFERROR(INDEX(Velas_máscara!$C$8:$V$52,MATCH(Velas!$A21,Velas_máscara!$A$8:$A$52,0),MATCH(Velas!F$7,Velas_máscara!$C$7:$V$7,0))*qtdsemana,"")</f>
        <v>0</v>
      </c>
      <c r="G21" s="102">
        <f>IFERROR(INDEX(Velas_máscara!$C$8:$V$52,MATCH(Velas!$A21,Velas_máscara!$A$8:$A$52,0),MATCH(Velas!G$7,Velas_máscara!$C$7:$V$7,0))*qtdsemana,"")</f>
        <v>0</v>
      </c>
      <c r="H21" s="102">
        <f>IFERROR(INDEX(Velas_máscara!$C$8:$V$52,MATCH(Velas!$A21,Velas_máscara!$A$8:$A$52,0),MATCH(Velas!H$7,Velas_máscara!$C$7:$V$7,0))*qtdsemana,"")</f>
        <v>0</v>
      </c>
      <c r="I21" s="102">
        <f>IFERROR(INDEX(Velas_máscara!$C$8:$V$52,MATCH(Velas!$A21,Velas_máscara!$A$8:$A$52,0),MATCH(Velas!I$7,Velas_máscara!$C$7:$V$7,0))*qtdsemana,"")</f>
        <v>0</v>
      </c>
      <c r="J21" s="102">
        <f>IFERROR(INDEX(Velas_máscara!$C$8:$V$52,MATCH(Velas!$A21,Velas_máscara!$A$8:$A$52,0),MATCH(Velas!J$7,Velas_máscara!$C$7:$V$7,0))*qtdsemana,"")</f>
        <v>0</v>
      </c>
      <c r="K21" s="102">
        <f>IFERROR(INDEX(Velas_máscara!$C$8:$V$52,MATCH(Velas!$A21,Velas_máscara!$A$8:$A$52,0),MATCH(Velas!K$7,Velas_máscara!$C$7:$V$7,0))*qtdsemana,"")</f>
        <v>0</v>
      </c>
      <c r="L21" s="102">
        <f>IFERROR(INDEX(Velas_máscara!$C$8:$V$52,MATCH(Velas!$A21,Velas_máscara!$A$8:$A$52,0),MATCH(Velas!L$7,Velas_máscara!$C$7:$V$7,0))*qtdsemana,"")</f>
        <v>0</v>
      </c>
      <c r="M21" s="102">
        <f>IFERROR(INDEX(Velas_máscara!$C$8:$V$52,MATCH(Velas!$A21,Velas_máscara!$A$8:$A$52,0),MATCH(Velas!M$7,Velas_máscara!$C$7:$V$7,0))*qtdsemana,"")</f>
        <v>0</v>
      </c>
      <c r="N21" s="102">
        <f>IFERROR(INDEX(Velas_máscara!$C$8:$V$52,MATCH(Velas!$A21,Velas_máscara!$A$8:$A$52,0),MATCH(Velas!N$7,Velas_máscara!$C$7:$V$7,0))*qtdsemana,"")</f>
        <v>0</v>
      </c>
      <c r="O21" s="102">
        <f>IFERROR(INDEX(Velas_máscara!$C$8:$V$52,MATCH(Velas!$A21,Velas_máscara!$A$8:$A$52,0),MATCH(Velas!O$7,Velas_máscara!$C$7:$V$7,0))*qtdsemana,"")</f>
        <v>0</v>
      </c>
      <c r="P21" s="102">
        <f>IFERROR(INDEX(Velas_máscara!$C$8:$V$52,MATCH(Velas!$A21,Velas_máscara!$A$8:$A$52,0),MATCH(Velas!P$7,Velas_máscara!$C$7:$V$7,0))*qtdsemana,"")</f>
        <v>0</v>
      </c>
      <c r="Q21" s="102">
        <f>IFERROR(INDEX(Velas_máscara!$C$8:$V$52,MATCH(Velas!$A21,Velas_máscara!$A$8:$A$52,0),MATCH(Velas!Q$7,Velas_máscara!$C$7:$V$7,0))*qtdsemana,"")</f>
        <v>0</v>
      </c>
      <c r="R21" s="102">
        <f>IFERROR(INDEX(Velas_máscara!$C$8:$V$52,MATCH(Velas!$A21,Velas_máscara!$A$8:$A$52,0),MATCH(Velas!R$7,Velas_máscara!$C$7:$V$7,0))*qtdsemana,"")</f>
        <v>0</v>
      </c>
      <c r="S21" s="102">
        <f>IFERROR(INDEX(Velas_máscara!$C$8:$V$52,MATCH(Velas!$A21,Velas_máscara!$A$8:$A$52,0),MATCH(Velas!S$7,Velas_máscara!$C$7:$V$7,0))*qtdsemana,"")</f>
        <v>0</v>
      </c>
      <c r="T21" s="102">
        <f>IFERROR(INDEX(Velas_máscara!$C$8:$V$52,MATCH(Velas!$A21,Velas_máscara!$A$8:$A$52,0),MATCH(Velas!T$7,Velas_máscara!$C$7:$V$7,0))*qtdsemana,"")</f>
        <v>0</v>
      </c>
      <c r="U21" s="102">
        <f>IFERROR(INDEX(Velas_máscara!$C$8:$V$52,MATCH(Velas!$A21,Velas_máscara!$A$8:$A$52,0),MATCH(Velas!U$7,Velas_máscara!$C$7:$V$7,0))*qtdsemana,"")</f>
        <v>0</v>
      </c>
      <c r="V21" s="102">
        <f>IFERROR(INDEX(Velas_máscara!$C$8:$V$52,MATCH(Velas!$A21,Velas_máscara!$A$8:$A$52,0),MATCH(Velas!V$7,Velas_máscara!$C$7:$V$7,0))*qtdsemana,"")</f>
        <v>0</v>
      </c>
      <c r="W21" s="98">
        <f t="shared" si="2"/>
        <v>0</v>
      </c>
      <c r="X21" s="103">
        <f t="shared" si="3"/>
        <v>0</v>
      </c>
      <c r="Y21" s="103">
        <f t="shared" si="4"/>
        <v>0</v>
      </c>
    </row>
    <row r="22" spans="1:27" s="98" customFormat="1">
      <c r="A22" s="101" t="s">
        <v>101</v>
      </c>
      <c r="B22" s="101"/>
      <c r="C22" s="102">
        <f>IFERROR(INDEX(Velas_máscara!$C$8:$V$52,MATCH(Velas!$A22,Velas_máscara!$A$8:$A$52,0),MATCH(Velas!C$7,Velas_máscara!$C$7:$V$7,0))*qtdsemana,"")</f>
        <v>0</v>
      </c>
      <c r="D22" s="102">
        <f>IFERROR(INDEX(Velas_máscara!$C$8:$V$52,MATCH(Velas!$A22,Velas_máscara!$A$8:$A$52,0),MATCH(Velas!D$7,Velas_máscara!$C$7:$V$7,0))*qtdsemana,"")</f>
        <v>0</v>
      </c>
      <c r="E22" s="102">
        <f>IFERROR(INDEX(Velas_máscara!$C$8:$V$52,MATCH(Velas!$A22,Velas_máscara!$A$8:$A$52,0),MATCH(Velas!E$7,Velas_máscara!$C$7:$V$7,0))*qtdsemana,"")</f>
        <v>0</v>
      </c>
      <c r="F22" s="102">
        <f>IFERROR(INDEX(Velas_máscara!$C$8:$V$52,MATCH(Velas!$A22,Velas_máscara!$A$8:$A$52,0),MATCH(Velas!F$7,Velas_máscara!$C$7:$V$7,0))*qtdsemana,"")</f>
        <v>0</v>
      </c>
      <c r="G22" s="102">
        <f>IFERROR(INDEX(Velas_máscara!$C$8:$V$52,MATCH(Velas!$A22,Velas_máscara!$A$8:$A$52,0),MATCH(Velas!G$7,Velas_máscara!$C$7:$V$7,0))*qtdsemana,"")</f>
        <v>0</v>
      </c>
      <c r="H22" s="102">
        <f>IFERROR(INDEX(Velas_máscara!$C$8:$V$52,MATCH(Velas!$A22,Velas_máscara!$A$8:$A$52,0),MATCH(Velas!H$7,Velas_máscara!$C$7:$V$7,0))*qtdsemana,"")</f>
        <v>0</v>
      </c>
      <c r="I22" s="102">
        <f>IFERROR(INDEX(Velas_máscara!$C$8:$V$52,MATCH(Velas!$A22,Velas_máscara!$A$8:$A$52,0),MATCH(Velas!I$7,Velas_máscara!$C$7:$V$7,0))*qtdsemana,"")</f>
        <v>0</v>
      </c>
      <c r="J22" s="102">
        <f>IFERROR(INDEX(Velas_máscara!$C$8:$V$52,MATCH(Velas!$A22,Velas_máscara!$A$8:$A$52,0),MATCH(Velas!J$7,Velas_máscara!$C$7:$V$7,0))*qtdsemana,"")</f>
        <v>4</v>
      </c>
      <c r="K22" s="102">
        <f>IFERROR(INDEX(Velas_máscara!$C$8:$V$52,MATCH(Velas!$A22,Velas_máscara!$A$8:$A$52,0),MATCH(Velas!K$7,Velas_máscara!$C$7:$V$7,0))*qtdsemana,"")</f>
        <v>0</v>
      </c>
      <c r="L22" s="102">
        <f>IFERROR(INDEX(Velas_máscara!$C$8:$V$52,MATCH(Velas!$A22,Velas_máscara!$A$8:$A$52,0),MATCH(Velas!L$7,Velas_máscara!$C$7:$V$7,0))*qtdsemana,"")</f>
        <v>0</v>
      </c>
      <c r="M22" s="102">
        <f>IFERROR(INDEX(Velas_máscara!$C$8:$V$52,MATCH(Velas!$A22,Velas_máscara!$A$8:$A$52,0),MATCH(Velas!M$7,Velas_máscara!$C$7:$V$7,0))*qtdsemana,"")</f>
        <v>0</v>
      </c>
      <c r="N22" s="102">
        <f>IFERROR(INDEX(Velas_máscara!$C$8:$V$52,MATCH(Velas!$A22,Velas_máscara!$A$8:$A$52,0),MATCH(Velas!N$7,Velas_máscara!$C$7:$V$7,0))*qtdsemana,"")</f>
        <v>0</v>
      </c>
      <c r="O22" s="102">
        <f>IFERROR(INDEX(Velas_máscara!$C$8:$V$52,MATCH(Velas!$A22,Velas_máscara!$A$8:$A$52,0),MATCH(Velas!O$7,Velas_máscara!$C$7:$V$7,0))*qtdsemana,"")</f>
        <v>0</v>
      </c>
      <c r="P22" s="102">
        <f>IFERROR(INDEX(Velas_máscara!$C$8:$V$52,MATCH(Velas!$A22,Velas_máscara!$A$8:$A$52,0),MATCH(Velas!P$7,Velas_máscara!$C$7:$V$7,0))*qtdsemana,"")</f>
        <v>0</v>
      </c>
      <c r="Q22" s="102">
        <f>IFERROR(INDEX(Velas_máscara!$C$8:$V$52,MATCH(Velas!$A22,Velas_máscara!$A$8:$A$52,0),MATCH(Velas!Q$7,Velas_máscara!$C$7:$V$7,0))*qtdsemana,"")</f>
        <v>0</v>
      </c>
      <c r="R22" s="102">
        <f>IFERROR(INDEX(Velas_máscara!$C$8:$V$52,MATCH(Velas!$A22,Velas_máscara!$A$8:$A$52,0),MATCH(Velas!R$7,Velas_máscara!$C$7:$V$7,0))*qtdsemana,"")</f>
        <v>0</v>
      </c>
      <c r="S22" s="102">
        <f>IFERROR(INDEX(Velas_máscara!$C$8:$V$52,MATCH(Velas!$A22,Velas_máscara!$A$8:$A$52,0),MATCH(Velas!S$7,Velas_máscara!$C$7:$V$7,0))*qtdsemana,"")</f>
        <v>0</v>
      </c>
      <c r="T22" s="102">
        <f>IFERROR(INDEX(Velas_máscara!$C$8:$V$52,MATCH(Velas!$A22,Velas_máscara!$A$8:$A$52,0),MATCH(Velas!T$7,Velas_máscara!$C$7:$V$7,0))*qtdsemana,"")</f>
        <v>0</v>
      </c>
      <c r="U22" s="102">
        <f>IFERROR(INDEX(Velas_máscara!$C$8:$V$52,MATCH(Velas!$A22,Velas_máscara!$A$8:$A$52,0),MATCH(Velas!U$7,Velas_máscara!$C$7:$V$7,0))*qtdsemana,"")</f>
        <v>0</v>
      </c>
      <c r="V22" s="102">
        <f>IFERROR(INDEX(Velas_máscara!$C$8:$V$52,MATCH(Velas!$A22,Velas_máscara!$A$8:$A$52,0),MATCH(Velas!V$7,Velas_máscara!$C$7:$V$7,0))*qtdsemana,"")</f>
        <v>0</v>
      </c>
      <c r="W22" s="98">
        <f t="shared" si="2"/>
        <v>4</v>
      </c>
      <c r="X22" s="103">
        <f t="shared" si="3"/>
        <v>10.4</v>
      </c>
      <c r="Y22" s="103">
        <f t="shared" si="4"/>
        <v>13.6</v>
      </c>
    </row>
    <row r="23" spans="1:27" s="98" customFormat="1">
      <c r="A23" s="101" t="s">
        <v>143</v>
      </c>
      <c r="B23" s="101"/>
      <c r="C23" s="102">
        <f>IFERROR(INDEX(Velas_máscara!$C$8:$V$52,MATCH(Velas!$A23,Velas_máscara!$A$8:$A$52,0),MATCH(Velas!C$7,Velas_máscara!$C$7:$V$7,0))*qtdsemana,"")</f>
        <v>0</v>
      </c>
      <c r="D23" s="102">
        <f>IFERROR(INDEX(Velas_máscara!$C$8:$V$52,MATCH(Velas!$A23,Velas_máscara!$A$8:$A$52,0),MATCH(Velas!D$7,Velas_máscara!$C$7:$V$7,0))*qtdsemana,"")</f>
        <v>0</v>
      </c>
      <c r="E23" s="102">
        <f>IFERROR(INDEX(Velas_máscara!$C$8:$V$52,MATCH(Velas!$A23,Velas_máscara!$A$8:$A$52,0),MATCH(Velas!E$7,Velas_máscara!$C$7:$V$7,0))*qtdsemana,"")</f>
        <v>0</v>
      </c>
      <c r="F23" s="102">
        <f>IFERROR(INDEX(Velas_máscara!$C$8:$V$52,MATCH(Velas!$A23,Velas_máscara!$A$8:$A$52,0),MATCH(Velas!F$7,Velas_máscara!$C$7:$V$7,0))*qtdsemana,"")</f>
        <v>0</v>
      </c>
      <c r="G23" s="102">
        <f>IFERROR(INDEX(Velas_máscara!$C$8:$V$52,MATCH(Velas!$A23,Velas_máscara!$A$8:$A$52,0),MATCH(Velas!G$7,Velas_máscara!$C$7:$V$7,0))*qtdsemana,"")</f>
        <v>0</v>
      </c>
      <c r="H23" s="102">
        <f>IFERROR(INDEX(Velas_máscara!$C$8:$V$52,MATCH(Velas!$A23,Velas_máscara!$A$8:$A$52,0),MATCH(Velas!H$7,Velas_máscara!$C$7:$V$7,0))*qtdsemana,"")</f>
        <v>0</v>
      </c>
      <c r="I23" s="102">
        <f>IFERROR(INDEX(Velas_máscara!$C$8:$V$52,MATCH(Velas!$A23,Velas_máscara!$A$8:$A$52,0),MATCH(Velas!I$7,Velas_máscara!$C$7:$V$7,0))*qtdsemana,"")</f>
        <v>0</v>
      </c>
      <c r="J23" s="102">
        <f>IFERROR(INDEX(Velas_máscara!$C$8:$V$52,MATCH(Velas!$A23,Velas_máscara!$A$8:$A$52,0),MATCH(Velas!J$7,Velas_máscara!$C$7:$V$7,0))*qtdsemana,"")</f>
        <v>0</v>
      </c>
      <c r="K23" s="102">
        <f>IFERROR(INDEX(Velas_máscara!$C$8:$V$52,MATCH(Velas!$A23,Velas_máscara!$A$8:$A$52,0),MATCH(Velas!K$7,Velas_máscara!$C$7:$V$7,0))*qtdsemana,"")</f>
        <v>0</v>
      </c>
      <c r="L23" s="102">
        <f>IFERROR(INDEX(Velas_máscara!$C$8:$V$52,MATCH(Velas!$A23,Velas_máscara!$A$8:$A$52,0),MATCH(Velas!L$7,Velas_máscara!$C$7:$V$7,0))*qtdsemana,"")</f>
        <v>0</v>
      </c>
      <c r="M23" s="102">
        <f>IFERROR(INDEX(Velas_máscara!$C$8:$V$52,MATCH(Velas!$A23,Velas_máscara!$A$8:$A$52,0),MATCH(Velas!M$7,Velas_máscara!$C$7:$V$7,0))*qtdsemana,"")</f>
        <v>0</v>
      </c>
      <c r="N23" s="102">
        <f>IFERROR(INDEX(Velas_máscara!$C$8:$V$52,MATCH(Velas!$A23,Velas_máscara!$A$8:$A$52,0),MATCH(Velas!N$7,Velas_máscara!$C$7:$V$7,0))*qtdsemana,"")</f>
        <v>0</v>
      </c>
      <c r="O23" s="102">
        <f>IFERROR(INDEX(Velas_máscara!$C$8:$V$52,MATCH(Velas!$A23,Velas_máscara!$A$8:$A$52,0),MATCH(Velas!O$7,Velas_máscara!$C$7:$V$7,0))*qtdsemana,"")</f>
        <v>0</v>
      </c>
      <c r="P23" s="102">
        <f>IFERROR(INDEX(Velas_máscara!$C$8:$V$52,MATCH(Velas!$A23,Velas_máscara!$A$8:$A$52,0),MATCH(Velas!P$7,Velas_máscara!$C$7:$V$7,0))*qtdsemana,"")</f>
        <v>4</v>
      </c>
      <c r="Q23" s="102">
        <f>IFERROR(INDEX(Velas_máscara!$C$8:$V$52,MATCH(Velas!$A23,Velas_máscara!$A$8:$A$52,0),MATCH(Velas!Q$7,Velas_máscara!$C$7:$V$7,0))*qtdsemana,"")</f>
        <v>0</v>
      </c>
      <c r="R23" s="102">
        <f>IFERROR(INDEX(Velas_máscara!$C$8:$V$52,MATCH(Velas!$A23,Velas_máscara!$A$8:$A$52,0),MATCH(Velas!R$7,Velas_máscara!$C$7:$V$7,0))*qtdsemana,"")</f>
        <v>0</v>
      </c>
      <c r="S23" s="102">
        <f>IFERROR(INDEX(Velas_máscara!$C$8:$V$52,MATCH(Velas!$A23,Velas_máscara!$A$8:$A$52,0),MATCH(Velas!S$7,Velas_máscara!$C$7:$V$7,0))*qtdsemana,"")</f>
        <v>0</v>
      </c>
      <c r="T23" s="102">
        <f>IFERROR(INDEX(Velas_máscara!$C$8:$V$52,MATCH(Velas!$A23,Velas_máscara!$A$8:$A$52,0),MATCH(Velas!T$7,Velas_máscara!$C$7:$V$7,0))*qtdsemana,"")</f>
        <v>0</v>
      </c>
      <c r="U23" s="102">
        <f>IFERROR(INDEX(Velas_máscara!$C$8:$V$52,MATCH(Velas!$A23,Velas_máscara!$A$8:$A$52,0),MATCH(Velas!U$7,Velas_máscara!$C$7:$V$7,0))*qtdsemana,"")</f>
        <v>0</v>
      </c>
      <c r="V23" s="102">
        <f>IFERROR(INDEX(Velas_máscara!$C$8:$V$52,MATCH(Velas!$A23,Velas_máscara!$A$8:$A$52,0),MATCH(Velas!V$7,Velas_máscara!$C$7:$V$7,0))*qtdsemana,"")</f>
        <v>8</v>
      </c>
      <c r="W23" s="98">
        <f t="shared" si="2"/>
        <v>12</v>
      </c>
      <c r="X23" s="103">
        <f t="shared" si="3"/>
        <v>31.200000000000003</v>
      </c>
      <c r="Y23" s="103">
        <f t="shared" si="4"/>
        <v>40.799999999999997</v>
      </c>
    </row>
    <row r="24" spans="1:27" s="98" customFormat="1">
      <c r="A24" s="101" t="s">
        <v>90</v>
      </c>
      <c r="B24" s="101"/>
      <c r="C24" s="102">
        <f>IFERROR(INDEX(Velas_máscara!$C$8:$V$52,MATCH(Velas!$A24,Velas_máscara!$A$8:$A$52,0),MATCH(Velas!C$7,Velas_máscara!$C$7:$V$7,0))*qtdsemana,"")</f>
        <v>0</v>
      </c>
      <c r="D24" s="102">
        <f>IFERROR(INDEX(Velas_máscara!$C$8:$V$52,MATCH(Velas!$A24,Velas_máscara!$A$8:$A$52,0),MATCH(Velas!D$7,Velas_máscara!$C$7:$V$7,0))*qtdsemana,"")</f>
        <v>0</v>
      </c>
      <c r="E24" s="102">
        <f>IFERROR(INDEX(Velas_máscara!$C$8:$V$52,MATCH(Velas!$A24,Velas_máscara!$A$8:$A$52,0),MATCH(Velas!E$7,Velas_máscara!$C$7:$V$7,0))*qtdsemana,"")</f>
        <v>0</v>
      </c>
      <c r="F24" s="102">
        <f>IFERROR(INDEX(Velas_máscara!$C$8:$V$52,MATCH(Velas!$A24,Velas_máscara!$A$8:$A$52,0),MATCH(Velas!F$7,Velas_máscara!$C$7:$V$7,0))*qtdsemana,"")</f>
        <v>0</v>
      </c>
      <c r="G24" s="102">
        <f>IFERROR(INDEX(Velas_máscara!$C$8:$V$52,MATCH(Velas!$A24,Velas_máscara!$A$8:$A$52,0),MATCH(Velas!G$7,Velas_máscara!$C$7:$V$7,0))*qtdsemana,"")</f>
        <v>0</v>
      </c>
      <c r="H24" s="102">
        <f>IFERROR(INDEX(Velas_máscara!$C$8:$V$52,MATCH(Velas!$A24,Velas_máscara!$A$8:$A$52,0),MATCH(Velas!H$7,Velas_máscara!$C$7:$V$7,0))*qtdsemana,"")</f>
        <v>0</v>
      </c>
      <c r="I24" s="102">
        <f>IFERROR(INDEX(Velas_máscara!$C$8:$V$52,MATCH(Velas!$A24,Velas_máscara!$A$8:$A$52,0),MATCH(Velas!I$7,Velas_máscara!$C$7:$V$7,0))*qtdsemana,"")</f>
        <v>0</v>
      </c>
      <c r="J24" s="102">
        <f>IFERROR(INDEX(Velas_máscara!$C$8:$V$52,MATCH(Velas!$A24,Velas_máscara!$A$8:$A$52,0),MATCH(Velas!J$7,Velas_máscara!$C$7:$V$7,0))*qtdsemana,"")</f>
        <v>4</v>
      </c>
      <c r="K24" s="102">
        <f>IFERROR(INDEX(Velas_máscara!$C$8:$V$52,MATCH(Velas!$A24,Velas_máscara!$A$8:$A$52,0),MATCH(Velas!K$7,Velas_máscara!$C$7:$V$7,0))*qtdsemana,"")</f>
        <v>0</v>
      </c>
      <c r="L24" s="102">
        <f>IFERROR(INDEX(Velas_máscara!$C$8:$V$52,MATCH(Velas!$A24,Velas_máscara!$A$8:$A$52,0),MATCH(Velas!L$7,Velas_máscara!$C$7:$V$7,0))*qtdsemana,"")</f>
        <v>0</v>
      </c>
      <c r="M24" s="102">
        <f>IFERROR(INDEX(Velas_máscara!$C$8:$V$52,MATCH(Velas!$A24,Velas_máscara!$A$8:$A$52,0),MATCH(Velas!M$7,Velas_máscara!$C$7:$V$7,0))*qtdsemana,"")</f>
        <v>0</v>
      </c>
      <c r="N24" s="102">
        <f>IFERROR(INDEX(Velas_máscara!$C$8:$V$52,MATCH(Velas!$A24,Velas_máscara!$A$8:$A$52,0),MATCH(Velas!N$7,Velas_máscara!$C$7:$V$7,0))*qtdsemana,"")</f>
        <v>0</v>
      </c>
      <c r="O24" s="102">
        <f>IFERROR(INDEX(Velas_máscara!$C$8:$V$52,MATCH(Velas!$A24,Velas_máscara!$A$8:$A$52,0),MATCH(Velas!O$7,Velas_máscara!$C$7:$V$7,0))*qtdsemana,"")</f>
        <v>0</v>
      </c>
      <c r="P24" s="102">
        <f>IFERROR(INDEX(Velas_máscara!$C$8:$V$52,MATCH(Velas!$A24,Velas_máscara!$A$8:$A$52,0),MATCH(Velas!P$7,Velas_máscara!$C$7:$V$7,0))*qtdsemana,"")</f>
        <v>4</v>
      </c>
      <c r="Q24" s="102">
        <f>IFERROR(INDEX(Velas_máscara!$C$8:$V$52,MATCH(Velas!$A24,Velas_máscara!$A$8:$A$52,0),MATCH(Velas!Q$7,Velas_máscara!$C$7:$V$7,0))*qtdsemana,"")</f>
        <v>0</v>
      </c>
      <c r="R24" s="102">
        <f>IFERROR(INDEX(Velas_máscara!$C$8:$V$52,MATCH(Velas!$A24,Velas_máscara!$A$8:$A$52,0),MATCH(Velas!R$7,Velas_máscara!$C$7:$V$7,0))*qtdsemana,"")</f>
        <v>0</v>
      </c>
      <c r="S24" s="102">
        <f>IFERROR(INDEX(Velas_máscara!$C$8:$V$52,MATCH(Velas!$A24,Velas_máscara!$A$8:$A$52,0),MATCH(Velas!S$7,Velas_máscara!$C$7:$V$7,0))*qtdsemana,"")</f>
        <v>0</v>
      </c>
      <c r="T24" s="102">
        <f>IFERROR(INDEX(Velas_máscara!$C$8:$V$52,MATCH(Velas!$A24,Velas_máscara!$A$8:$A$52,0),MATCH(Velas!T$7,Velas_máscara!$C$7:$V$7,0))*qtdsemana,"")</f>
        <v>8</v>
      </c>
      <c r="U24" s="102">
        <f>IFERROR(INDEX(Velas_máscara!$C$8:$V$52,MATCH(Velas!$A24,Velas_máscara!$A$8:$A$52,0),MATCH(Velas!U$7,Velas_máscara!$C$7:$V$7,0))*qtdsemana,"")</f>
        <v>0</v>
      </c>
      <c r="V24" s="102">
        <f>IFERROR(INDEX(Velas_máscara!$C$8:$V$52,MATCH(Velas!$A24,Velas_máscara!$A$8:$A$52,0),MATCH(Velas!V$7,Velas_máscara!$C$7:$V$7,0))*qtdsemana,"")</f>
        <v>0</v>
      </c>
      <c r="W24" s="98">
        <f t="shared" si="2"/>
        <v>16</v>
      </c>
      <c r="X24" s="103">
        <f t="shared" si="3"/>
        <v>41.6</v>
      </c>
      <c r="Y24" s="103">
        <f t="shared" si="4"/>
        <v>54.4</v>
      </c>
      <c r="Z24" s="98" t="s">
        <v>179</v>
      </c>
    </row>
    <row r="25" spans="1:27" s="98" customFormat="1">
      <c r="A25" s="101" t="s">
        <v>125</v>
      </c>
      <c r="B25" s="101"/>
      <c r="C25" s="92">
        <f>IFERROR(INDEX(Velas_máscara!$C$8:$V$52,MATCH(Velas!$A25,Velas_máscara!$A$8:$A$52,0),MATCH(Velas!C$7,Velas_máscara!$C$7:$V$7,0))*qtdsemana,"")</f>
        <v>0</v>
      </c>
      <c r="D25" s="92">
        <f>IFERROR(INDEX(Velas_máscara!$C$8:$V$52,MATCH(Velas!$A25,Velas_máscara!$A$8:$A$52,0),MATCH(Velas!D$7,Velas_máscara!$C$7:$V$7,0))*qtdsemana,"")</f>
        <v>0</v>
      </c>
      <c r="E25" s="92">
        <f>IFERROR(INDEX(Velas_máscara!$C$8:$V$52,MATCH(Velas!$A25,Velas_máscara!$A$8:$A$52,0),MATCH(Velas!E$7,Velas_máscara!$C$7:$V$7,0))*qtdsemana,"")</f>
        <v>0</v>
      </c>
      <c r="F25" s="92">
        <f>IFERROR(INDEX(Velas_máscara!$C$8:$V$52,MATCH(Velas!$A25,Velas_máscara!$A$8:$A$52,0),MATCH(Velas!F$7,Velas_máscara!$C$7:$V$7,0))*qtdsemana,"")</f>
        <v>0</v>
      </c>
      <c r="G25" s="92">
        <f>IFERROR(INDEX(Velas_máscara!$C$8:$V$52,MATCH(Velas!$A25,Velas_máscara!$A$8:$A$52,0),MATCH(Velas!G$7,Velas_máscara!$C$7:$V$7,0))*qtdsemana,"")</f>
        <v>0</v>
      </c>
      <c r="H25" s="92">
        <f>IFERROR(INDEX(Velas_máscara!$C$8:$V$52,MATCH(Velas!$A25,Velas_máscara!$A$8:$A$52,0),MATCH(Velas!H$7,Velas_máscara!$C$7:$V$7,0))*qtdsemana,"")</f>
        <v>0</v>
      </c>
      <c r="I25" s="92">
        <f>IFERROR(INDEX(Velas_máscara!$C$8:$V$52,MATCH(Velas!$A25,Velas_máscara!$A$8:$A$52,0),MATCH(Velas!I$7,Velas_máscara!$C$7:$V$7,0))*qtdsemana,"")</f>
        <v>0</v>
      </c>
      <c r="J25" s="92">
        <f>IFERROR(INDEX(Velas_máscara!$C$8:$V$52,MATCH(Velas!$A25,Velas_máscara!$A$8:$A$52,0),MATCH(Velas!J$7,Velas_máscara!$C$7:$V$7,0))*qtdsemana,"")</f>
        <v>4</v>
      </c>
      <c r="K25" s="92">
        <f>IFERROR(INDEX(Velas_máscara!$C$8:$V$52,MATCH(Velas!$A25,Velas_máscara!$A$8:$A$52,0),MATCH(Velas!K$7,Velas_máscara!$C$7:$V$7,0))*qtdsemana,"")</f>
        <v>0</v>
      </c>
      <c r="L25" s="92">
        <f>IFERROR(INDEX(Velas_máscara!$C$8:$V$52,MATCH(Velas!$A25,Velas_máscara!$A$8:$A$52,0),MATCH(Velas!L$7,Velas_máscara!$C$7:$V$7,0))*qtdsemana,"")</f>
        <v>0</v>
      </c>
      <c r="M25" s="92">
        <f>IFERROR(INDEX(Velas_máscara!$C$8:$V$52,MATCH(Velas!$A25,Velas_máscara!$A$8:$A$52,0),MATCH(Velas!M$7,Velas_máscara!$C$7:$V$7,0))*qtdsemana,"")</f>
        <v>0</v>
      </c>
      <c r="N25" s="92">
        <f>IFERROR(INDEX(Velas_máscara!$C$8:$V$52,MATCH(Velas!$A25,Velas_máscara!$A$8:$A$52,0),MATCH(Velas!N$7,Velas_máscara!$C$7:$V$7,0))*qtdsemana,"")</f>
        <v>0</v>
      </c>
      <c r="O25" s="92">
        <f>IFERROR(INDEX(Velas_máscara!$C$8:$V$52,MATCH(Velas!$A25,Velas_máscara!$A$8:$A$52,0),MATCH(Velas!O$7,Velas_máscara!$C$7:$V$7,0))*qtdsemana,"")</f>
        <v>0</v>
      </c>
      <c r="P25" s="92">
        <f>IFERROR(INDEX(Velas_máscara!$C$8:$V$52,MATCH(Velas!$A25,Velas_máscara!$A$8:$A$52,0),MATCH(Velas!P$7,Velas_máscara!$C$7:$V$7,0))*qtdsemana,"")</f>
        <v>0</v>
      </c>
      <c r="Q25" s="92">
        <f>IFERROR(INDEX(Velas_máscara!$C$8:$V$52,MATCH(Velas!$A25,Velas_máscara!$A$8:$A$52,0),MATCH(Velas!Q$7,Velas_máscara!$C$7:$V$7,0))*qtdsemana,"")</f>
        <v>0</v>
      </c>
      <c r="R25" s="92">
        <f>IFERROR(INDEX(Velas_máscara!$C$8:$V$52,MATCH(Velas!$A25,Velas_máscara!$A$8:$A$52,0),MATCH(Velas!R$7,Velas_máscara!$C$7:$V$7,0))*qtdsemana,"")</f>
        <v>0</v>
      </c>
      <c r="S25" s="92">
        <f>IFERROR(INDEX(Velas_máscara!$C$8:$V$52,MATCH(Velas!$A25,Velas_máscara!$A$8:$A$52,0),MATCH(Velas!S$7,Velas_máscara!$C$7:$V$7,0))*qtdsemana,"")</f>
        <v>0</v>
      </c>
      <c r="T25" s="92">
        <f>IFERROR(INDEX(Velas_máscara!$C$8:$V$52,MATCH(Velas!$A25,Velas_máscara!$A$8:$A$52,0),MATCH(Velas!T$7,Velas_máscara!$C$7:$V$7,0))*qtdsemana,"")</f>
        <v>0</v>
      </c>
      <c r="U25" s="92">
        <f>IFERROR(INDEX(Velas_máscara!$C$8:$V$52,MATCH(Velas!$A25,Velas_máscara!$A$8:$A$52,0),MATCH(Velas!U$7,Velas_máscara!$C$7:$V$7,0))*qtdsemana,"")</f>
        <v>0</v>
      </c>
      <c r="V25" s="92">
        <f>IFERROR(INDEX(Velas_máscara!$C$8:$V$52,MATCH(Velas!$A25,Velas_máscara!$A$8:$A$52,0),MATCH(Velas!V$7,Velas_máscara!$C$7:$V$7,0))*qtdsemana,"")</f>
        <v>0</v>
      </c>
      <c r="W25" s="98">
        <f t="shared" si="2"/>
        <v>4</v>
      </c>
      <c r="X25" s="103">
        <f t="shared" si="3"/>
        <v>10.4</v>
      </c>
      <c r="Y25" s="103">
        <f t="shared" si="4"/>
        <v>13.6</v>
      </c>
      <c r="Z25" s="98" t="s">
        <v>179</v>
      </c>
      <c r="AA25"/>
    </row>
    <row r="26" spans="1:27" s="98" customFormat="1">
      <c r="A26" s="101" t="s">
        <v>91</v>
      </c>
      <c r="B26" s="101"/>
      <c r="C26" s="102">
        <f>IFERROR(INDEX(Velas_máscara!$C$8:$V$52,MATCH(Velas!$A26,Velas_máscara!$A$8:$A$52,0),MATCH(Velas!C$7,Velas_máscara!$C$7:$V$7,0))*qtdsemana,"")</f>
        <v>0</v>
      </c>
      <c r="D26" s="102">
        <f>IFERROR(INDEX(Velas_máscara!$C$8:$V$52,MATCH(Velas!$A26,Velas_máscara!$A$8:$A$52,0),MATCH(Velas!D$7,Velas_máscara!$C$7:$V$7,0))*qtdsemana,"")</f>
        <v>0</v>
      </c>
      <c r="E26" s="102">
        <f>IFERROR(INDEX(Velas_máscara!$C$8:$V$52,MATCH(Velas!$A26,Velas_máscara!$A$8:$A$52,0),MATCH(Velas!E$7,Velas_máscara!$C$7:$V$7,0))*qtdsemana,"")</f>
        <v>0</v>
      </c>
      <c r="F26" s="102">
        <f>IFERROR(INDEX(Velas_máscara!$C$8:$V$52,MATCH(Velas!$A26,Velas_máscara!$A$8:$A$52,0),MATCH(Velas!F$7,Velas_máscara!$C$7:$V$7,0))*qtdsemana,"")</f>
        <v>0</v>
      </c>
      <c r="G26" s="102">
        <f>IFERROR(INDEX(Velas_máscara!$C$8:$V$52,MATCH(Velas!$A26,Velas_máscara!$A$8:$A$52,0),MATCH(Velas!G$7,Velas_máscara!$C$7:$V$7,0))*qtdsemana,"")</f>
        <v>0</v>
      </c>
      <c r="H26" s="102">
        <f>IFERROR(INDEX(Velas_máscara!$C$8:$V$52,MATCH(Velas!$A26,Velas_máscara!$A$8:$A$52,0),MATCH(Velas!H$7,Velas_máscara!$C$7:$V$7,0))*qtdsemana,"")</f>
        <v>0</v>
      </c>
      <c r="I26" s="102">
        <f>IFERROR(INDEX(Velas_máscara!$C$8:$V$52,MATCH(Velas!$A26,Velas_máscara!$A$8:$A$52,0),MATCH(Velas!I$7,Velas_máscara!$C$7:$V$7,0))*qtdsemana,"")</f>
        <v>0</v>
      </c>
      <c r="J26" s="102">
        <f>IFERROR(INDEX(Velas_máscara!$C$8:$V$52,MATCH(Velas!$A26,Velas_máscara!$A$8:$A$52,0),MATCH(Velas!J$7,Velas_máscara!$C$7:$V$7,0))*qtdsemana,"")</f>
        <v>4</v>
      </c>
      <c r="K26" s="102">
        <f>IFERROR(INDEX(Velas_máscara!$C$8:$V$52,MATCH(Velas!$A26,Velas_máscara!$A$8:$A$52,0),MATCH(Velas!K$7,Velas_máscara!$C$7:$V$7,0))*qtdsemana,"")</f>
        <v>0</v>
      </c>
      <c r="L26" s="102">
        <f>IFERROR(INDEX(Velas_máscara!$C$8:$V$52,MATCH(Velas!$A26,Velas_máscara!$A$8:$A$52,0),MATCH(Velas!L$7,Velas_máscara!$C$7:$V$7,0))*qtdsemana,"")</f>
        <v>0</v>
      </c>
      <c r="M26" s="102">
        <f>IFERROR(INDEX(Velas_máscara!$C$8:$V$52,MATCH(Velas!$A26,Velas_máscara!$A$8:$A$52,0),MATCH(Velas!M$7,Velas_máscara!$C$7:$V$7,0))*qtdsemana,"")</f>
        <v>0</v>
      </c>
      <c r="N26" s="102">
        <f>IFERROR(INDEX(Velas_máscara!$C$8:$V$52,MATCH(Velas!$A26,Velas_máscara!$A$8:$A$52,0),MATCH(Velas!N$7,Velas_máscara!$C$7:$V$7,0))*qtdsemana,"")</f>
        <v>0</v>
      </c>
      <c r="O26" s="102">
        <f>IFERROR(INDEX(Velas_máscara!$C$8:$V$52,MATCH(Velas!$A26,Velas_máscara!$A$8:$A$52,0),MATCH(Velas!O$7,Velas_máscara!$C$7:$V$7,0))*qtdsemana,"")</f>
        <v>0</v>
      </c>
      <c r="P26" s="102">
        <f>IFERROR(INDEX(Velas_máscara!$C$8:$V$52,MATCH(Velas!$A26,Velas_máscara!$A$8:$A$52,0),MATCH(Velas!P$7,Velas_máscara!$C$7:$V$7,0))*qtdsemana,"")</f>
        <v>0</v>
      </c>
      <c r="Q26" s="102">
        <f>IFERROR(INDEX(Velas_máscara!$C$8:$V$52,MATCH(Velas!$A26,Velas_máscara!$A$8:$A$52,0),MATCH(Velas!Q$7,Velas_máscara!$C$7:$V$7,0))*qtdsemana,"")</f>
        <v>4</v>
      </c>
      <c r="R26" s="102">
        <f>IFERROR(INDEX(Velas_máscara!$C$8:$V$52,MATCH(Velas!$A26,Velas_máscara!$A$8:$A$52,0),MATCH(Velas!R$7,Velas_máscara!$C$7:$V$7,0))*qtdsemana,"")</f>
        <v>0</v>
      </c>
      <c r="S26" s="102">
        <f>IFERROR(INDEX(Velas_máscara!$C$8:$V$52,MATCH(Velas!$A26,Velas_máscara!$A$8:$A$52,0),MATCH(Velas!S$7,Velas_máscara!$C$7:$V$7,0))*qtdsemana,"")</f>
        <v>0</v>
      </c>
      <c r="T26" s="102">
        <f>IFERROR(INDEX(Velas_máscara!$C$8:$V$52,MATCH(Velas!$A26,Velas_máscara!$A$8:$A$52,0),MATCH(Velas!T$7,Velas_máscara!$C$7:$V$7,0))*qtdsemana,"")</f>
        <v>0</v>
      </c>
      <c r="U26" s="102">
        <f>IFERROR(INDEX(Velas_máscara!$C$8:$V$52,MATCH(Velas!$A26,Velas_máscara!$A$8:$A$52,0),MATCH(Velas!U$7,Velas_máscara!$C$7:$V$7,0))*qtdsemana,"")</f>
        <v>0</v>
      </c>
      <c r="V26" s="102">
        <f>IFERROR(INDEX(Velas_máscara!$C$8:$V$52,MATCH(Velas!$A26,Velas_máscara!$A$8:$A$52,0),MATCH(Velas!V$7,Velas_máscara!$C$7:$V$7,0))*qtdsemana,"")</f>
        <v>4</v>
      </c>
      <c r="W26" s="98">
        <f t="shared" si="2"/>
        <v>12</v>
      </c>
      <c r="X26" s="103">
        <f t="shared" si="3"/>
        <v>31.200000000000003</v>
      </c>
      <c r="Y26" s="103">
        <f t="shared" si="4"/>
        <v>40.799999999999997</v>
      </c>
      <c r="Z26" s="98" t="s">
        <v>179</v>
      </c>
    </row>
    <row r="27" spans="1:27" s="98" customFormat="1">
      <c r="A27" s="101" t="s">
        <v>144</v>
      </c>
      <c r="B27" s="101"/>
      <c r="C27" s="102">
        <f>IFERROR(INDEX(Velas_máscara!$C$8:$V$52,MATCH(Velas!$A27,Velas_máscara!$A$8:$A$52,0),MATCH(Velas!C$7,Velas_máscara!$C$7:$V$7,0))*qtdsemana,"")</f>
        <v>0</v>
      </c>
      <c r="D27" s="102">
        <f>IFERROR(INDEX(Velas_máscara!$C$8:$V$52,MATCH(Velas!$A27,Velas_máscara!$A$8:$A$52,0),MATCH(Velas!D$7,Velas_máscara!$C$7:$V$7,0))*qtdsemana,"")</f>
        <v>0</v>
      </c>
      <c r="E27" s="102">
        <f>IFERROR(INDEX(Velas_máscara!$C$8:$V$52,MATCH(Velas!$A27,Velas_máscara!$A$8:$A$52,0),MATCH(Velas!E$7,Velas_máscara!$C$7:$V$7,0))*qtdsemana,"")</f>
        <v>0</v>
      </c>
      <c r="F27" s="102">
        <f>IFERROR(INDEX(Velas_máscara!$C$8:$V$52,MATCH(Velas!$A27,Velas_máscara!$A$8:$A$52,0),MATCH(Velas!F$7,Velas_máscara!$C$7:$V$7,0))*qtdsemana,"")</f>
        <v>0</v>
      </c>
      <c r="G27" s="102">
        <f>IFERROR(INDEX(Velas_máscara!$C$8:$V$52,MATCH(Velas!$A27,Velas_máscara!$A$8:$A$52,0),MATCH(Velas!G$7,Velas_máscara!$C$7:$V$7,0))*qtdsemana,"")</f>
        <v>0</v>
      </c>
      <c r="H27" s="102">
        <f>IFERROR(INDEX(Velas_máscara!$C$8:$V$52,MATCH(Velas!$A27,Velas_máscara!$A$8:$A$52,0),MATCH(Velas!H$7,Velas_máscara!$C$7:$V$7,0))*qtdsemana,"")</f>
        <v>0</v>
      </c>
      <c r="I27" s="102">
        <f>IFERROR(INDEX(Velas_máscara!$C$8:$V$52,MATCH(Velas!$A27,Velas_máscara!$A$8:$A$52,0),MATCH(Velas!I$7,Velas_máscara!$C$7:$V$7,0))*qtdsemana,"")</f>
        <v>0</v>
      </c>
      <c r="J27" s="102">
        <f>IFERROR(INDEX(Velas_máscara!$C$8:$V$52,MATCH(Velas!$A27,Velas_máscara!$A$8:$A$52,0),MATCH(Velas!J$7,Velas_máscara!$C$7:$V$7,0))*qtdsemana,"")</f>
        <v>4</v>
      </c>
      <c r="K27" s="102">
        <f>IFERROR(INDEX(Velas_máscara!$C$8:$V$52,MATCH(Velas!$A27,Velas_máscara!$A$8:$A$52,0),MATCH(Velas!K$7,Velas_máscara!$C$7:$V$7,0))*qtdsemana,"")</f>
        <v>0</v>
      </c>
      <c r="L27" s="102">
        <f>IFERROR(INDEX(Velas_máscara!$C$8:$V$52,MATCH(Velas!$A27,Velas_máscara!$A$8:$A$52,0),MATCH(Velas!L$7,Velas_máscara!$C$7:$V$7,0))*qtdsemana,"")</f>
        <v>0</v>
      </c>
      <c r="M27" s="102">
        <f>IFERROR(INDEX(Velas_máscara!$C$8:$V$52,MATCH(Velas!$A27,Velas_máscara!$A$8:$A$52,0),MATCH(Velas!M$7,Velas_máscara!$C$7:$V$7,0))*qtdsemana,"")</f>
        <v>0</v>
      </c>
      <c r="N27" s="102">
        <f>IFERROR(INDEX(Velas_máscara!$C$8:$V$52,MATCH(Velas!$A27,Velas_máscara!$A$8:$A$52,0),MATCH(Velas!N$7,Velas_máscara!$C$7:$V$7,0))*qtdsemana,"")</f>
        <v>0</v>
      </c>
      <c r="O27" s="102">
        <f>IFERROR(INDEX(Velas_máscara!$C$8:$V$52,MATCH(Velas!$A27,Velas_máscara!$A$8:$A$52,0),MATCH(Velas!O$7,Velas_máscara!$C$7:$V$7,0))*qtdsemana,"")</f>
        <v>0</v>
      </c>
      <c r="P27" s="102">
        <f>IFERROR(INDEX(Velas_máscara!$C$8:$V$52,MATCH(Velas!$A27,Velas_máscara!$A$8:$A$52,0),MATCH(Velas!P$7,Velas_máscara!$C$7:$V$7,0))*qtdsemana,"")</f>
        <v>4</v>
      </c>
      <c r="Q27" s="102">
        <f>IFERROR(INDEX(Velas_máscara!$C$8:$V$52,MATCH(Velas!$A27,Velas_máscara!$A$8:$A$52,0),MATCH(Velas!Q$7,Velas_máscara!$C$7:$V$7,0))*qtdsemana,"")</f>
        <v>0</v>
      </c>
      <c r="R27" s="102">
        <f>IFERROR(INDEX(Velas_máscara!$C$8:$V$52,MATCH(Velas!$A27,Velas_máscara!$A$8:$A$52,0),MATCH(Velas!R$7,Velas_máscara!$C$7:$V$7,0))*qtdsemana,"")</f>
        <v>4</v>
      </c>
      <c r="S27" s="102">
        <f>IFERROR(INDEX(Velas_máscara!$C$8:$V$52,MATCH(Velas!$A27,Velas_máscara!$A$8:$A$52,0),MATCH(Velas!S$7,Velas_máscara!$C$7:$V$7,0))*qtdsemana,"")</f>
        <v>0</v>
      </c>
      <c r="T27" s="102">
        <f>IFERROR(INDEX(Velas_máscara!$C$8:$V$52,MATCH(Velas!$A27,Velas_máscara!$A$8:$A$52,0),MATCH(Velas!T$7,Velas_máscara!$C$7:$V$7,0))*qtdsemana,"")</f>
        <v>0</v>
      </c>
      <c r="U27" s="102">
        <f>IFERROR(INDEX(Velas_máscara!$C$8:$V$52,MATCH(Velas!$A27,Velas_máscara!$A$8:$A$52,0),MATCH(Velas!U$7,Velas_máscara!$C$7:$V$7,0))*qtdsemana,"")</f>
        <v>0</v>
      </c>
      <c r="V27" s="102">
        <f>IFERROR(INDEX(Velas_máscara!$C$8:$V$52,MATCH(Velas!$A27,Velas_máscara!$A$8:$A$52,0),MATCH(Velas!V$7,Velas_máscara!$C$7:$V$7,0))*qtdsemana,"")</f>
        <v>4</v>
      </c>
      <c r="W27" s="98">
        <f t="shared" si="2"/>
        <v>16</v>
      </c>
      <c r="X27" s="103">
        <f t="shared" si="3"/>
        <v>41.6</v>
      </c>
      <c r="Y27" s="103">
        <f t="shared" si="4"/>
        <v>54.4</v>
      </c>
    </row>
    <row r="28" spans="1:27" s="98" customFormat="1">
      <c r="A28" s="101" t="s">
        <v>19</v>
      </c>
      <c r="B28" s="101"/>
      <c r="C28" s="92">
        <f>IFERROR(INDEX(Velas_máscara!$C$8:$V$52,MATCH(Velas!$A28,Velas_máscara!$A$8:$A$52,0),MATCH(Velas!C$7,Velas_máscara!$C$7:$V$7,0))*qtdsemana,"")</f>
        <v>0</v>
      </c>
      <c r="D28" s="92">
        <f>IFERROR(INDEX(Velas_máscara!$C$8:$V$52,MATCH(Velas!$A28,Velas_máscara!$A$8:$A$52,0),MATCH(Velas!D$7,Velas_máscara!$C$7:$V$7,0))*qtdsemana,"")</f>
        <v>0</v>
      </c>
      <c r="E28" s="92">
        <f>IFERROR(INDEX(Velas_máscara!$C$8:$V$52,MATCH(Velas!$A28,Velas_máscara!$A$8:$A$52,0),MATCH(Velas!E$7,Velas_máscara!$C$7:$V$7,0))*qtdsemana,"")</f>
        <v>0</v>
      </c>
      <c r="F28" s="92">
        <f>IFERROR(INDEX(Velas_máscara!$C$8:$V$52,MATCH(Velas!$A28,Velas_máscara!$A$8:$A$52,0),MATCH(Velas!F$7,Velas_máscara!$C$7:$V$7,0))*qtdsemana,"")</f>
        <v>4</v>
      </c>
      <c r="G28" s="92">
        <f>IFERROR(INDEX(Velas_máscara!$C$8:$V$52,MATCH(Velas!$A28,Velas_máscara!$A$8:$A$52,0),MATCH(Velas!G$7,Velas_máscara!$C$7:$V$7,0))*qtdsemana,"")</f>
        <v>0</v>
      </c>
      <c r="H28" s="92">
        <f>IFERROR(INDEX(Velas_máscara!$C$8:$V$52,MATCH(Velas!$A28,Velas_máscara!$A$8:$A$52,0),MATCH(Velas!H$7,Velas_máscara!$C$7:$V$7,0))*qtdsemana,"")</f>
        <v>0</v>
      </c>
      <c r="I28" s="92">
        <f>IFERROR(INDEX(Velas_máscara!$C$8:$V$52,MATCH(Velas!$A28,Velas_máscara!$A$8:$A$52,0),MATCH(Velas!I$7,Velas_máscara!$C$7:$V$7,0))*qtdsemana,"")</f>
        <v>0</v>
      </c>
      <c r="J28" s="92">
        <f>IFERROR(INDEX(Velas_máscara!$C$8:$V$52,MATCH(Velas!$A28,Velas_máscara!$A$8:$A$52,0),MATCH(Velas!J$7,Velas_máscara!$C$7:$V$7,0))*qtdsemana,"")</f>
        <v>4</v>
      </c>
      <c r="K28" s="92">
        <f>IFERROR(INDEX(Velas_máscara!$C$8:$V$52,MATCH(Velas!$A28,Velas_máscara!$A$8:$A$52,0),MATCH(Velas!K$7,Velas_máscara!$C$7:$V$7,0))*qtdsemana,"")</f>
        <v>0</v>
      </c>
      <c r="L28" s="92">
        <f>IFERROR(INDEX(Velas_máscara!$C$8:$V$52,MATCH(Velas!$A28,Velas_máscara!$A$8:$A$52,0),MATCH(Velas!L$7,Velas_máscara!$C$7:$V$7,0))*qtdsemana,"")</f>
        <v>0</v>
      </c>
      <c r="M28" s="92">
        <f>IFERROR(INDEX(Velas_máscara!$C$8:$V$52,MATCH(Velas!$A28,Velas_máscara!$A$8:$A$52,0),MATCH(Velas!M$7,Velas_máscara!$C$7:$V$7,0))*qtdsemana,"")</f>
        <v>0</v>
      </c>
      <c r="N28" s="92">
        <f>IFERROR(INDEX(Velas_máscara!$C$8:$V$52,MATCH(Velas!$A28,Velas_máscara!$A$8:$A$52,0),MATCH(Velas!N$7,Velas_máscara!$C$7:$V$7,0))*qtdsemana,"")</f>
        <v>0</v>
      </c>
      <c r="O28" s="92">
        <f>IFERROR(INDEX(Velas_máscara!$C$8:$V$52,MATCH(Velas!$A28,Velas_máscara!$A$8:$A$52,0),MATCH(Velas!O$7,Velas_máscara!$C$7:$V$7,0))*qtdsemana,"")</f>
        <v>0</v>
      </c>
      <c r="P28" s="92">
        <f>IFERROR(INDEX(Velas_máscara!$C$8:$V$52,MATCH(Velas!$A28,Velas_máscara!$A$8:$A$52,0),MATCH(Velas!P$7,Velas_máscara!$C$7:$V$7,0))*qtdsemana,"")</f>
        <v>4</v>
      </c>
      <c r="Q28" s="92">
        <f>IFERROR(INDEX(Velas_máscara!$C$8:$V$52,MATCH(Velas!$A28,Velas_máscara!$A$8:$A$52,0),MATCH(Velas!Q$7,Velas_máscara!$C$7:$V$7,0))*qtdsemana,"")</f>
        <v>0</v>
      </c>
      <c r="R28" s="92">
        <f>IFERROR(INDEX(Velas_máscara!$C$8:$V$52,MATCH(Velas!$A28,Velas_máscara!$A$8:$A$52,0),MATCH(Velas!R$7,Velas_máscara!$C$7:$V$7,0))*qtdsemana,"")</f>
        <v>4</v>
      </c>
      <c r="S28" s="92">
        <f>IFERROR(INDEX(Velas_máscara!$C$8:$V$52,MATCH(Velas!$A28,Velas_máscara!$A$8:$A$52,0),MATCH(Velas!S$7,Velas_máscara!$C$7:$V$7,0))*qtdsemana,"")</f>
        <v>0</v>
      </c>
      <c r="T28" s="92">
        <f>IFERROR(INDEX(Velas_máscara!$C$8:$V$52,MATCH(Velas!$A28,Velas_máscara!$A$8:$A$52,0),MATCH(Velas!T$7,Velas_máscara!$C$7:$V$7,0))*qtdsemana,"")</f>
        <v>4</v>
      </c>
      <c r="U28" s="92">
        <f>IFERROR(INDEX(Velas_máscara!$C$8:$V$52,MATCH(Velas!$A28,Velas_máscara!$A$8:$A$52,0),MATCH(Velas!U$7,Velas_máscara!$C$7:$V$7,0))*qtdsemana,"")</f>
        <v>0</v>
      </c>
      <c r="V28" s="92">
        <f>IFERROR(INDEX(Velas_máscara!$C$8:$V$52,MATCH(Velas!$A28,Velas_máscara!$A$8:$A$52,0),MATCH(Velas!V$7,Velas_máscara!$C$7:$V$7,0))*qtdsemana,"")</f>
        <v>0</v>
      </c>
      <c r="W28" s="98">
        <f t="shared" si="2"/>
        <v>20</v>
      </c>
      <c r="X28" s="103">
        <f t="shared" si="3"/>
        <v>52</v>
      </c>
      <c r="Y28" s="103">
        <f t="shared" si="4"/>
        <v>68</v>
      </c>
      <c r="Z28" s="98" t="s">
        <v>179</v>
      </c>
      <c r="AA28"/>
    </row>
    <row r="29" spans="1:27" s="98" customFormat="1">
      <c r="A29" s="101" t="s">
        <v>27</v>
      </c>
      <c r="B29" s="101"/>
      <c r="C29" s="102">
        <f>IFERROR(INDEX(Velas_máscara!$C$8:$V$52,MATCH(Velas!$A29,Velas_máscara!$A$8:$A$52,0),MATCH(Velas!C$7,Velas_máscara!$C$7:$V$7,0))*qtdsemana,"")</f>
        <v>0</v>
      </c>
      <c r="D29" s="102">
        <f>IFERROR(INDEX(Velas_máscara!$C$8:$V$52,MATCH(Velas!$A29,Velas_máscara!$A$8:$A$52,0),MATCH(Velas!D$7,Velas_máscara!$C$7:$V$7,0))*qtdsemana,"")</f>
        <v>0</v>
      </c>
      <c r="E29" s="102">
        <f>IFERROR(INDEX(Velas_máscara!$C$8:$V$52,MATCH(Velas!$A29,Velas_máscara!$A$8:$A$52,0),MATCH(Velas!E$7,Velas_máscara!$C$7:$V$7,0))*qtdsemana,"")</f>
        <v>0</v>
      </c>
      <c r="F29" s="102">
        <f>IFERROR(INDEX(Velas_máscara!$C$8:$V$52,MATCH(Velas!$A29,Velas_máscara!$A$8:$A$52,0),MATCH(Velas!F$7,Velas_máscara!$C$7:$V$7,0))*qtdsemana,"")</f>
        <v>0</v>
      </c>
      <c r="G29" s="102">
        <f>IFERROR(INDEX(Velas_máscara!$C$8:$V$52,MATCH(Velas!$A29,Velas_máscara!$A$8:$A$52,0),MATCH(Velas!G$7,Velas_máscara!$C$7:$V$7,0))*qtdsemana,"")</f>
        <v>0</v>
      </c>
      <c r="H29" s="102">
        <f>IFERROR(INDEX(Velas_máscara!$C$8:$V$52,MATCH(Velas!$A29,Velas_máscara!$A$8:$A$52,0),MATCH(Velas!H$7,Velas_máscara!$C$7:$V$7,0))*qtdsemana,"")</f>
        <v>0</v>
      </c>
      <c r="I29" s="102">
        <f>IFERROR(INDEX(Velas_máscara!$C$8:$V$52,MATCH(Velas!$A29,Velas_máscara!$A$8:$A$52,0),MATCH(Velas!I$7,Velas_máscara!$C$7:$V$7,0))*qtdsemana,"")</f>
        <v>0</v>
      </c>
      <c r="J29" s="102">
        <f>IFERROR(INDEX(Velas_máscara!$C$8:$V$52,MATCH(Velas!$A29,Velas_máscara!$A$8:$A$52,0),MATCH(Velas!J$7,Velas_máscara!$C$7:$V$7,0))*qtdsemana,"")</f>
        <v>4</v>
      </c>
      <c r="K29" s="102">
        <f>IFERROR(INDEX(Velas_máscara!$C$8:$V$52,MATCH(Velas!$A29,Velas_máscara!$A$8:$A$52,0),MATCH(Velas!K$7,Velas_máscara!$C$7:$V$7,0))*qtdsemana,"")</f>
        <v>0</v>
      </c>
      <c r="L29" s="102">
        <f>IFERROR(INDEX(Velas_máscara!$C$8:$V$52,MATCH(Velas!$A29,Velas_máscara!$A$8:$A$52,0),MATCH(Velas!L$7,Velas_máscara!$C$7:$V$7,0))*qtdsemana,"")</f>
        <v>0</v>
      </c>
      <c r="M29" s="102">
        <f>IFERROR(INDEX(Velas_máscara!$C$8:$V$52,MATCH(Velas!$A29,Velas_máscara!$A$8:$A$52,0),MATCH(Velas!M$7,Velas_máscara!$C$7:$V$7,0))*qtdsemana,"")</f>
        <v>0</v>
      </c>
      <c r="N29" s="102">
        <f>IFERROR(INDEX(Velas_máscara!$C$8:$V$52,MATCH(Velas!$A29,Velas_máscara!$A$8:$A$52,0),MATCH(Velas!N$7,Velas_máscara!$C$7:$V$7,0))*qtdsemana,"")</f>
        <v>0</v>
      </c>
      <c r="O29" s="102">
        <f>IFERROR(INDEX(Velas_máscara!$C$8:$V$52,MATCH(Velas!$A29,Velas_máscara!$A$8:$A$52,0),MATCH(Velas!O$7,Velas_máscara!$C$7:$V$7,0))*qtdsemana,"")</f>
        <v>0</v>
      </c>
      <c r="P29" s="102">
        <f>IFERROR(INDEX(Velas_máscara!$C$8:$V$52,MATCH(Velas!$A29,Velas_máscara!$A$8:$A$52,0),MATCH(Velas!P$7,Velas_máscara!$C$7:$V$7,0))*qtdsemana,"")</f>
        <v>4</v>
      </c>
      <c r="Q29" s="102">
        <f>IFERROR(INDEX(Velas_máscara!$C$8:$V$52,MATCH(Velas!$A29,Velas_máscara!$A$8:$A$52,0),MATCH(Velas!Q$7,Velas_máscara!$C$7:$V$7,0))*qtdsemana,"")</f>
        <v>0</v>
      </c>
      <c r="R29" s="102">
        <f>IFERROR(INDEX(Velas_máscara!$C$8:$V$52,MATCH(Velas!$A29,Velas_máscara!$A$8:$A$52,0),MATCH(Velas!R$7,Velas_máscara!$C$7:$V$7,0))*qtdsemana,"")</f>
        <v>4</v>
      </c>
      <c r="S29" s="102">
        <f>IFERROR(INDEX(Velas_máscara!$C$8:$V$52,MATCH(Velas!$A29,Velas_máscara!$A$8:$A$52,0),MATCH(Velas!S$7,Velas_máscara!$C$7:$V$7,0))*qtdsemana,"")</f>
        <v>0</v>
      </c>
      <c r="T29" s="102">
        <f>IFERROR(INDEX(Velas_máscara!$C$8:$V$52,MATCH(Velas!$A29,Velas_máscara!$A$8:$A$52,0),MATCH(Velas!T$7,Velas_máscara!$C$7:$V$7,0))*qtdsemana,"")</f>
        <v>0</v>
      </c>
      <c r="U29" s="102">
        <f>IFERROR(INDEX(Velas_máscara!$C$8:$V$52,MATCH(Velas!$A29,Velas_máscara!$A$8:$A$52,0),MATCH(Velas!U$7,Velas_máscara!$C$7:$V$7,0))*qtdsemana,"")</f>
        <v>0</v>
      </c>
      <c r="V29" s="102">
        <f>IFERROR(INDEX(Velas_máscara!$C$8:$V$52,MATCH(Velas!$A29,Velas_máscara!$A$8:$A$52,0),MATCH(Velas!V$7,Velas_máscara!$C$7:$V$7,0))*qtdsemana,"")</f>
        <v>4</v>
      </c>
      <c r="W29" s="98">
        <f t="shared" si="2"/>
        <v>16</v>
      </c>
      <c r="X29" s="103">
        <f t="shared" si="3"/>
        <v>41.6</v>
      </c>
      <c r="Y29" s="103">
        <f t="shared" si="4"/>
        <v>54.4</v>
      </c>
    </row>
    <row r="30" spans="1:27" s="98" customFormat="1">
      <c r="A30" s="101" t="s">
        <v>111</v>
      </c>
      <c r="B30" s="101"/>
      <c r="C30" s="92">
        <f>IFERROR(INDEX(Velas_máscara!$C$8:$V$52,MATCH(Velas!$A30,Velas_máscara!$A$8:$A$52,0),MATCH(Velas!C$7,Velas_máscara!$C$7:$V$7,0))*qtdsemana,"")</f>
        <v>0</v>
      </c>
      <c r="D30" s="92">
        <f>IFERROR(INDEX(Velas_máscara!$C$8:$V$52,MATCH(Velas!$A30,Velas_máscara!$A$8:$A$52,0),MATCH(Velas!D$7,Velas_máscara!$C$7:$V$7,0))*qtdsemana,"")</f>
        <v>0</v>
      </c>
      <c r="E30" s="92">
        <f>IFERROR(INDEX(Velas_máscara!$C$8:$V$52,MATCH(Velas!$A30,Velas_máscara!$A$8:$A$52,0),MATCH(Velas!E$7,Velas_máscara!$C$7:$V$7,0))*qtdsemana,"")</f>
        <v>0</v>
      </c>
      <c r="F30" s="92">
        <f>IFERROR(INDEX(Velas_máscara!$C$8:$V$52,MATCH(Velas!$A30,Velas_máscara!$A$8:$A$52,0),MATCH(Velas!F$7,Velas_máscara!$C$7:$V$7,0))*qtdsemana,"")</f>
        <v>0</v>
      </c>
      <c r="G30" s="92">
        <f>IFERROR(INDEX(Velas_máscara!$C$8:$V$52,MATCH(Velas!$A30,Velas_máscara!$A$8:$A$52,0),MATCH(Velas!G$7,Velas_máscara!$C$7:$V$7,0))*qtdsemana,"")</f>
        <v>0</v>
      </c>
      <c r="H30" s="92">
        <f>IFERROR(INDEX(Velas_máscara!$C$8:$V$52,MATCH(Velas!$A30,Velas_máscara!$A$8:$A$52,0),MATCH(Velas!H$7,Velas_máscara!$C$7:$V$7,0))*qtdsemana,"")</f>
        <v>0</v>
      </c>
      <c r="I30" s="92">
        <f>IFERROR(INDEX(Velas_máscara!$C$8:$V$52,MATCH(Velas!$A30,Velas_máscara!$A$8:$A$52,0),MATCH(Velas!I$7,Velas_máscara!$C$7:$V$7,0))*qtdsemana,"")</f>
        <v>0</v>
      </c>
      <c r="J30" s="92">
        <f>IFERROR(INDEX(Velas_máscara!$C$8:$V$52,MATCH(Velas!$A30,Velas_máscara!$A$8:$A$52,0),MATCH(Velas!J$7,Velas_máscara!$C$7:$V$7,0))*qtdsemana,"")</f>
        <v>4</v>
      </c>
      <c r="K30" s="92">
        <f>IFERROR(INDEX(Velas_máscara!$C$8:$V$52,MATCH(Velas!$A30,Velas_máscara!$A$8:$A$52,0),MATCH(Velas!K$7,Velas_máscara!$C$7:$V$7,0))*qtdsemana,"")</f>
        <v>0</v>
      </c>
      <c r="L30" s="92">
        <f>IFERROR(INDEX(Velas_máscara!$C$8:$V$52,MATCH(Velas!$A30,Velas_máscara!$A$8:$A$52,0),MATCH(Velas!L$7,Velas_máscara!$C$7:$V$7,0))*qtdsemana,"")</f>
        <v>0</v>
      </c>
      <c r="M30" s="92">
        <f>IFERROR(INDEX(Velas_máscara!$C$8:$V$52,MATCH(Velas!$A30,Velas_máscara!$A$8:$A$52,0),MATCH(Velas!M$7,Velas_máscara!$C$7:$V$7,0))*qtdsemana,"")</f>
        <v>0</v>
      </c>
      <c r="N30" s="92">
        <f>IFERROR(INDEX(Velas_máscara!$C$8:$V$52,MATCH(Velas!$A30,Velas_máscara!$A$8:$A$52,0),MATCH(Velas!N$7,Velas_máscara!$C$7:$V$7,0))*qtdsemana,"")</f>
        <v>0</v>
      </c>
      <c r="O30" s="92">
        <f>IFERROR(INDEX(Velas_máscara!$C$8:$V$52,MATCH(Velas!$A30,Velas_máscara!$A$8:$A$52,0),MATCH(Velas!O$7,Velas_máscara!$C$7:$V$7,0))*qtdsemana,"")</f>
        <v>0</v>
      </c>
      <c r="P30" s="92">
        <f>IFERROR(INDEX(Velas_máscara!$C$8:$V$52,MATCH(Velas!$A30,Velas_máscara!$A$8:$A$52,0),MATCH(Velas!P$7,Velas_máscara!$C$7:$V$7,0))*qtdsemana,"")</f>
        <v>4</v>
      </c>
      <c r="Q30" s="92">
        <f>IFERROR(INDEX(Velas_máscara!$C$8:$V$52,MATCH(Velas!$A30,Velas_máscara!$A$8:$A$52,0),MATCH(Velas!Q$7,Velas_máscara!$C$7:$V$7,0))*qtdsemana,"")</f>
        <v>0</v>
      </c>
      <c r="R30" s="92">
        <f>IFERROR(INDEX(Velas_máscara!$C$8:$V$52,MATCH(Velas!$A30,Velas_máscara!$A$8:$A$52,0),MATCH(Velas!R$7,Velas_máscara!$C$7:$V$7,0))*qtdsemana,"")</f>
        <v>4</v>
      </c>
      <c r="S30" s="92">
        <f>IFERROR(INDEX(Velas_máscara!$C$8:$V$52,MATCH(Velas!$A30,Velas_máscara!$A$8:$A$52,0),MATCH(Velas!S$7,Velas_máscara!$C$7:$V$7,0))*qtdsemana,"")</f>
        <v>0</v>
      </c>
      <c r="T30" s="92">
        <f>IFERROR(INDEX(Velas_máscara!$C$8:$V$52,MATCH(Velas!$A30,Velas_máscara!$A$8:$A$52,0),MATCH(Velas!T$7,Velas_máscara!$C$7:$V$7,0))*qtdsemana,"")</f>
        <v>0</v>
      </c>
      <c r="U30" s="92">
        <f>IFERROR(INDEX(Velas_máscara!$C$8:$V$52,MATCH(Velas!$A30,Velas_máscara!$A$8:$A$52,0),MATCH(Velas!U$7,Velas_máscara!$C$7:$V$7,0))*qtdsemana,"")</f>
        <v>0</v>
      </c>
      <c r="V30" s="92">
        <f>IFERROR(INDEX(Velas_máscara!$C$8:$V$52,MATCH(Velas!$A30,Velas_máscara!$A$8:$A$52,0),MATCH(Velas!V$7,Velas_máscara!$C$7:$V$7,0))*qtdsemana,"")</f>
        <v>4</v>
      </c>
      <c r="W30" s="98">
        <f t="shared" si="2"/>
        <v>16</v>
      </c>
      <c r="X30" s="103">
        <f t="shared" si="3"/>
        <v>41.6</v>
      </c>
      <c r="Y30" s="103">
        <f t="shared" si="4"/>
        <v>54.4</v>
      </c>
      <c r="AA30"/>
    </row>
    <row r="31" spans="1:27" s="98" customFormat="1">
      <c r="A31" s="101" t="s">
        <v>97</v>
      </c>
      <c r="B31" s="101"/>
      <c r="C31" s="102">
        <f>IFERROR(INDEX(Velas_máscara!$C$8:$V$52,MATCH(Velas!$A31,Velas_máscara!$A$8:$A$52,0),MATCH(Velas!C$7,Velas_máscara!$C$7:$V$7,0))*qtdsemana,"")</f>
        <v>0</v>
      </c>
      <c r="D31" s="102">
        <f>IFERROR(INDEX(Velas_máscara!$C$8:$V$52,MATCH(Velas!$A31,Velas_máscara!$A$8:$A$52,0),MATCH(Velas!D$7,Velas_máscara!$C$7:$V$7,0))*qtdsemana,"")</f>
        <v>0</v>
      </c>
      <c r="E31" s="102">
        <f>IFERROR(INDEX(Velas_máscara!$C$8:$V$52,MATCH(Velas!$A31,Velas_máscara!$A$8:$A$52,0),MATCH(Velas!E$7,Velas_máscara!$C$7:$V$7,0))*qtdsemana,"")</f>
        <v>0</v>
      </c>
      <c r="F31" s="102">
        <f>IFERROR(INDEX(Velas_máscara!$C$8:$V$52,MATCH(Velas!$A31,Velas_máscara!$A$8:$A$52,0),MATCH(Velas!F$7,Velas_máscara!$C$7:$V$7,0))*qtdsemana,"")</f>
        <v>0</v>
      </c>
      <c r="G31" s="102">
        <f>IFERROR(INDEX(Velas_máscara!$C$8:$V$52,MATCH(Velas!$A31,Velas_máscara!$A$8:$A$52,0),MATCH(Velas!G$7,Velas_máscara!$C$7:$V$7,0))*qtdsemana,"")</f>
        <v>0</v>
      </c>
      <c r="H31" s="102">
        <f>IFERROR(INDEX(Velas_máscara!$C$8:$V$52,MATCH(Velas!$A31,Velas_máscara!$A$8:$A$52,0),MATCH(Velas!H$7,Velas_máscara!$C$7:$V$7,0))*qtdsemana,"")</f>
        <v>0</v>
      </c>
      <c r="I31" s="102">
        <f>IFERROR(INDEX(Velas_máscara!$C$8:$V$52,MATCH(Velas!$A31,Velas_máscara!$A$8:$A$52,0),MATCH(Velas!I$7,Velas_máscara!$C$7:$V$7,0))*qtdsemana,"")</f>
        <v>0</v>
      </c>
      <c r="J31" s="102">
        <f>IFERROR(INDEX(Velas_máscara!$C$8:$V$52,MATCH(Velas!$A31,Velas_máscara!$A$8:$A$52,0),MATCH(Velas!J$7,Velas_máscara!$C$7:$V$7,0))*qtdsemana,"")</f>
        <v>0</v>
      </c>
      <c r="K31" s="102">
        <f>IFERROR(INDEX(Velas_máscara!$C$8:$V$52,MATCH(Velas!$A31,Velas_máscara!$A$8:$A$52,0),MATCH(Velas!K$7,Velas_máscara!$C$7:$V$7,0))*qtdsemana,"")</f>
        <v>0</v>
      </c>
      <c r="L31" s="102">
        <f>IFERROR(INDEX(Velas_máscara!$C$8:$V$52,MATCH(Velas!$A31,Velas_máscara!$A$8:$A$52,0),MATCH(Velas!L$7,Velas_máscara!$C$7:$V$7,0))*qtdsemana,"")</f>
        <v>0</v>
      </c>
      <c r="M31" s="102">
        <f>IFERROR(INDEX(Velas_máscara!$C$8:$V$52,MATCH(Velas!$A31,Velas_máscara!$A$8:$A$52,0),MATCH(Velas!M$7,Velas_máscara!$C$7:$V$7,0))*qtdsemana,"")</f>
        <v>0</v>
      </c>
      <c r="N31" s="102">
        <f>IFERROR(INDEX(Velas_máscara!$C$8:$V$52,MATCH(Velas!$A31,Velas_máscara!$A$8:$A$52,0),MATCH(Velas!N$7,Velas_máscara!$C$7:$V$7,0))*qtdsemana,"")</f>
        <v>0</v>
      </c>
      <c r="O31" s="102">
        <f>IFERROR(INDEX(Velas_máscara!$C$8:$V$52,MATCH(Velas!$A31,Velas_máscara!$A$8:$A$52,0),MATCH(Velas!O$7,Velas_máscara!$C$7:$V$7,0))*qtdsemana,"")</f>
        <v>0</v>
      </c>
      <c r="P31" s="102">
        <f>IFERROR(INDEX(Velas_máscara!$C$8:$V$52,MATCH(Velas!$A31,Velas_máscara!$A$8:$A$52,0),MATCH(Velas!P$7,Velas_máscara!$C$7:$V$7,0))*qtdsemana,"")</f>
        <v>0</v>
      </c>
      <c r="Q31" s="102">
        <f>IFERROR(INDEX(Velas_máscara!$C$8:$V$52,MATCH(Velas!$A31,Velas_máscara!$A$8:$A$52,0),MATCH(Velas!Q$7,Velas_máscara!$C$7:$V$7,0))*qtdsemana,"")</f>
        <v>0</v>
      </c>
      <c r="R31" s="102">
        <f>IFERROR(INDEX(Velas_máscara!$C$8:$V$52,MATCH(Velas!$A31,Velas_máscara!$A$8:$A$52,0),MATCH(Velas!R$7,Velas_máscara!$C$7:$V$7,0))*qtdsemana,"")</f>
        <v>0</v>
      </c>
      <c r="S31" s="102">
        <f>IFERROR(INDEX(Velas_máscara!$C$8:$V$52,MATCH(Velas!$A31,Velas_máscara!$A$8:$A$52,0),MATCH(Velas!S$7,Velas_máscara!$C$7:$V$7,0))*qtdsemana,"")</f>
        <v>0</v>
      </c>
      <c r="T31" s="102">
        <f>IFERROR(INDEX(Velas_máscara!$C$8:$V$52,MATCH(Velas!$A31,Velas_máscara!$A$8:$A$52,0),MATCH(Velas!T$7,Velas_máscara!$C$7:$V$7,0))*qtdsemana,"")</f>
        <v>0</v>
      </c>
      <c r="U31" s="102">
        <f>IFERROR(INDEX(Velas_máscara!$C$8:$V$52,MATCH(Velas!$A31,Velas_máscara!$A$8:$A$52,0),MATCH(Velas!U$7,Velas_máscara!$C$7:$V$7,0))*qtdsemana,"")</f>
        <v>0</v>
      </c>
      <c r="V31" s="102">
        <f>IFERROR(INDEX(Velas_máscara!$C$8:$V$52,MATCH(Velas!$A31,Velas_máscara!$A$8:$A$52,0),MATCH(Velas!V$7,Velas_máscara!$C$7:$V$7,0))*qtdsemana,"")</f>
        <v>0</v>
      </c>
      <c r="W31" s="98">
        <f t="shared" si="2"/>
        <v>0</v>
      </c>
      <c r="X31" s="103">
        <f t="shared" si="3"/>
        <v>0</v>
      </c>
      <c r="Y31" s="103">
        <f t="shared" si="4"/>
        <v>0</v>
      </c>
    </row>
    <row r="32" spans="1:27" s="98" customFormat="1">
      <c r="A32" s="101" t="s">
        <v>130</v>
      </c>
      <c r="B32" s="101"/>
      <c r="C32" s="92">
        <f>IFERROR(INDEX(Velas_máscara!$C$8:$V$52,MATCH(Velas!$A32,Velas_máscara!$A$8:$A$52,0),MATCH(Velas!C$7,Velas_máscara!$C$7:$V$7,0))*qtdsemana,"")</f>
        <v>4</v>
      </c>
      <c r="D32" s="92">
        <f>IFERROR(INDEX(Velas_máscara!$C$8:$V$52,MATCH(Velas!$A32,Velas_máscara!$A$8:$A$52,0),MATCH(Velas!D$7,Velas_máscara!$C$7:$V$7,0))*qtdsemana,"")</f>
        <v>0</v>
      </c>
      <c r="E32" s="92">
        <f>IFERROR(INDEX(Velas_máscara!$C$8:$V$52,MATCH(Velas!$A32,Velas_máscara!$A$8:$A$52,0),MATCH(Velas!E$7,Velas_máscara!$C$7:$V$7,0))*qtdsemana,"")</f>
        <v>0</v>
      </c>
      <c r="F32" s="92">
        <f>IFERROR(INDEX(Velas_máscara!$C$8:$V$52,MATCH(Velas!$A32,Velas_máscara!$A$8:$A$52,0),MATCH(Velas!F$7,Velas_máscara!$C$7:$V$7,0))*qtdsemana,"")</f>
        <v>0</v>
      </c>
      <c r="G32" s="92">
        <f>IFERROR(INDEX(Velas_máscara!$C$8:$V$52,MATCH(Velas!$A32,Velas_máscara!$A$8:$A$52,0),MATCH(Velas!G$7,Velas_máscara!$C$7:$V$7,0))*qtdsemana,"")</f>
        <v>0</v>
      </c>
      <c r="H32" s="92">
        <f>IFERROR(INDEX(Velas_máscara!$C$8:$V$52,MATCH(Velas!$A32,Velas_máscara!$A$8:$A$52,0),MATCH(Velas!H$7,Velas_máscara!$C$7:$V$7,0))*qtdsemana,"")</f>
        <v>0</v>
      </c>
      <c r="I32" s="92">
        <f>IFERROR(INDEX(Velas_máscara!$C$8:$V$52,MATCH(Velas!$A32,Velas_máscara!$A$8:$A$52,0),MATCH(Velas!I$7,Velas_máscara!$C$7:$V$7,0))*qtdsemana,"")</f>
        <v>0</v>
      </c>
      <c r="J32" s="92">
        <f>IFERROR(INDEX(Velas_máscara!$C$8:$V$52,MATCH(Velas!$A32,Velas_máscara!$A$8:$A$52,0),MATCH(Velas!J$7,Velas_máscara!$C$7:$V$7,0))*qtdsemana,"")</f>
        <v>0</v>
      </c>
      <c r="K32" s="92">
        <f>IFERROR(INDEX(Velas_máscara!$C$8:$V$52,MATCH(Velas!$A32,Velas_máscara!$A$8:$A$52,0),MATCH(Velas!K$7,Velas_máscara!$C$7:$V$7,0))*qtdsemana,"")</f>
        <v>0</v>
      </c>
      <c r="L32" s="92">
        <f>IFERROR(INDEX(Velas_máscara!$C$8:$V$52,MATCH(Velas!$A32,Velas_máscara!$A$8:$A$52,0),MATCH(Velas!L$7,Velas_máscara!$C$7:$V$7,0))*qtdsemana,"")</f>
        <v>0</v>
      </c>
      <c r="M32" s="92">
        <f>IFERROR(INDEX(Velas_máscara!$C$8:$V$52,MATCH(Velas!$A32,Velas_máscara!$A$8:$A$52,0),MATCH(Velas!M$7,Velas_máscara!$C$7:$V$7,0))*qtdsemana,"")</f>
        <v>0</v>
      </c>
      <c r="N32" s="92">
        <f>IFERROR(INDEX(Velas_máscara!$C$8:$V$52,MATCH(Velas!$A32,Velas_máscara!$A$8:$A$52,0),MATCH(Velas!N$7,Velas_máscara!$C$7:$V$7,0))*qtdsemana,"")</f>
        <v>0</v>
      </c>
      <c r="O32" s="92">
        <f>IFERROR(INDEX(Velas_máscara!$C$8:$V$52,MATCH(Velas!$A32,Velas_máscara!$A$8:$A$52,0),MATCH(Velas!O$7,Velas_máscara!$C$7:$V$7,0))*qtdsemana,"")</f>
        <v>0</v>
      </c>
      <c r="P32" s="92">
        <f>IFERROR(INDEX(Velas_máscara!$C$8:$V$52,MATCH(Velas!$A32,Velas_máscara!$A$8:$A$52,0),MATCH(Velas!P$7,Velas_máscara!$C$7:$V$7,0))*qtdsemana,"")</f>
        <v>4</v>
      </c>
      <c r="Q32" s="92">
        <f>IFERROR(INDEX(Velas_máscara!$C$8:$V$52,MATCH(Velas!$A32,Velas_máscara!$A$8:$A$52,0),MATCH(Velas!Q$7,Velas_máscara!$C$7:$V$7,0))*qtdsemana,"")</f>
        <v>0</v>
      </c>
      <c r="R32" s="92">
        <f>IFERROR(INDEX(Velas_máscara!$C$8:$V$52,MATCH(Velas!$A32,Velas_máscara!$A$8:$A$52,0),MATCH(Velas!R$7,Velas_máscara!$C$7:$V$7,0))*qtdsemana,"")</f>
        <v>4</v>
      </c>
      <c r="S32" s="92">
        <f>IFERROR(INDEX(Velas_máscara!$C$8:$V$52,MATCH(Velas!$A32,Velas_máscara!$A$8:$A$52,0),MATCH(Velas!S$7,Velas_máscara!$C$7:$V$7,0))*qtdsemana,"")</f>
        <v>0</v>
      </c>
      <c r="T32" s="92">
        <f>IFERROR(INDEX(Velas_máscara!$C$8:$V$52,MATCH(Velas!$A32,Velas_máscara!$A$8:$A$52,0),MATCH(Velas!T$7,Velas_máscara!$C$7:$V$7,0))*qtdsemana,"")</f>
        <v>0</v>
      </c>
      <c r="U32" s="92">
        <f>IFERROR(INDEX(Velas_máscara!$C$8:$V$52,MATCH(Velas!$A32,Velas_máscara!$A$8:$A$52,0),MATCH(Velas!U$7,Velas_máscara!$C$7:$V$7,0))*qtdsemana,"")</f>
        <v>0</v>
      </c>
      <c r="V32" s="92">
        <f>IFERROR(INDEX(Velas_máscara!$C$8:$V$52,MATCH(Velas!$A32,Velas_máscara!$A$8:$A$52,0),MATCH(Velas!V$7,Velas_máscara!$C$7:$V$7,0))*qtdsemana,"")</f>
        <v>8</v>
      </c>
      <c r="W32" s="98">
        <f t="shared" si="2"/>
        <v>20</v>
      </c>
      <c r="X32" s="103">
        <f t="shared" si="3"/>
        <v>59.599999999999994</v>
      </c>
      <c r="Y32" s="103">
        <f t="shared" si="4"/>
        <v>74.8</v>
      </c>
      <c r="Z32" s="98" t="s">
        <v>179</v>
      </c>
      <c r="AA32"/>
    </row>
    <row r="33" spans="1:27" s="98" customFormat="1">
      <c r="A33" s="101" t="s">
        <v>21</v>
      </c>
      <c r="B33" s="101"/>
      <c r="C33" s="92">
        <f>IFERROR(INDEX(Velas_máscara!$C$8:$V$52,MATCH(Velas!$A33,Velas_máscara!$A$8:$A$52,0),MATCH(Velas!C$7,Velas_máscara!$C$7:$V$7,0))*qtdsemana,"")</f>
        <v>0</v>
      </c>
      <c r="D33" s="92">
        <f>IFERROR(INDEX(Velas_máscara!$C$8:$V$52,MATCH(Velas!$A33,Velas_máscara!$A$8:$A$52,0),MATCH(Velas!D$7,Velas_máscara!$C$7:$V$7,0))*qtdsemana,"")</f>
        <v>0</v>
      </c>
      <c r="E33" s="92">
        <f>IFERROR(INDEX(Velas_máscara!$C$8:$V$52,MATCH(Velas!$A33,Velas_máscara!$A$8:$A$52,0),MATCH(Velas!E$7,Velas_máscara!$C$7:$V$7,0))*qtdsemana,"")</f>
        <v>0</v>
      </c>
      <c r="F33" s="92">
        <f>IFERROR(INDEX(Velas_máscara!$C$8:$V$52,MATCH(Velas!$A33,Velas_máscara!$A$8:$A$52,0),MATCH(Velas!F$7,Velas_máscara!$C$7:$V$7,0))*qtdsemana,"")</f>
        <v>0</v>
      </c>
      <c r="G33" s="92">
        <f>IFERROR(INDEX(Velas_máscara!$C$8:$V$52,MATCH(Velas!$A33,Velas_máscara!$A$8:$A$52,0),MATCH(Velas!G$7,Velas_máscara!$C$7:$V$7,0))*qtdsemana,"")</f>
        <v>0</v>
      </c>
      <c r="H33" s="92">
        <f>IFERROR(INDEX(Velas_máscara!$C$8:$V$52,MATCH(Velas!$A33,Velas_máscara!$A$8:$A$52,0),MATCH(Velas!H$7,Velas_máscara!$C$7:$V$7,0))*qtdsemana,"")</f>
        <v>0</v>
      </c>
      <c r="I33" s="92">
        <f>IFERROR(INDEX(Velas_máscara!$C$8:$V$52,MATCH(Velas!$A33,Velas_máscara!$A$8:$A$52,0),MATCH(Velas!I$7,Velas_máscara!$C$7:$V$7,0))*qtdsemana,"")</f>
        <v>0</v>
      </c>
      <c r="J33" s="92">
        <f>IFERROR(INDEX(Velas_máscara!$C$8:$V$52,MATCH(Velas!$A33,Velas_máscara!$A$8:$A$52,0),MATCH(Velas!J$7,Velas_máscara!$C$7:$V$7,0))*qtdsemana,"")</f>
        <v>4</v>
      </c>
      <c r="K33" s="92">
        <f>IFERROR(INDEX(Velas_máscara!$C$8:$V$52,MATCH(Velas!$A33,Velas_máscara!$A$8:$A$52,0),MATCH(Velas!K$7,Velas_máscara!$C$7:$V$7,0))*qtdsemana,"")</f>
        <v>0</v>
      </c>
      <c r="L33" s="92">
        <f>IFERROR(INDEX(Velas_máscara!$C$8:$V$52,MATCH(Velas!$A33,Velas_máscara!$A$8:$A$52,0),MATCH(Velas!L$7,Velas_máscara!$C$7:$V$7,0))*qtdsemana,"")</f>
        <v>0</v>
      </c>
      <c r="M33" s="92">
        <f>IFERROR(INDEX(Velas_máscara!$C$8:$V$52,MATCH(Velas!$A33,Velas_máscara!$A$8:$A$52,0),MATCH(Velas!M$7,Velas_máscara!$C$7:$V$7,0))*qtdsemana,"")</f>
        <v>0</v>
      </c>
      <c r="N33" s="92">
        <f>IFERROR(INDEX(Velas_máscara!$C$8:$V$52,MATCH(Velas!$A33,Velas_máscara!$A$8:$A$52,0),MATCH(Velas!N$7,Velas_máscara!$C$7:$V$7,0))*qtdsemana,"")</f>
        <v>0</v>
      </c>
      <c r="O33" s="92">
        <f>IFERROR(INDEX(Velas_máscara!$C$8:$V$52,MATCH(Velas!$A33,Velas_máscara!$A$8:$A$52,0),MATCH(Velas!O$7,Velas_máscara!$C$7:$V$7,0))*qtdsemana,"")</f>
        <v>0</v>
      </c>
      <c r="P33" s="92">
        <f>IFERROR(INDEX(Velas_máscara!$C$8:$V$52,MATCH(Velas!$A33,Velas_máscara!$A$8:$A$52,0),MATCH(Velas!P$7,Velas_máscara!$C$7:$V$7,0))*qtdsemana,"")</f>
        <v>8</v>
      </c>
      <c r="Q33" s="92">
        <f>IFERROR(INDEX(Velas_máscara!$C$8:$V$52,MATCH(Velas!$A33,Velas_máscara!$A$8:$A$52,0),MATCH(Velas!Q$7,Velas_máscara!$C$7:$V$7,0))*qtdsemana,"")</f>
        <v>0</v>
      </c>
      <c r="R33" s="92">
        <f>IFERROR(INDEX(Velas_máscara!$C$8:$V$52,MATCH(Velas!$A33,Velas_máscara!$A$8:$A$52,0),MATCH(Velas!R$7,Velas_máscara!$C$7:$V$7,0))*qtdsemana,"")</f>
        <v>4</v>
      </c>
      <c r="S33" s="92">
        <f>IFERROR(INDEX(Velas_máscara!$C$8:$V$52,MATCH(Velas!$A33,Velas_máscara!$A$8:$A$52,0),MATCH(Velas!S$7,Velas_máscara!$C$7:$V$7,0))*qtdsemana,"")</f>
        <v>0</v>
      </c>
      <c r="T33" s="92">
        <f>IFERROR(INDEX(Velas_máscara!$C$8:$V$52,MATCH(Velas!$A33,Velas_máscara!$A$8:$A$52,0),MATCH(Velas!T$7,Velas_máscara!$C$7:$V$7,0))*qtdsemana,"")</f>
        <v>0</v>
      </c>
      <c r="U33" s="92">
        <f>IFERROR(INDEX(Velas_máscara!$C$8:$V$52,MATCH(Velas!$A33,Velas_máscara!$A$8:$A$52,0),MATCH(Velas!U$7,Velas_máscara!$C$7:$V$7,0))*qtdsemana,"")</f>
        <v>8</v>
      </c>
      <c r="V33" s="92">
        <f>IFERROR(INDEX(Velas_máscara!$C$8:$V$52,MATCH(Velas!$A33,Velas_máscara!$A$8:$A$52,0),MATCH(Velas!V$7,Velas_máscara!$C$7:$V$7,0))*qtdsemana,"")</f>
        <v>0</v>
      </c>
      <c r="W33" s="98">
        <f t="shared" si="2"/>
        <v>24</v>
      </c>
      <c r="X33" s="103">
        <f t="shared" si="3"/>
        <v>62.400000000000006</v>
      </c>
      <c r="Y33" s="103">
        <f t="shared" si="4"/>
        <v>81.599999999999994</v>
      </c>
      <c r="AA33"/>
    </row>
    <row r="34" spans="1:27" s="98" customFormat="1">
      <c r="A34" s="101" t="s">
        <v>82</v>
      </c>
      <c r="B34" s="101"/>
      <c r="C34" s="102">
        <f>IFERROR(INDEX(Velas_máscara!$C$8:$V$52,MATCH(Velas!$A34,Velas_máscara!$A$8:$A$52,0),MATCH(Velas!C$7,Velas_máscara!$C$7:$V$7,0))*qtdsemana,"")</f>
        <v>0</v>
      </c>
      <c r="D34" s="102">
        <f>IFERROR(INDEX(Velas_máscara!$C$8:$V$52,MATCH(Velas!$A34,Velas_máscara!$A$8:$A$52,0),MATCH(Velas!D$7,Velas_máscara!$C$7:$V$7,0))*qtdsemana,"")</f>
        <v>0</v>
      </c>
      <c r="E34" s="102">
        <f>IFERROR(INDEX(Velas_máscara!$C$8:$V$52,MATCH(Velas!$A34,Velas_máscara!$A$8:$A$52,0),MATCH(Velas!E$7,Velas_máscara!$C$7:$V$7,0))*qtdsemana,"")</f>
        <v>0</v>
      </c>
      <c r="F34" s="102">
        <f>IFERROR(INDEX(Velas_máscara!$C$8:$V$52,MATCH(Velas!$A34,Velas_máscara!$A$8:$A$52,0),MATCH(Velas!F$7,Velas_máscara!$C$7:$V$7,0))*qtdsemana,"")</f>
        <v>0</v>
      </c>
      <c r="G34" s="102">
        <f>IFERROR(INDEX(Velas_máscara!$C$8:$V$52,MATCH(Velas!$A34,Velas_máscara!$A$8:$A$52,0),MATCH(Velas!G$7,Velas_máscara!$C$7:$V$7,0))*qtdsemana,"")</f>
        <v>0</v>
      </c>
      <c r="H34" s="102">
        <f>IFERROR(INDEX(Velas_máscara!$C$8:$V$52,MATCH(Velas!$A34,Velas_máscara!$A$8:$A$52,0),MATCH(Velas!H$7,Velas_máscara!$C$7:$V$7,0))*qtdsemana,"")</f>
        <v>0</v>
      </c>
      <c r="I34" s="102">
        <f>IFERROR(INDEX(Velas_máscara!$C$8:$V$52,MATCH(Velas!$A34,Velas_máscara!$A$8:$A$52,0),MATCH(Velas!I$7,Velas_máscara!$C$7:$V$7,0))*qtdsemana,"")</f>
        <v>0</v>
      </c>
      <c r="J34" s="102">
        <f>IFERROR(INDEX(Velas_máscara!$C$8:$V$52,MATCH(Velas!$A34,Velas_máscara!$A$8:$A$52,0),MATCH(Velas!J$7,Velas_máscara!$C$7:$V$7,0))*qtdsemana,"")</f>
        <v>0</v>
      </c>
      <c r="K34" s="102">
        <f>IFERROR(INDEX(Velas_máscara!$C$8:$V$52,MATCH(Velas!$A34,Velas_máscara!$A$8:$A$52,0),MATCH(Velas!K$7,Velas_máscara!$C$7:$V$7,0))*qtdsemana,"")</f>
        <v>0</v>
      </c>
      <c r="L34" s="102">
        <f>IFERROR(INDEX(Velas_máscara!$C$8:$V$52,MATCH(Velas!$A34,Velas_máscara!$A$8:$A$52,0),MATCH(Velas!L$7,Velas_máscara!$C$7:$V$7,0))*qtdsemana,"")</f>
        <v>0</v>
      </c>
      <c r="M34" s="102">
        <f>IFERROR(INDEX(Velas_máscara!$C$8:$V$52,MATCH(Velas!$A34,Velas_máscara!$A$8:$A$52,0),MATCH(Velas!M$7,Velas_máscara!$C$7:$V$7,0))*qtdsemana,"")</f>
        <v>0</v>
      </c>
      <c r="N34" s="102">
        <f>IFERROR(INDEX(Velas_máscara!$C$8:$V$52,MATCH(Velas!$A34,Velas_máscara!$A$8:$A$52,0),MATCH(Velas!N$7,Velas_máscara!$C$7:$V$7,0))*qtdsemana,"")</f>
        <v>0</v>
      </c>
      <c r="O34" s="102">
        <f>IFERROR(INDEX(Velas_máscara!$C$8:$V$52,MATCH(Velas!$A34,Velas_máscara!$A$8:$A$52,0),MATCH(Velas!O$7,Velas_máscara!$C$7:$V$7,0))*qtdsemana,"")</f>
        <v>0</v>
      </c>
      <c r="P34" s="102">
        <f>IFERROR(INDEX(Velas_máscara!$C$8:$V$52,MATCH(Velas!$A34,Velas_máscara!$A$8:$A$52,0),MATCH(Velas!P$7,Velas_máscara!$C$7:$V$7,0))*qtdsemana,"")</f>
        <v>0</v>
      </c>
      <c r="Q34" s="102">
        <f>IFERROR(INDEX(Velas_máscara!$C$8:$V$52,MATCH(Velas!$A34,Velas_máscara!$A$8:$A$52,0),MATCH(Velas!Q$7,Velas_máscara!$C$7:$V$7,0))*qtdsemana,"")</f>
        <v>0</v>
      </c>
      <c r="R34" s="102">
        <f>IFERROR(INDEX(Velas_máscara!$C$8:$V$52,MATCH(Velas!$A34,Velas_máscara!$A$8:$A$52,0),MATCH(Velas!R$7,Velas_máscara!$C$7:$V$7,0))*qtdsemana,"")</f>
        <v>0</v>
      </c>
      <c r="S34" s="102">
        <f>IFERROR(INDEX(Velas_máscara!$C$8:$V$52,MATCH(Velas!$A34,Velas_máscara!$A$8:$A$52,0),MATCH(Velas!S$7,Velas_máscara!$C$7:$V$7,0))*qtdsemana,"")</f>
        <v>0</v>
      </c>
      <c r="T34" s="102">
        <f>IFERROR(INDEX(Velas_máscara!$C$8:$V$52,MATCH(Velas!$A34,Velas_máscara!$A$8:$A$52,0),MATCH(Velas!T$7,Velas_máscara!$C$7:$V$7,0))*qtdsemana,"")</f>
        <v>0</v>
      </c>
      <c r="U34" s="102">
        <f>IFERROR(INDEX(Velas_máscara!$C$8:$V$52,MATCH(Velas!$A34,Velas_máscara!$A$8:$A$52,0),MATCH(Velas!U$7,Velas_máscara!$C$7:$V$7,0))*qtdsemana,"")</f>
        <v>0</v>
      </c>
      <c r="V34" s="102">
        <f>IFERROR(INDEX(Velas_máscara!$C$8:$V$52,MATCH(Velas!$A34,Velas_máscara!$A$8:$A$52,0),MATCH(Velas!V$7,Velas_máscara!$C$7:$V$7,0))*qtdsemana,"")</f>
        <v>0</v>
      </c>
      <c r="W34" s="98">
        <f t="shared" si="2"/>
        <v>0</v>
      </c>
      <c r="X34" s="103">
        <f t="shared" si="3"/>
        <v>0</v>
      </c>
      <c r="Y34" s="103">
        <f t="shared" si="4"/>
        <v>0</v>
      </c>
    </row>
    <row r="35" spans="1:27" s="98" customFormat="1">
      <c r="A35" s="101" t="s">
        <v>78</v>
      </c>
      <c r="B35" s="101"/>
      <c r="C35" s="92">
        <f>IFERROR(INDEX(Velas_máscara!$C$8:$V$52,MATCH(Velas!$A35,Velas_máscara!$A$8:$A$52,0),MATCH(Velas!C$7,Velas_máscara!$C$7:$V$7,0))*qtdsemana,"")</f>
        <v>0</v>
      </c>
      <c r="D35" s="92">
        <f>IFERROR(INDEX(Velas_máscara!$C$8:$V$52,MATCH(Velas!$A35,Velas_máscara!$A$8:$A$52,0),MATCH(Velas!D$7,Velas_máscara!$C$7:$V$7,0))*qtdsemana,"")</f>
        <v>0</v>
      </c>
      <c r="E35" s="92">
        <f>IFERROR(INDEX(Velas_máscara!$C$8:$V$52,MATCH(Velas!$A35,Velas_máscara!$A$8:$A$52,0),MATCH(Velas!E$7,Velas_máscara!$C$7:$V$7,0))*qtdsemana,"")</f>
        <v>0</v>
      </c>
      <c r="F35" s="92">
        <f>IFERROR(INDEX(Velas_máscara!$C$8:$V$52,MATCH(Velas!$A35,Velas_máscara!$A$8:$A$52,0),MATCH(Velas!F$7,Velas_máscara!$C$7:$V$7,0))*qtdsemana,"")</f>
        <v>0</v>
      </c>
      <c r="G35" s="92">
        <f>IFERROR(INDEX(Velas_máscara!$C$8:$V$52,MATCH(Velas!$A35,Velas_máscara!$A$8:$A$52,0),MATCH(Velas!G$7,Velas_máscara!$C$7:$V$7,0))*qtdsemana,"")</f>
        <v>0</v>
      </c>
      <c r="H35" s="92">
        <f>IFERROR(INDEX(Velas_máscara!$C$8:$V$52,MATCH(Velas!$A35,Velas_máscara!$A$8:$A$52,0),MATCH(Velas!H$7,Velas_máscara!$C$7:$V$7,0))*qtdsemana,"")</f>
        <v>0</v>
      </c>
      <c r="I35" s="92">
        <f>IFERROR(INDEX(Velas_máscara!$C$8:$V$52,MATCH(Velas!$A35,Velas_máscara!$A$8:$A$52,0),MATCH(Velas!I$7,Velas_máscara!$C$7:$V$7,0))*qtdsemana,"")</f>
        <v>0</v>
      </c>
      <c r="J35" s="92">
        <f>IFERROR(INDEX(Velas_máscara!$C$8:$V$52,MATCH(Velas!$A35,Velas_máscara!$A$8:$A$52,0),MATCH(Velas!J$7,Velas_máscara!$C$7:$V$7,0))*qtdsemana,"")</f>
        <v>4</v>
      </c>
      <c r="K35" s="92">
        <f>IFERROR(INDEX(Velas_máscara!$C$8:$V$52,MATCH(Velas!$A35,Velas_máscara!$A$8:$A$52,0),MATCH(Velas!K$7,Velas_máscara!$C$7:$V$7,0))*qtdsemana,"")</f>
        <v>0</v>
      </c>
      <c r="L35" s="92">
        <f>IFERROR(INDEX(Velas_máscara!$C$8:$V$52,MATCH(Velas!$A35,Velas_máscara!$A$8:$A$52,0),MATCH(Velas!L$7,Velas_máscara!$C$7:$V$7,0))*qtdsemana,"")</f>
        <v>0</v>
      </c>
      <c r="M35" s="92">
        <f>IFERROR(INDEX(Velas_máscara!$C$8:$V$52,MATCH(Velas!$A35,Velas_máscara!$A$8:$A$52,0),MATCH(Velas!M$7,Velas_máscara!$C$7:$V$7,0))*qtdsemana,"")</f>
        <v>0</v>
      </c>
      <c r="N35" s="92">
        <f>IFERROR(INDEX(Velas_máscara!$C$8:$V$52,MATCH(Velas!$A35,Velas_máscara!$A$8:$A$52,0),MATCH(Velas!N$7,Velas_máscara!$C$7:$V$7,0))*qtdsemana,"")</f>
        <v>0</v>
      </c>
      <c r="O35" s="92">
        <f>IFERROR(INDEX(Velas_máscara!$C$8:$V$52,MATCH(Velas!$A35,Velas_máscara!$A$8:$A$52,0),MATCH(Velas!O$7,Velas_máscara!$C$7:$V$7,0))*qtdsemana,"")</f>
        <v>0</v>
      </c>
      <c r="P35" s="92">
        <f>IFERROR(INDEX(Velas_máscara!$C$8:$V$52,MATCH(Velas!$A35,Velas_máscara!$A$8:$A$52,0),MATCH(Velas!P$7,Velas_máscara!$C$7:$V$7,0))*qtdsemana,"")</f>
        <v>4</v>
      </c>
      <c r="Q35" s="92">
        <f>IFERROR(INDEX(Velas_máscara!$C$8:$V$52,MATCH(Velas!$A35,Velas_máscara!$A$8:$A$52,0),MATCH(Velas!Q$7,Velas_máscara!$C$7:$V$7,0))*qtdsemana,"")</f>
        <v>0</v>
      </c>
      <c r="R35" s="92">
        <f>IFERROR(INDEX(Velas_máscara!$C$8:$V$52,MATCH(Velas!$A35,Velas_máscara!$A$8:$A$52,0),MATCH(Velas!R$7,Velas_máscara!$C$7:$V$7,0))*qtdsemana,"")</f>
        <v>4</v>
      </c>
      <c r="S35" s="92">
        <f>IFERROR(INDEX(Velas_máscara!$C$8:$V$52,MATCH(Velas!$A35,Velas_máscara!$A$8:$A$52,0),MATCH(Velas!S$7,Velas_máscara!$C$7:$V$7,0))*qtdsemana,"")</f>
        <v>0</v>
      </c>
      <c r="T35" s="92">
        <f>IFERROR(INDEX(Velas_máscara!$C$8:$V$52,MATCH(Velas!$A35,Velas_máscara!$A$8:$A$52,0),MATCH(Velas!T$7,Velas_máscara!$C$7:$V$7,0))*qtdsemana,"")</f>
        <v>0</v>
      </c>
      <c r="U35" s="92">
        <f>IFERROR(INDEX(Velas_máscara!$C$8:$V$52,MATCH(Velas!$A35,Velas_máscara!$A$8:$A$52,0),MATCH(Velas!U$7,Velas_máscara!$C$7:$V$7,0))*qtdsemana,"")</f>
        <v>0</v>
      </c>
      <c r="V35" s="92">
        <f>IFERROR(INDEX(Velas_máscara!$C$8:$V$52,MATCH(Velas!$A35,Velas_máscara!$A$8:$A$52,0),MATCH(Velas!V$7,Velas_máscara!$C$7:$V$7,0))*qtdsemana,"")</f>
        <v>4</v>
      </c>
      <c r="W35" s="98">
        <f t="shared" si="2"/>
        <v>16</v>
      </c>
      <c r="X35" s="103">
        <f t="shared" si="3"/>
        <v>41.6</v>
      </c>
      <c r="Y35" s="103">
        <f t="shared" si="4"/>
        <v>54.4</v>
      </c>
      <c r="Z35" s="98" t="s">
        <v>179</v>
      </c>
      <c r="AA35"/>
    </row>
    <row r="36" spans="1:27" s="98" customFormat="1">
      <c r="A36" s="101" t="s">
        <v>22</v>
      </c>
      <c r="B36" s="101"/>
      <c r="C36" s="102">
        <f>IFERROR(INDEX(Velas_máscara!$C$8:$V$52,MATCH(Velas!$A36,Velas_máscara!$A$8:$A$52,0),MATCH(Velas!C$7,Velas_máscara!$C$7:$V$7,0))*qtdsemana,"")</f>
        <v>0</v>
      </c>
      <c r="D36" s="102">
        <f>IFERROR(INDEX(Velas_máscara!$C$8:$V$52,MATCH(Velas!$A36,Velas_máscara!$A$8:$A$52,0),MATCH(Velas!D$7,Velas_máscara!$C$7:$V$7,0))*qtdsemana,"")</f>
        <v>0</v>
      </c>
      <c r="E36" s="102">
        <f>IFERROR(INDEX(Velas_máscara!$C$8:$V$52,MATCH(Velas!$A36,Velas_máscara!$A$8:$A$52,0),MATCH(Velas!E$7,Velas_máscara!$C$7:$V$7,0))*qtdsemana,"")</f>
        <v>0</v>
      </c>
      <c r="F36" s="102">
        <f>IFERROR(INDEX(Velas_máscara!$C$8:$V$52,MATCH(Velas!$A36,Velas_máscara!$A$8:$A$52,0),MATCH(Velas!F$7,Velas_máscara!$C$7:$V$7,0))*qtdsemana,"")</f>
        <v>0</v>
      </c>
      <c r="G36" s="102">
        <f>IFERROR(INDEX(Velas_máscara!$C$8:$V$52,MATCH(Velas!$A36,Velas_máscara!$A$8:$A$52,0),MATCH(Velas!G$7,Velas_máscara!$C$7:$V$7,0))*qtdsemana,"")</f>
        <v>0</v>
      </c>
      <c r="H36" s="102">
        <f>IFERROR(INDEX(Velas_máscara!$C$8:$V$52,MATCH(Velas!$A36,Velas_máscara!$A$8:$A$52,0),MATCH(Velas!H$7,Velas_máscara!$C$7:$V$7,0))*qtdsemana,"")</f>
        <v>0</v>
      </c>
      <c r="I36" s="102">
        <f>IFERROR(INDEX(Velas_máscara!$C$8:$V$52,MATCH(Velas!$A36,Velas_máscara!$A$8:$A$52,0),MATCH(Velas!I$7,Velas_máscara!$C$7:$V$7,0))*qtdsemana,"")</f>
        <v>0</v>
      </c>
      <c r="J36" s="102">
        <f>IFERROR(INDEX(Velas_máscara!$C$8:$V$52,MATCH(Velas!$A36,Velas_máscara!$A$8:$A$52,0),MATCH(Velas!J$7,Velas_máscara!$C$7:$V$7,0))*qtdsemana,"")</f>
        <v>0</v>
      </c>
      <c r="K36" s="102">
        <f>IFERROR(INDEX(Velas_máscara!$C$8:$V$52,MATCH(Velas!$A36,Velas_máscara!$A$8:$A$52,0),MATCH(Velas!K$7,Velas_máscara!$C$7:$V$7,0))*qtdsemana,"")</f>
        <v>0</v>
      </c>
      <c r="L36" s="102">
        <f>IFERROR(INDEX(Velas_máscara!$C$8:$V$52,MATCH(Velas!$A36,Velas_máscara!$A$8:$A$52,0),MATCH(Velas!L$7,Velas_máscara!$C$7:$V$7,0))*qtdsemana,"")</f>
        <v>0</v>
      </c>
      <c r="M36" s="102">
        <f>IFERROR(INDEX(Velas_máscara!$C$8:$V$52,MATCH(Velas!$A36,Velas_máscara!$A$8:$A$52,0),MATCH(Velas!M$7,Velas_máscara!$C$7:$V$7,0))*qtdsemana,"")</f>
        <v>0</v>
      </c>
      <c r="N36" s="102">
        <f>IFERROR(INDEX(Velas_máscara!$C$8:$V$52,MATCH(Velas!$A36,Velas_máscara!$A$8:$A$52,0),MATCH(Velas!N$7,Velas_máscara!$C$7:$V$7,0))*qtdsemana,"")</f>
        <v>0</v>
      </c>
      <c r="O36" s="102">
        <f>IFERROR(INDEX(Velas_máscara!$C$8:$V$52,MATCH(Velas!$A36,Velas_máscara!$A$8:$A$52,0),MATCH(Velas!O$7,Velas_máscara!$C$7:$V$7,0))*qtdsemana,"")</f>
        <v>0</v>
      </c>
      <c r="P36" s="102">
        <f>IFERROR(INDEX(Velas_máscara!$C$8:$V$52,MATCH(Velas!$A36,Velas_máscara!$A$8:$A$52,0),MATCH(Velas!P$7,Velas_máscara!$C$7:$V$7,0))*qtdsemana,"")</f>
        <v>0</v>
      </c>
      <c r="Q36" s="102">
        <f>IFERROR(INDEX(Velas_máscara!$C$8:$V$52,MATCH(Velas!$A36,Velas_máscara!$A$8:$A$52,0),MATCH(Velas!Q$7,Velas_máscara!$C$7:$V$7,0))*qtdsemana,"")</f>
        <v>0</v>
      </c>
      <c r="R36" s="102">
        <f>IFERROR(INDEX(Velas_máscara!$C$8:$V$52,MATCH(Velas!$A36,Velas_máscara!$A$8:$A$52,0),MATCH(Velas!R$7,Velas_máscara!$C$7:$V$7,0))*qtdsemana,"")</f>
        <v>0</v>
      </c>
      <c r="S36" s="102">
        <f>IFERROR(INDEX(Velas_máscara!$C$8:$V$52,MATCH(Velas!$A36,Velas_máscara!$A$8:$A$52,0),MATCH(Velas!S$7,Velas_máscara!$C$7:$V$7,0))*qtdsemana,"")</f>
        <v>0</v>
      </c>
      <c r="T36" s="102">
        <f>IFERROR(INDEX(Velas_máscara!$C$8:$V$52,MATCH(Velas!$A36,Velas_máscara!$A$8:$A$52,0),MATCH(Velas!T$7,Velas_máscara!$C$7:$V$7,0))*qtdsemana,"")</f>
        <v>0</v>
      </c>
      <c r="U36" s="102">
        <f>IFERROR(INDEX(Velas_máscara!$C$8:$V$52,MATCH(Velas!$A36,Velas_máscara!$A$8:$A$52,0),MATCH(Velas!U$7,Velas_máscara!$C$7:$V$7,0))*qtdsemana,"")</f>
        <v>0</v>
      </c>
      <c r="V36" s="102">
        <f>IFERROR(INDEX(Velas_máscara!$C$8:$V$52,MATCH(Velas!$A36,Velas_máscara!$A$8:$A$52,0),MATCH(Velas!V$7,Velas_máscara!$C$7:$V$7,0))*qtdsemana,"")</f>
        <v>0</v>
      </c>
      <c r="W36" s="98">
        <f t="shared" si="2"/>
        <v>0</v>
      </c>
      <c r="X36" s="103">
        <f t="shared" si="3"/>
        <v>0</v>
      </c>
      <c r="Y36" s="103">
        <f t="shared" si="4"/>
        <v>0</v>
      </c>
    </row>
    <row r="37" spans="1:27" s="98" customFormat="1">
      <c r="A37" s="101" t="s">
        <v>145</v>
      </c>
      <c r="B37" s="101"/>
      <c r="C37" s="92">
        <f>IFERROR(INDEX(Velas_máscara!$C$8:$V$52,MATCH(Velas!$A37,Velas_máscara!$A$8:$A$52,0),MATCH(Velas!C$7,Velas_máscara!$C$7:$V$7,0))*qtdsemana,"")</f>
        <v>0</v>
      </c>
      <c r="D37" s="92">
        <f>IFERROR(INDEX(Velas_máscara!$C$8:$V$52,MATCH(Velas!$A37,Velas_máscara!$A$8:$A$52,0),MATCH(Velas!D$7,Velas_máscara!$C$7:$V$7,0))*qtdsemana,"")</f>
        <v>0</v>
      </c>
      <c r="E37" s="92">
        <f>IFERROR(INDEX(Velas_máscara!$C$8:$V$52,MATCH(Velas!$A37,Velas_máscara!$A$8:$A$52,0),MATCH(Velas!E$7,Velas_máscara!$C$7:$V$7,0))*qtdsemana,"")</f>
        <v>0</v>
      </c>
      <c r="F37" s="92">
        <f>IFERROR(INDEX(Velas_máscara!$C$8:$V$52,MATCH(Velas!$A37,Velas_máscara!$A$8:$A$52,0),MATCH(Velas!F$7,Velas_máscara!$C$7:$V$7,0))*qtdsemana,"")</f>
        <v>0</v>
      </c>
      <c r="G37" s="92">
        <f>IFERROR(INDEX(Velas_máscara!$C$8:$V$52,MATCH(Velas!$A37,Velas_máscara!$A$8:$A$52,0),MATCH(Velas!G$7,Velas_máscara!$C$7:$V$7,0))*qtdsemana,"")</f>
        <v>0</v>
      </c>
      <c r="H37" s="92">
        <f>IFERROR(INDEX(Velas_máscara!$C$8:$V$52,MATCH(Velas!$A37,Velas_máscara!$A$8:$A$52,0),MATCH(Velas!H$7,Velas_máscara!$C$7:$V$7,0))*qtdsemana,"")</f>
        <v>0</v>
      </c>
      <c r="I37" s="92">
        <f>IFERROR(INDEX(Velas_máscara!$C$8:$V$52,MATCH(Velas!$A37,Velas_máscara!$A$8:$A$52,0),MATCH(Velas!I$7,Velas_máscara!$C$7:$V$7,0))*qtdsemana,"")</f>
        <v>0</v>
      </c>
      <c r="J37" s="92">
        <f>IFERROR(INDEX(Velas_máscara!$C$8:$V$52,MATCH(Velas!$A37,Velas_máscara!$A$8:$A$52,0),MATCH(Velas!J$7,Velas_máscara!$C$7:$V$7,0))*qtdsemana,"")</f>
        <v>4</v>
      </c>
      <c r="K37" s="92">
        <f>IFERROR(INDEX(Velas_máscara!$C$8:$V$52,MATCH(Velas!$A37,Velas_máscara!$A$8:$A$52,0),MATCH(Velas!K$7,Velas_máscara!$C$7:$V$7,0))*qtdsemana,"")</f>
        <v>0</v>
      </c>
      <c r="L37" s="92">
        <f>IFERROR(INDEX(Velas_máscara!$C$8:$V$52,MATCH(Velas!$A37,Velas_máscara!$A$8:$A$52,0),MATCH(Velas!L$7,Velas_máscara!$C$7:$V$7,0))*qtdsemana,"")</f>
        <v>0</v>
      </c>
      <c r="M37" s="92">
        <f>IFERROR(INDEX(Velas_máscara!$C$8:$V$52,MATCH(Velas!$A37,Velas_máscara!$A$8:$A$52,0),MATCH(Velas!M$7,Velas_máscara!$C$7:$V$7,0))*qtdsemana,"")</f>
        <v>0</v>
      </c>
      <c r="N37" s="92">
        <f>IFERROR(INDEX(Velas_máscara!$C$8:$V$52,MATCH(Velas!$A37,Velas_máscara!$A$8:$A$52,0),MATCH(Velas!N$7,Velas_máscara!$C$7:$V$7,0))*qtdsemana,"")</f>
        <v>0</v>
      </c>
      <c r="O37" s="92">
        <f>IFERROR(INDEX(Velas_máscara!$C$8:$V$52,MATCH(Velas!$A37,Velas_máscara!$A$8:$A$52,0),MATCH(Velas!O$7,Velas_máscara!$C$7:$V$7,0))*qtdsemana,"")</f>
        <v>0</v>
      </c>
      <c r="P37" s="92">
        <f>IFERROR(INDEX(Velas_máscara!$C$8:$V$52,MATCH(Velas!$A37,Velas_máscara!$A$8:$A$52,0),MATCH(Velas!P$7,Velas_máscara!$C$7:$V$7,0))*qtdsemana,"")</f>
        <v>4</v>
      </c>
      <c r="Q37" s="92">
        <f>IFERROR(INDEX(Velas_máscara!$C$8:$V$52,MATCH(Velas!$A37,Velas_máscara!$A$8:$A$52,0),MATCH(Velas!Q$7,Velas_máscara!$C$7:$V$7,0))*qtdsemana,"")</f>
        <v>0</v>
      </c>
      <c r="R37" s="92">
        <f>IFERROR(INDEX(Velas_máscara!$C$8:$V$52,MATCH(Velas!$A37,Velas_máscara!$A$8:$A$52,0),MATCH(Velas!R$7,Velas_máscara!$C$7:$V$7,0))*qtdsemana,"")</f>
        <v>0</v>
      </c>
      <c r="S37" s="92">
        <f>IFERROR(INDEX(Velas_máscara!$C$8:$V$52,MATCH(Velas!$A37,Velas_máscara!$A$8:$A$52,0),MATCH(Velas!S$7,Velas_máscara!$C$7:$V$7,0))*qtdsemana,"")</f>
        <v>0</v>
      </c>
      <c r="T37" s="92">
        <f>IFERROR(INDEX(Velas_máscara!$C$8:$V$52,MATCH(Velas!$A37,Velas_máscara!$A$8:$A$52,0),MATCH(Velas!T$7,Velas_máscara!$C$7:$V$7,0))*qtdsemana,"")</f>
        <v>0</v>
      </c>
      <c r="U37" s="92">
        <f>IFERROR(INDEX(Velas_máscara!$C$8:$V$52,MATCH(Velas!$A37,Velas_máscara!$A$8:$A$52,0),MATCH(Velas!U$7,Velas_máscara!$C$7:$V$7,0))*qtdsemana,"")</f>
        <v>0</v>
      </c>
      <c r="V37" s="92">
        <f>IFERROR(INDEX(Velas_máscara!$C$8:$V$52,MATCH(Velas!$A37,Velas_máscara!$A$8:$A$52,0),MATCH(Velas!V$7,Velas_máscara!$C$7:$V$7,0))*qtdsemana,"")</f>
        <v>0</v>
      </c>
      <c r="W37" s="98">
        <f t="shared" si="2"/>
        <v>8</v>
      </c>
      <c r="X37" s="103">
        <f t="shared" si="3"/>
        <v>20.8</v>
      </c>
      <c r="Y37" s="103">
        <f t="shared" si="4"/>
        <v>27.2</v>
      </c>
      <c r="Z37" s="98" t="s">
        <v>179</v>
      </c>
      <c r="AA37"/>
    </row>
    <row r="38" spans="1:27" s="98" customFormat="1">
      <c r="A38" s="101" t="s">
        <v>146</v>
      </c>
      <c r="B38" s="101"/>
      <c r="C38" s="102">
        <f>IFERROR(INDEX(Velas_máscara!$C$8:$V$52,MATCH(Velas!$A38,Velas_máscara!$A$8:$A$52,0),MATCH(Velas!C$7,Velas_máscara!$C$7:$V$7,0))*qtdsemana,"")</f>
        <v>0</v>
      </c>
      <c r="D38" s="102">
        <f>IFERROR(INDEX(Velas_máscara!$C$8:$V$52,MATCH(Velas!$A38,Velas_máscara!$A$8:$A$52,0),MATCH(Velas!D$7,Velas_máscara!$C$7:$V$7,0))*qtdsemana,"")</f>
        <v>0</v>
      </c>
      <c r="E38" s="102">
        <f>IFERROR(INDEX(Velas_máscara!$C$8:$V$52,MATCH(Velas!$A38,Velas_máscara!$A$8:$A$52,0),MATCH(Velas!E$7,Velas_máscara!$C$7:$V$7,0))*qtdsemana,"")</f>
        <v>0</v>
      </c>
      <c r="F38" s="102">
        <f>IFERROR(INDEX(Velas_máscara!$C$8:$V$52,MATCH(Velas!$A38,Velas_máscara!$A$8:$A$52,0),MATCH(Velas!F$7,Velas_máscara!$C$7:$V$7,0))*qtdsemana,"")</f>
        <v>0</v>
      </c>
      <c r="G38" s="102">
        <f>IFERROR(INDEX(Velas_máscara!$C$8:$V$52,MATCH(Velas!$A38,Velas_máscara!$A$8:$A$52,0),MATCH(Velas!G$7,Velas_máscara!$C$7:$V$7,0))*qtdsemana,"")</f>
        <v>0</v>
      </c>
      <c r="H38" s="102">
        <f>IFERROR(INDEX(Velas_máscara!$C$8:$V$52,MATCH(Velas!$A38,Velas_máscara!$A$8:$A$52,0),MATCH(Velas!H$7,Velas_máscara!$C$7:$V$7,0))*qtdsemana,"")</f>
        <v>0</v>
      </c>
      <c r="I38" s="102">
        <f>IFERROR(INDEX(Velas_máscara!$C$8:$V$52,MATCH(Velas!$A38,Velas_máscara!$A$8:$A$52,0),MATCH(Velas!I$7,Velas_máscara!$C$7:$V$7,0))*qtdsemana,"")</f>
        <v>0</v>
      </c>
      <c r="J38" s="102">
        <f>IFERROR(INDEX(Velas_máscara!$C$8:$V$52,MATCH(Velas!$A38,Velas_máscara!$A$8:$A$52,0),MATCH(Velas!J$7,Velas_máscara!$C$7:$V$7,0))*qtdsemana,"")</f>
        <v>0</v>
      </c>
      <c r="K38" s="102">
        <f>IFERROR(INDEX(Velas_máscara!$C$8:$V$52,MATCH(Velas!$A38,Velas_máscara!$A$8:$A$52,0),MATCH(Velas!K$7,Velas_máscara!$C$7:$V$7,0))*qtdsemana,"")</f>
        <v>0</v>
      </c>
      <c r="L38" s="102">
        <f>IFERROR(INDEX(Velas_máscara!$C$8:$V$52,MATCH(Velas!$A38,Velas_máscara!$A$8:$A$52,0),MATCH(Velas!L$7,Velas_máscara!$C$7:$V$7,0))*qtdsemana,"")</f>
        <v>0</v>
      </c>
      <c r="M38" s="102">
        <f>IFERROR(INDEX(Velas_máscara!$C$8:$V$52,MATCH(Velas!$A38,Velas_máscara!$A$8:$A$52,0),MATCH(Velas!M$7,Velas_máscara!$C$7:$V$7,0))*qtdsemana,"")</f>
        <v>0</v>
      </c>
      <c r="N38" s="102">
        <f>IFERROR(INDEX(Velas_máscara!$C$8:$V$52,MATCH(Velas!$A38,Velas_máscara!$A$8:$A$52,0),MATCH(Velas!N$7,Velas_máscara!$C$7:$V$7,0))*qtdsemana,"")</f>
        <v>0</v>
      </c>
      <c r="O38" s="102">
        <f>IFERROR(INDEX(Velas_máscara!$C$8:$V$52,MATCH(Velas!$A38,Velas_máscara!$A$8:$A$52,0),MATCH(Velas!O$7,Velas_máscara!$C$7:$V$7,0))*qtdsemana,"")</f>
        <v>0</v>
      </c>
      <c r="P38" s="102">
        <f>IFERROR(INDEX(Velas_máscara!$C$8:$V$52,MATCH(Velas!$A38,Velas_máscara!$A$8:$A$52,0),MATCH(Velas!P$7,Velas_máscara!$C$7:$V$7,0))*qtdsemana,"")</f>
        <v>0</v>
      </c>
      <c r="Q38" s="102">
        <f>IFERROR(INDEX(Velas_máscara!$C$8:$V$52,MATCH(Velas!$A38,Velas_máscara!$A$8:$A$52,0),MATCH(Velas!Q$7,Velas_máscara!$C$7:$V$7,0))*qtdsemana,"")</f>
        <v>0</v>
      </c>
      <c r="R38" s="102">
        <f>IFERROR(INDEX(Velas_máscara!$C$8:$V$52,MATCH(Velas!$A38,Velas_máscara!$A$8:$A$52,0),MATCH(Velas!R$7,Velas_máscara!$C$7:$V$7,0))*qtdsemana,"")</f>
        <v>0</v>
      </c>
      <c r="S38" s="102">
        <f>IFERROR(INDEX(Velas_máscara!$C$8:$V$52,MATCH(Velas!$A38,Velas_máscara!$A$8:$A$52,0),MATCH(Velas!S$7,Velas_máscara!$C$7:$V$7,0))*qtdsemana,"")</f>
        <v>0</v>
      </c>
      <c r="T38" s="102">
        <f>IFERROR(INDEX(Velas_máscara!$C$8:$V$52,MATCH(Velas!$A38,Velas_máscara!$A$8:$A$52,0),MATCH(Velas!T$7,Velas_máscara!$C$7:$V$7,0))*qtdsemana,"")</f>
        <v>0</v>
      </c>
      <c r="U38" s="102">
        <f>IFERROR(INDEX(Velas_máscara!$C$8:$V$52,MATCH(Velas!$A38,Velas_máscara!$A$8:$A$52,0),MATCH(Velas!U$7,Velas_máscara!$C$7:$V$7,0))*qtdsemana,"")</f>
        <v>0</v>
      </c>
      <c r="V38" s="102">
        <f>IFERROR(INDEX(Velas_máscara!$C$8:$V$52,MATCH(Velas!$A38,Velas_máscara!$A$8:$A$52,0),MATCH(Velas!V$7,Velas_máscara!$C$7:$V$7,0))*qtdsemana,"")</f>
        <v>0</v>
      </c>
      <c r="W38" s="98">
        <f t="shared" si="2"/>
        <v>0</v>
      </c>
      <c r="X38" s="103">
        <f t="shared" si="3"/>
        <v>0</v>
      </c>
      <c r="Y38" s="103">
        <f t="shared" si="4"/>
        <v>0</v>
      </c>
    </row>
    <row r="39" spans="1:27" s="98" customFormat="1">
      <c r="A39" s="101" t="s">
        <v>23</v>
      </c>
      <c r="B39" s="101"/>
      <c r="C39" s="92">
        <f>IFERROR(INDEX(Velas_máscara!$C$8:$V$52,MATCH(Velas!$A39,Velas_máscara!$A$8:$A$52,0),MATCH(Velas!C$7,Velas_máscara!$C$7:$V$7,0))*qtdsemana,"")</f>
        <v>0</v>
      </c>
      <c r="D39" s="92">
        <f>IFERROR(INDEX(Velas_máscara!$C$8:$V$52,MATCH(Velas!$A39,Velas_máscara!$A$8:$A$52,0),MATCH(Velas!D$7,Velas_máscara!$C$7:$V$7,0))*qtdsemana,"")</f>
        <v>0</v>
      </c>
      <c r="E39" s="92">
        <f>IFERROR(INDEX(Velas_máscara!$C$8:$V$52,MATCH(Velas!$A39,Velas_máscara!$A$8:$A$52,0),MATCH(Velas!E$7,Velas_máscara!$C$7:$V$7,0))*qtdsemana,"")</f>
        <v>0</v>
      </c>
      <c r="F39" s="92">
        <f>IFERROR(INDEX(Velas_máscara!$C$8:$V$52,MATCH(Velas!$A39,Velas_máscara!$A$8:$A$52,0),MATCH(Velas!F$7,Velas_máscara!$C$7:$V$7,0))*qtdsemana,"")</f>
        <v>0</v>
      </c>
      <c r="G39" s="92">
        <f>IFERROR(INDEX(Velas_máscara!$C$8:$V$52,MATCH(Velas!$A39,Velas_máscara!$A$8:$A$52,0),MATCH(Velas!G$7,Velas_máscara!$C$7:$V$7,0))*qtdsemana,"")</f>
        <v>0</v>
      </c>
      <c r="H39" s="92">
        <f>IFERROR(INDEX(Velas_máscara!$C$8:$V$52,MATCH(Velas!$A39,Velas_máscara!$A$8:$A$52,0),MATCH(Velas!H$7,Velas_máscara!$C$7:$V$7,0))*qtdsemana,"")</f>
        <v>0</v>
      </c>
      <c r="I39" s="92">
        <f>IFERROR(INDEX(Velas_máscara!$C$8:$V$52,MATCH(Velas!$A39,Velas_máscara!$A$8:$A$52,0),MATCH(Velas!I$7,Velas_máscara!$C$7:$V$7,0))*qtdsemana,"")</f>
        <v>0</v>
      </c>
      <c r="J39" s="92">
        <f>IFERROR(INDEX(Velas_máscara!$C$8:$V$52,MATCH(Velas!$A39,Velas_máscara!$A$8:$A$52,0),MATCH(Velas!J$7,Velas_máscara!$C$7:$V$7,0))*qtdsemana,"")</f>
        <v>0</v>
      </c>
      <c r="K39" s="92">
        <f>IFERROR(INDEX(Velas_máscara!$C$8:$V$52,MATCH(Velas!$A39,Velas_máscara!$A$8:$A$52,0),MATCH(Velas!K$7,Velas_máscara!$C$7:$V$7,0))*qtdsemana,"")</f>
        <v>0</v>
      </c>
      <c r="L39" s="92">
        <f>IFERROR(INDEX(Velas_máscara!$C$8:$V$52,MATCH(Velas!$A39,Velas_máscara!$A$8:$A$52,0),MATCH(Velas!L$7,Velas_máscara!$C$7:$V$7,0))*qtdsemana,"")</f>
        <v>0</v>
      </c>
      <c r="M39" s="92">
        <f>IFERROR(INDEX(Velas_máscara!$C$8:$V$52,MATCH(Velas!$A39,Velas_máscara!$A$8:$A$52,0),MATCH(Velas!M$7,Velas_máscara!$C$7:$V$7,0))*qtdsemana,"")</f>
        <v>0</v>
      </c>
      <c r="N39" s="92">
        <f>IFERROR(INDEX(Velas_máscara!$C$8:$V$52,MATCH(Velas!$A39,Velas_máscara!$A$8:$A$52,0),MATCH(Velas!N$7,Velas_máscara!$C$7:$V$7,0))*qtdsemana,"")</f>
        <v>0</v>
      </c>
      <c r="O39" s="92">
        <f>IFERROR(INDEX(Velas_máscara!$C$8:$V$52,MATCH(Velas!$A39,Velas_máscara!$A$8:$A$52,0),MATCH(Velas!O$7,Velas_máscara!$C$7:$V$7,0))*qtdsemana,"")</f>
        <v>0</v>
      </c>
      <c r="P39" s="92">
        <f>IFERROR(INDEX(Velas_máscara!$C$8:$V$52,MATCH(Velas!$A39,Velas_máscara!$A$8:$A$52,0),MATCH(Velas!P$7,Velas_máscara!$C$7:$V$7,0))*qtdsemana,"")</f>
        <v>4</v>
      </c>
      <c r="Q39" s="92">
        <f>IFERROR(INDEX(Velas_máscara!$C$8:$V$52,MATCH(Velas!$A39,Velas_máscara!$A$8:$A$52,0),MATCH(Velas!Q$7,Velas_máscara!$C$7:$V$7,0))*qtdsemana,"")</f>
        <v>0</v>
      </c>
      <c r="R39" s="92">
        <f>IFERROR(INDEX(Velas_máscara!$C$8:$V$52,MATCH(Velas!$A39,Velas_máscara!$A$8:$A$52,0),MATCH(Velas!R$7,Velas_máscara!$C$7:$V$7,0))*qtdsemana,"")</f>
        <v>4</v>
      </c>
      <c r="S39" s="92">
        <f>IFERROR(INDEX(Velas_máscara!$C$8:$V$52,MATCH(Velas!$A39,Velas_máscara!$A$8:$A$52,0),MATCH(Velas!S$7,Velas_máscara!$C$7:$V$7,0))*qtdsemana,"")</f>
        <v>0</v>
      </c>
      <c r="T39" s="92">
        <f>IFERROR(INDEX(Velas_máscara!$C$8:$V$52,MATCH(Velas!$A39,Velas_máscara!$A$8:$A$52,0),MATCH(Velas!T$7,Velas_máscara!$C$7:$V$7,0))*qtdsemana,"")</f>
        <v>0</v>
      </c>
      <c r="U39" s="92">
        <f>IFERROR(INDEX(Velas_máscara!$C$8:$V$52,MATCH(Velas!$A39,Velas_máscara!$A$8:$A$52,0),MATCH(Velas!U$7,Velas_máscara!$C$7:$V$7,0))*qtdsemana,"")</f>
        <v>0</v>
      </c>
      <c r="V39" s="92">
        <f>IFERROR(INDEX(Velas_máscara!$C$8:$V$52,MATCH(Velas!$A39,Velas_máscara!$A$8:$A$52,0),MATCH(Velas!V$7,Velas_máscara!$C$7:$V$7,0))*qtdsemana,"")</f>
        <v>4</v>
      </c>
      <c r="W39" s="98">
        <f t="shared" si="2"/>
        <v>12</v>
      </c>
      <c r="X39" s="103">
        <f t="shared" si="3"/>
        <v>31.200000000000003</v>
      </c>
      <c r="Y39" s="103">
        <f t="shared" si="4"/>
        <v>40.799999999999997</v>
      </c>
      <c r="AA39"/>
    </row>
    <row r="40" spans="1:27" s="98" customFormat="1">
      <c r="A40" s="101" t="s">
        <v>96</v>
      </c>
      <c r="B40" s="101"/>
      <c r="C40" s="102">
        <f>IFERROR(INDEX(Velas_máscara!$C$8:$V$52,MATCH(Velas!$A40,Velas_máscara!$A$8:$A$52,0),MATCH(Velas!C$7,Velas_máscara!$C$7:$V$7,0))*qtdsemana,"")</f>
        <v>0</v>
      </c>
      <c r="D40" s="102">
        <f>IFERROR(INDEX(Velas_máscara!$C$8:$V$52,MATCH(Velas!$A40,Velas_máscara!$A$8:$A$52,0),MATCH(Velas!D$7,Velas_máscara!$C$7:$V$7,0))*qtdsemana,"")</f>
        <v>0</v>
      </c>
      <c r="E40" s="102">
        <f>IFERROR(INDEX(Velas_máscara!$C$8:$V$52,MATCH(Velas!$A40,Velas_máscara!$A$8:$A$52,0),MATCH(Velas!E$7,Velas_máscara!$C$7:$V$7,0))*qtdsemana,"")</f>
        <v>0</v>
      </c>
      <c r="F40" s="102">
        <f>IFERROR(INDEX(Velas_máscara!$C$8:$V$52,MATCH(Velas!$A40,Velas_máscara!$A$8:$A$52,0),MATCH(Velas!F$7,Velas_máscara!$C$7:$V$7,0))*qtdsemana,"")</f>
        <v>0</v>
      </c>
      <c r="G40" s="102">
        <f>IFERROR(INDEX(Velas_máscara!$C$8:$V$52,MATCH(Velas!$A40,Velas_máscara!$A$8:$A$52,0),MATCH(Velas!G$7,Velas_máscara!$C$7:$V$7,0))*qtdsemana,"")</f>
        <v>0</v>
      </c>
      <c r="H40" s="102">
        <f>IFERROR(INDEX(Velas_máscara!$C$8:$V$52,MATCH(Velas!$A40,Velas_máscara!$A$8:$A$52,0),MATCH(Velas!H$7,Velas_máscara!$C$7:$V$7,0))*qtdsemana,"")</f>
        <v>0</v>
      </c>
      <c r="I40" s="102">
        <f>IFERROR(INDEX(Velas_máscara!$C$8:$V$52,MATCH(Velas!$A40,Velas_máscara!$A$8:$A$52,0),MATCH(Velas!I$7,Velas_máscara!$C$7:$V$7,0))*qtdsemana,"")</f>
        <v>0</v>
      </c>
      <c r="J40" s="102">
        <f>IFERROR(INDEX(Velas_máscara!$C$8:$V$52,MATCH(Velas!$A40,Velas_máscara!$A$8:$A$52,0),MATCH(Velas!J$7,Velas_máscara!$C$7:$V$7,0))*qtdsemana,"")</f>
        <v>0</v>
      </c>
      <c r="K40" s="102">
        <f>IFERROR(INDEX(Velas_máscara!$C$8:$V$52,MATCH(Velas!$A40,Velas_máscara!$A$8:$A$52,0),MATCH(Velas!K$7,Velas_máscara!$C$7:$V$7,0))*qtdsemana,"")</f>
        <v>0</v>
      </c>
      <c r="L40" s="102">
        <f>IFERROR(INDEX(Velas_máscara!$C$8:$V$52,MATCH(Velas!$A40,Velas_máscara!$A$8:$A$52,0),MATCH(Velas!L$7,Velas_máscara!$C$7:$V$7,0))*qtdsemana,"")</f>
        <v>0</v>
      </c>
      <c r="M40" s="102">
        <f>IFERROR(INDEX(Velas_máscara!$C$8:$V$52,MATCH(Velas!$A40,Velas_máscara!$A$8:$A$52,0),MATCH(Velas!M$7,Velas_máscara!$C$7:$V$7,0))*qtdsemana,"")</f>
        <v>0</v>
      </c>
      <c r="N40" s="102">
        <f>IFERROR(INDEX(Velas_máscara!$C$8:$V$52,MATCH(Velas!$A40,Velas_máscara!$A$8:$A$52,0),MATCH(Velas!N$7,Velas_máscara!$C$7:$V$7,0))*qtdsemana,"")</f>
        <v>0</v>
      </c>
      <c r="O40" s="102">
        <f>IFERROR(INDEX(Velas_máscara!$C$8:$V$52,MATCH(Velas!$A40,Velas_máscara!$A$8:$A$52,0),MATCH(Velas!O$7,Velas_máscara!$C$7:$V$7,0))*qtdsemana,"")</f>
        <v>0</v>
      </c>
      <c r="P40" s="102">
        <f>IFERROR(INDEX(Velas_máscara!$C$8:$V$52,MATCH(Velas!$A40,Velas_máscara!$A$8:$A$52,0),MATCH(Velas!P$7,Velas_máscara!$C$7:$V$7,0))*qtdsemana,"")</f>
        <v>0</v>
      </c>
      <c r="Q40" s="102">
        <f>IFERROR(INDEX(Velas_máscara!$C$8:$V$52,MATCH(Velas!$A40,Velas_máscara!$A$8:$A$52,0),MATCH(Velas!Q$7,Velas_máscara!$C$7:$V$7,0))*qtdsemana,"")</f>
        <v>0</v>
      </c>
      <c r="R40" s="102">
        <f>IFERROR(INDEX(Velas_máscara!$C$8:$V$52,MATCH(Velas!$A40,Velas_máscara!$A$8:$A$52,0),MATCH(Velas!R$7,Velas_máscara!$C$7:$V$7,0))*qtdsemana,"")</f>
        <v>0</v>
      </c>
      <c r="S40" s="102">
        <f>IFERROR(INDEX(Velas_máscara!$C$8:$V$52,MATCH(Velas!$A40,Velas_máscara!$A$8:$A$52,0),MATCH(Velas!S$7,Velas_máscara!$C$7:$V$7,0))*qtdsemana,"")</f>
        <v>0</v>
      </c>
      <c r="T40" s="102">
        <f>IFERROR(INDEX(Velas_máscara!$C$8:$V$52,MATCH(Velas!$A40,Velas_máscara!$A$8:$A$52,0),MATCH(Velas!T$7,Velas_máscara!$C$7:$V$7,0))*qtdsemana,"")</f>
        <v>0</v>
      </c>
      <c r="U40" s="102">
        <f>IFERROR(INDEX(Velas_máscara!$C$8:$V$52,MATCH(Velas!$A40,Velas_máscara!$A$8:$A$52,0),MATCH(Velas!U$7,Velas_máscara!$C$7:$V$7,0))*qtdsemana,"")</f>
        <v>0</v>
      </c>
      <c r="V40" s="102">
        <f>IFERROR(INDEX(Velas_máscara!$C$8:$V$52,MATCH(Velas!$A40,Velas_máscara!$A$8:$A$52,0),MATCH(Velas!V$7,Velas_máscara!$C$7:$V$7,0))*qtdsemana,"")</f>
        <v>0</v>
      </c>
      <c r="W40" s="98">
        <f t="shared" si="2"/>
        <v>0</v>
      </c>
      <c r="X40" s="103">
        <f t="shared" si="3"/>
        <v>0</v>
      </c>
      <c r="Y40" s="103">
        <f t="shared" si="4"/>
        <v>0</v>
      </c>
    </row>
    <row r="41" spans="1:27" s="98" customFormat="1">
      <c r="A41" s="101" t="s">
        <v>24</v>
      </c>
      <c r="B41" s="101"/>
      <c r="C41" s="92">
        <f>IFERROR(INDEX(Velas_máscara!$C$8:$V$52,MATCH(Velas!$A41,Velas_máscara!$A$8:$A$52,0),MATCH(Velas!C$7,Velas_máscara!$C$7:$V$7,0))*qtdsemana,"")</f>
        <v>0</v>
      </c>
      <c r="D41" s="92">
        <f>IFERROR(INDEX(Velas_máscara!$C$8:$V$52,MATCH(Velas!$A41,Velas_máscara!$A$8:$A$52,0),MATCH(Velas!D$7,Velas_máscara!$C$7:$V$7,0))*qtdsemana,"")</f>
        <v>0</v>
      </c>
      <c r="E41" s="92">
        <f>IFERROR(INDEX(Velas_máscara!$C$8:$V$52,MATCH(Velas!$A41,Velas_máscara!$A$8:$A$52,0),MATCH(Velas!E$7,Velas_máscara!$C$7:$V$7,0))*qtdsemana,"")</f>
        <v>0</v>
      </c>
      <c r="F41" s="92">
        <f>IFERROR(INDEX(Velas_máscara!$C$8:$V$52,MATCH(Velas!$A41,Velas_máscara!$A$8:$A$52,0),MATCH(Velas!F$7,Velas_máscara!$C$7:$V$7,0))*qtdsemana,"")</f>
        <v>0</v>
      </c>
      <c r="G41" s="92">
        <f>IFERROR(INDEX(Velas_máscara!$C$8:$V$52,MATCH(Velas!$A41,Velas_máscara!$A$8:$A$52,0),MATCH(Velas!G$7,Velas_máscara!$C$7:$V$7,0))*qtdsemana,"")</f>
        <v>0</v>
      </c>
      <c r="H41" s="92">
        <f>IFERROR(INDEX(Velas_máscara!$C$8:$V$52,MATCH(Velas!$A41,Velas_máscara!$A$8:$A$52,0),MATCH(Velas!H$7,Velas_máscara!$C$7:$V$7,0))*qtdsemana,"")</f>
        <v>0</v>
      </c>
      <c r="I41" s="92">
        <f>IFERROR(INDEX(Velas_máscara!$C$8:$V$52,MATCH(Velas!$A41,Velas_máscara!$A$8:$A$52,0),MATCH(Velas!I$7,Velas_máscara!$C$7:$V$7,0))*qtdsemana,"")</f>
        <v>0</v>
      </c>
      <c r="J41" s="92">
        <v>4</v>
      </c>
      <c r="K41" s="92">
        <f>IFERROR(INDEX(Velas_máscara!$C$8:$V$52,MATCH(Velas!$A41,Velas_máscara!$A$8:$A$52,0),MATCH(Velas!K$7,Velas_máscara!$C$7:$V$7,0))*qtdsemana,"")</f>
        <v>0</v>
      </c>
      <c r="L41" s="92">
        <f>IFERROR(INDEX(Velas_máscara!$C$8:$V$52,MATCH(Velas!$A41,Velas_máscara!$A$8:$A$52,0),MATCH(Velas!L$7,Velas_máscara!$C$7:$V$7,0))*qtdsemana,"")</f>
        <v>0</v>
      </c>
      <c r="M41" s="92">
        <f>IFERROR(INDEX(Velas_máscara!$C$8:$V$52,MATCH(Velas!$A41,Velas_máscara!$A$8:$A$52,0),MATCH(Velas!M$7,Velas_máscara!$C$7:$V$7,0))*qtdsemana,"")</f>
        <v>0</v>
      </c>
      <c r="N41" s="92">
        <f>IFERROR(INDEX(Velas_máscara!$C$8:$V$52,MATCH(Velas!$A41,Velas_máscara!$A$8:$A$52,0),MATCH(Velas!N$7,Velas_máscara!$C$7:$V$7,0))*qtdsemana,"")</f>
        <v>0</v>
      </c>
      <c r="O41" s="92">
        <f>IFERROR(INDEX(Velas_máscara!$C$8:$V$52,MATCH(Velas!$A41,Velas_máscara!$A$8:$A$52,0),MATCH(Velas!O$7,Velas_máscara!$C$7:$V$7,0))*qtdsemana,"")</f>
        <v>0</v>
      </c>
      <c r="P41" s="92">
        <f>IFERROR(INDEX(Velas_máscara!$C$8:$V$52,MATCH(Velas!$A41,Velas_máscara!$A$8:$A$52,0),MATCH(Velas!P$7,Velas_máscara!$C$7:$V$7,0))*qtdsemana,"")</f>
        <v>4</v>
      </c>
      <c r="Q41" s="92">
        <f>IFERROR(INDEX(Velas_máscara!$C$8:$V$52,MATCH(Velas!$A41,Velas_máscara!$A$8:$A$52,0),MATCH(Velas!Q$7,Velas_máscara!$C$7:$V$7,0))*qtdsemana,"")</f>
        <v>0</v>
      </c>
      <c r="R41" s="92">
        <f>IFERROR(INDEX(Velas_máscara!$C$8:$V$52,MATCH(Velas!$A41,Velas_máscara!$A$8:$A$52,0),MATCH(Velas!R$7,Velas_máscara!$C$7:$V$7,0))*qtdsemana,"")</f>
        <v>0</v>
      </c>
      <c r="S41" s="92">
        <f>IFERROR(INDEX(Velas_máscara!$C$8:$V$52,MATCH(Velas!$A41,Velas_máscara!$A$8:$A$52,0),MATCH(Velas!S$7,Velas_máscara!$C$7:$V$7,0))*qtdsemana,"")</f>
        <v>0</v>
      </c>
      <c r="T41" s="92">
        <f>IFERROR(INDEX(Velas_máscara!$C$8:$V$52,MATCH(Velas!$A41,Velas_máscara!$A$8:$A$52,0),MATCH(Velas!T$7,Velas_máscara!$C$7:$V$7,0))*qtdsemana,"")</f>
        <v>0</v>
      </c>
      <c r="U41" s="92">
        <f>IFERROR(INDEX(Velas_máscara!$C$8:$V$52,MATCH(Velas!$A41,Velas_máscara!$A$8:$A$52,0),MATCH(Velas!U$7,Velas_máscara!$C$7:$V$7,0))*qtdsemana,"")</f>
        <v>0</v>
      </c>
      <c r="V41" s="92">
        <f>IFERROR(INDEX(Velas_máscara!$C$8:$V$52,MATCH(Velas!$A41,Velas_máscara!$A$8:$A$52,0),MATCH(Velas!V$7,Velas_máscara!$C$7:$V$7,0))*qtdsemana,"")</f>
        <v>0</v>
      </c>
      <c r="W41" s="98">
        <f t="shared" si="2"/>
        <v>8</v>
      </c>
      <c r="X41" s="103">
        <f t="shared" si="3"/>
        <v>20.8</v>
      </c>
      <c r="Y41" s="103">
        <f t="shared" si="4"/>
        <v>27.2</v>
      </c>
      <c r="Z41" s="98" t="s">
        <v>179</v>
      </c>
      <c r="AA41"/>
    </row>
    <row r="42" spans="1:27" s="98" customFormat="1">
      <c r="A42" s="101" t="s">
        <v>147</v>
      </c>
      <c r="B42" s="101"/>
      <c r="C42" s="92">
        <f>IFERROR(INDEX(Velas_máscara!$C$8:$V$52,MATCH(Velas!$A42,Velas_máscara!$A$8:$A$52,0),MATCH(Velas!C$7,Velas_máscara!$C$7:$V$7,0))*qtdsemana,"")</f>
        <v>0</v>
      </c>
      <c r="D42" s="92">
        <f>IFERROR(INDEX(Velas_máscara!$C$8:$V$52,MATCH(Velas!$A42,Velas_máscara!$A$8:$A$52,0),MATCH(Velas!D$7,Velas_máscara!$C$7:$V$7,0))*qtdsemana,"")</f>
        <v>0</v>
      </c>
      <c r="E42" s="92">
        <f>IFERROR(INDEX(Velas_máscara!$C$8:$V$52,MATCH(Velas!$A42,Velas_máscara!$A$8:$A$52,0),MATCH(Velas!E$7,Velas_máscara!$C$7:$V$7,0))*qtdsemana,"")</f>
        <v>0</v>
      </c>
      <c r="F42" s="92">
        <f>IFERROR(INDEX(Velas_máscara!$C$8:$V$52,MATCH(Velas!$A42,Velas_máscara!$A$8:$A$52,0),MATCH(Velas!F$7,Velas_máscara!$C$7:$V$7,0))*qtdsemana,"")</f>
        <v>4</v>
      </c>
      <c r="G42" s="92">
        <f>IFERROR(INDEX(Velas_máscara!$C$8:$V$52,MATCH(Velas!$A42,Velas_máscara!$A$8:$A$52,0),MATCH(Velas!G$7,Velas_máscara!$C$7:$V$7,0))*qtdsemana,"")</f>
        <v>0</v>
      </c>
      <c r="H42" s="92">
        <f>IFERROR(INDEX(Velas_máscara!$C$8:$V$52,MATCH(Velas!$A42,Velas_máscara!$A$8:$A$52,0),MATCH(Velas!H$7,Velas_máscara!$C$7:$V$7,0))*qtdsemana,"")</f>
        <v>0</v>
      </c>
      <c r="I42" s="92">
        <f>IFERROR(INDEX(Velas_máscara!$C$8:$V$52,MATCH(Velas!$A42,Velas_máscara!$A$8:$A$52,0),MATCH(Velas!I$7,Velas_máscara!$C$7:$V$7,0))*qtdsemana,"")</f>
        <v>0</v>
      </c>
      <c r="J42" s="92">
        <f>IFERROR(INDEX(Velas_máscara!$C$8:$V$52,MATCH(Velas!$A42,Velas_máscara!$A$8:$A$52,0),MATCH(Velas!J$7,Velas_máscara!$C$7:$V$7,0))*qtdsemana,"")</f>
        <v>4</v>
      </c>
      <c r="K42" s="92">
        <f>IFERROR(INDEX(Velas_máscara!$C$8:$V$52,MATCH(Velas!$A42,Velas_máscara!$A$8:$A$52,0),MATCH(Velas!K$7,Velas_máscara!$C$7:$V$7,0))*qtdsemana,"")</f>
        <v>0</v>
      </c>
      <c r="L42" s="92">
        <f>IFERROR(INDEX(Velas_máscara!$C$8:$V$52,MATCH(Velas!$A42,Velas_máscara!$A$8:$A$52,0),MATCH(Velas!L$7,Velas_máscara!$C$7:$V$7,0))*qtdsemana,"")</f>
        <v>0</v>
      </c>
      <c r="M42" s="92">
        <f>IFERROR(INDEX(Velas_máscara!$C$8:$V$52,MATCH(Velas!$A42,Velas_máscara!$A$8:$A$52,0),MATCH(Velas!M$7,Velas_máscara!$C$7:$V$7,0))*qtdsemana,"")</f>
        <v>0</v>
      </c>
      <c r="N42" s="92">
        <f>IFERROR(INDEX(Velas_máscara!$C$8:$V$52,MATCH(Velas!$A42,Velas_máscara!$A$8:$A$52,0),MATCH(Velas!N$7,Velas_máscara!$C$7:$V$7,0))*qtdsemana,"")</f>
        <v>0</v>
      </c>
      <c r="O42" s="92">
        <f>IFERROR(INDEX(Velas_máscara!$C$8:$V$52,MATCH(Velas!$A42,Velas_máscara!$A$8:$A$52,0),MATCH(Velas!O$7,Velas_máscara!$C$7:$V$7,0))*qtdsemana,"")</f>
        <v>0</v>
      </c>
      <c r="P42" s="92">
        <f>IFERROR(INDEX(Velas_máscara!$C$8:$V$52,MATCH(Velas!$A42,Velas_máscara!$A$8:$A$52,0),MATCH(Velas!P$7,Velas_máscara!$C$7:$V$7,0))*qtdsemana,"")</f>
        <v>4</v>
      </c>
      <c r="Q42" s="92">
        <f>IFERROR(INDEX(Velas_máscara!$C$8:$V$52,MATCH(Velas!$A42,Velas_máscara!$A$8:$A$52,0),MATCH(Velas!Q$7,Velas_máscara!$C$7:$V$7,0))*qtdsemana,"")</f>
        <v>4</v>
      </c>
      <c r="R42" s="92">
        <f>IFERROR(INDEX(Velas_máscara!$C$8:$V$52,MATCH(Velas!$A42,Velas_máscara!$A$8:$A$52,0),MATCH(Velas!R$7,Velas_máscara!$C$7:$V$7,0))*qtdsemana,"")</f>
        <v>0</v>
      </c>
      <c r="S42" s="92">
        <f>IFERROR(INDEX(Velas_máscara!$C$8:$V$52,MATCH(Velas!$A42,Velas_máscara!$A$8:$A$52,0),MATCH(Velas!S$7,Velas_máscara!$C$7:$V$7,0))*qtdsemana,"")</f>
        <v>0</v>
      </c>
      <c r="T42" s="92">
        <f>IFERROR(INDEX(Velas_máscara!$C$8:$V$52,MATCH(Velas!$A42,Velas_máscara!$A$8:$A$52,0),MATCH(Velas!T$7,Velas_máscara!$C$7:$V$7,0))*qtdsemana,"")</f>
        <v>8</v>
      </c>
      <c r="U42" s="92">
        <f>IFERROR(INDEX(Velas_máscara!$C$8:$V$52,MATCH(Velas!$A42,Velas_máscara!$A$8:$A$52,0),MATCH(Velas!U$7,Velas_máscara!$C$7:$V$7,0))*qtdsemana,"")</f>
        <v>0</v>
      </c>
      <c r="V42" s="92">
        <f>IFERROR(INDEX(Velas_máscara!$C$8:$V$52,MATCH(Velas!$A42,Velas_máscara!$A$8:$A$52,0),MATCH(Velas!V$7,Velas_máscara!$C$7:$V$7,0))*qtdsemana,"")</f>
        <v>4</v>
      </c>
      <c r="W42" s="98">
        <f t="shared" si="2"/>
        <v>28</v>
      </c>
      <c r="X42" s="103">
        <f t="shared" si="3"/>
        <v>72.800000000000011</v>
      </c>
      <c r="Y42" s="159">
        <f t="shared" si="4"/>
        <v>95.199999999999989</v>
      </c>
      <c r="Z42" s="98" t="s">
        <v>179</v>
      </c>
      <c r="AA42" s="158"/>
    </row>
    <row r="43" spans="1:27" s="98" customFormat="1">
      <c r="A43" s="101" t="s">
        <v>440</v>
      </c>
      <c r="B43" s="101"/>
      <c r="C43" s="102">
        <f>IFERROR(INDEX(Velas_máscara!$C$8:$V$52,MATCH(Velas!$A43,Velas_máscara!$A$8:$A$52,0),MATCH(Velas!C$7,Velas_máscara!$C$7:$V$7,0))*qtdsemana,"")</f>
        <v>0</v>
      </c>
      <c r="D43" s="102">
        <f>IFERROR(INDEX(Velas_máscara!$C$8:$V$52,MATCH(Velas!$A43,Velas_máscara!$A$8:$A$52,0),MATCH(Velas!D$7,Velas_máscara!$C$7:$V$7,0))*qtdsemana,"")</f>
        <v>0</v>
      </c>
      <c r="E43" s="102">
        <f>IFERROR(INDEX(Velas_máscara!$C$8:$V$52,MATCH(Velas!$A43,Velas_máscara!$A$8:$A$52,0),MATCH(Velas!E$7,Velas_máscara!$C$7:$V$7,0))*qtdsemana,"")</f>
        <v>0</v>
      </c>
      <c r="F43" s="102">
        <f>IFERROR(INDEX(Velas_máscara!$C$8:$V$52,MATCH(Velas!$A43,Velas_máscara!$A$8:$A$52,0),MATCH(Velas!F$7,Velas_máscara!$C$7:$V$7,0))*qtdsemana,"")</f>
        <v>0</v>
      </c>
      <c r="G43" s="102">
        <f>IFERROR(INDEX(Velas_máscara!$C$8:$V$52,MATCH(Velas!$A43,Velas_máscara!$A$8:$A$52,0),MATCH(Velas!G$7,Velas_máscara!$C$7:$V$7,0))*qtdsemana,"")</f>
        <v>0</v>
      </c>
      <c r="H43" s="102">
        <f>IFERROR(INDEX(Velas_máscara!$C$8:$V$52,MATCH(Velas!$A43,Velas_máscara!$A$8:$A$52,0),MATCH(Velas!H$7,Velas_máscara!$C$7:$V$7,0))*qtdsemana,"")</f>
        <v>0</v>
      </c>
      <c r="I43" s="102">
        <f>IFERROR(INDEX(Velas_máscara!$C$8:$V$52,MATCH(Velas!$A43,Velas_máscara!$A$8:$A$52,0),MATCH(Velas!I$7,Velas_máscara!$C$7:$V$7,0))*qtdsemana,"")</f>
        <v>0</v>
      </c>
      <c r="J43" s="102">
        <f>IFERROR(INDEX(Velas_máscara!$C$8:$V$52,MATCH(Velas!$A43,Velas_máscara!$A$8:$A$52,0),MATCH(Velas!J$7,Velas_máscara!$C$7:$V$7,0))*qtdsemana,"")</f>
        <v>4</v>
      </c>
      <c r="K43" s="102">
        <f>IFERROR(INDEX(Velas_máscara!$C$8:$V$52,MATCH(Velas!$A43,Velas_máscara!$A$8:$A$52,0),MATCH(Velas!K$7,Velas_máscara!$C$7:$V$7,0))*qtdsemana,"")</f>
        <v>0</v>
      </c>
      <c r="L43" s="102">
        <f>IFERROR(INDEX(Velas_máscara!$C$8:$V$52,MATCH(Velas!$A43,Velas_máscara!$A$8:$A$52,0),MATCH(Velas!L$7,Velas_máscara!$C$7:$V$7,0))*qtdsemana,"")</f>
        <v>0</v>
      </c>
      <c r="M43" s="102">
        <f>IFERROR(INDEX(Velas_máscara!$C$8:$V$52,MATCH(Velas!$A43,Velas_máscara!$A$8:$A$52,0),MATCH(Velas!M$7,Velas_máscara!$C$7:$V$7,0))*qtdsemana,"")</f>
        <v>0</v>
      </c>
      <c r="N43" s="102">
        <f>IFERROR(INDEX(Velas_máscara!$C$8:$V$52,MATCH(Velas!$A43,Velas_máscara!$A$8:$A$52,0),MATCH(Velas!N$7,Velas_máscara!$C$7:$V$7,0))*qtdsemana,"")</f>
        <v>0</v>
      </c>
      <c r="O43" s="102">
        <f>IFERROR(INDEX(Velas_máscara!$C$8:$V$52,MATCH(Velas!$A43,Velas_máscara!$A$8:$A$52,0),MATCH(Velas!O$7,Velas_máscara!$C$7:$V$7,0))*qtdsemana,"")</f>
        <v>0</v>
      </c>
      <c r="P43" s="102">
        <f>IFERROR(INDEX(Velas_máscara!$C$8:$V$52,MATCH(Velas!$A43,Velas_máscara!$A$8:$A$52,0),MATCH(Velas!P$7,Velas_máscara!$C$7:$V$7,0))*qtdsemana,"")</f>
        <v>8</v>
      </c>
      <c r="Q43" s="102">
        <f>IFERROR(INDEX(Velas_máscara!$C$8:$V$52,MATCH(Velas!$A43,Velas_máscara!$A$8:$A$52,0),MATCH(Velas!Q$7,Velas_máscara!$C$7:$V$7,0))*qtdsemana,"")</f>
        <v>0</v>
      </c>
      <c r="R43" s="102">
        <f>IFERROR(INDEX(Velas_máscara!$C$8:$V$52,MATCH(Velas!$A43,Velas_máscara!$A$8:$A$52,0),MATCH(Velas!R$7,Velas_máscara!$C$7:$V$7,0))*qtdsemana,"")</f>
        <v>4</v>
      </c>
      <c r="S43" s="102">
        <f>IFERROR(INDEX(Velas_máscara!$C$8:$V$52,MATCH(Velas!$A43,Velas_máscara!$A$8:$A$52,0),MATCH(Velas!S$7,Velas_máscara!$C$7:$V$7,0))*qtdsemana,"")</f>
        <v>0</v>
      </c>
      <c r="T43" s="102">
        <f>IFERROR(INDEX(Velas_máscara!$C$8:$V$52,MATCH(Velas!$A43,Velas_máscara!$A$8:$A$52,0),MATCH(Velas!T$7,Velas_máscara!$C$7:$V$7,0))*qtdsemana,"")</f>
        <v>0</v>
      </c>
      <c r="U43" s="102">
        <f>IFERROR(INDEX(Velas_máscara!$C$8:$V$52,MATCH(Velas!$A43,Velas_máscara!$A$8:$A$52,0),MATCH(Velas!U$7,Velas_máscara!$C$7:$V$7,0))*qtdsemana,"")</f>
        <v>0</v>
      </c>
      <c r="V43" s="102">
        <f>IFERROR(INDEX(Velas_máscara!$C$8:$V$52,MATCH(Velas!$A43,Velas_máscara!$A$8:$A$52,0),MATCH(Velas!V$7,Velas_máscara!$C$7:$V$7,0))*qtdsemana,"")</f>
        <v>4</v>
      </c>
      <c r="W43" s="98">
        <f t="shared" si="2"/>
        <v>20</v>
      </c>
      <c r="X43" s="103">
        <f t="shared" si="3"/>
        <v>52</v>
      </c>
      <c r="Y43" s="103">
        <f t="shared" si="4"/>
        <v>68</v>
      </c>
      <c r="Z43" s="98" t="s">
        <v>179</v>
      </c>
    </row>
    <row r="44" spans="1:27" s="98" customFormat="1">
      <c r="A44" s="101" t="s">
        <v>25</v>
      </c>
      <c r="B44" s="101"/>
      <c r="C44" s="102">
        <f>IFERROR(INDEX(Velas_máscara!$C$8:$V$52,MATCH(Velas!$A44,Velas_máscara!$A$8:$A$52,0),MATCH(Velas!C$7,Velas_máscara!$C$7:$V$7,0))*qtdsemana,"")</f>
        <v>0</v>
      </c>
      <c r="D44" s="102">
        <f>IFERROR(INDEX(Velas_máscara!$C$8:$V$52,MATCH(Velas!$A44,Velas_máscara!$A$8:$A$52,0),MATCH(Velas!D$7,Velas_máscara!$C$7:$V$7,0))*qtdsemana,"")</f>
        <v>0</v>
      </c>
      <c r="E44" s="102">
        <f>IFERROR(INDEX(Velas_máscara!$C$8:$V$52,MATCH(Velas!$A44,Velas_máscara!$A$8:$A$52,0),MATCH(Velas!E$7,Velas_máscara!$C$7:$V$7,0))*qtdsemana,"")</f>
        <v>0</v>
      </c>
      <c r="F44" s="102">
        <f>IFERROR(INDEX(Velas_máscara!$C$8:$V$52,MATCH(Velas!$A44,Velas_máscara!$A$8:$A$52,0),MATCH(Velas!F$7,Velas_máscara!$C$7:$V$7,0))*qtdsemana,"")</f>
        <v>0</v>
      </c>
      <c r="G44" s="102">
        <f>IFERROR(INDEX(Velas_máscara!$C$8:$V$52,MATCH(Velas!$A44,Velas_máscara!$A$8:$A$52,0),MATCH(Velas!G$7,Velas_máscara!$C$7:$V$7,0))*qtdsemana,"")</f>
        <v>0</v>
      </c>
      <c r="H44" s="102">
        <f>IFERROR(INDEX(Velas_máscara!$C$8:$V$52,MATCH(Velas!$A44,Velas_máscara!$A$8:$A$52,0),MATCH(Velas!H$7,Velas_máscara!$C$7:$V$7,0))*qtdsemana,"")</f>
        <v>0</v>
      </c>
      <c r="I44" s="102">
        <f>IFERROR(INDEX(Velas_máscara!$C$8:$V$52,MATCH(Velas!$A44,Velas_máscara!$A$8:$A$52,0),MATCH(Velas!I$7,Velas_máscara!$C$7:$V$7,0))*qtdsemana,"")</f>
        <v>0</v>
      </c>
      <c r="J44" s="102">
        <f>IFERROR(INDEX(Velas_máscara!$C$8:$V$52,MATCH(Velas!$A44,Velas_máscara!$A$8:$A$52,0),MATCH(Velas!J$7,Velas_máscara!$C$7:$V$7,0))*qtdsemana,"")</f>
        <v>0</v>
      </c>
      <c r="K44" s="102">
        <f>IFERROR(INDEX(Velas_máscara!$C$8:$V$52,MATCH(Velas!$A44,Velas_máscara!$A$8:$A$52,0),MATCH(Velas!K$7,Velas_máscara!$C$7:$V$7,0))*qtdsemana,"")</f>
        <v>0</v>
      </c>
      <c r="L44" s="102">
        <f>IFERROR(INDEX(Velas_máscara!$C$8:$V$52,MATCH(Velas!$A44,Velas_máscara!$A$8:$A$52,0),MATCH(Velas!L$7,Velas_máscara!$C$7:$V$7,0))*qtdsemana,"")</f>
        <v>0</v>
      </c>
      <c r="M44" s="102">
        <f>IFERROR(INDEX(Velas_máscara!$C$8:$V$52,MATCH(Velas!$A44,Velas_máscara!$A$8:$A$52,0),MATCH(Velas!M$7,Velas_máscara!$C$7:$V$7,0))*qtdsemana,"")</f>
        <v>0</v>
      </c>
      <c r="N44" s="102">
        <f>IFERROR(INDEX(Velas_máscara!$C$8:$V$52,MATCH(Velas!$A44,Velas_máscara!$A$8:$A$52,0),MATCH(Velas!N$7,Velas_máscara!$C$7:$V$7,0))*qtdsemana,"")</f>
        <v>0</v>
      </c>
      <c r="O44" s="102">
        <f>IFERROR(INDEX(Velas_máscara!$C$8:$V$52,MATCH(Velas!$A44,Velas_máscara!$A$8:$A$52,0),MATCH(Velas!O$7,Velas_máscara!$C$7:$V$7,0))*qtdsemana,"")</f>
        <v>0</v>
      </c>
      <c r="P44" s="102">
        <f>IFERROR(INDEX(Velas_máscara!$C$8:$V$52,MATCH(Velas!$A44,Velas_máscara!$A$8:$A$52,0),MATCH(Velas!P$7,Velas_máscara!$C$7:$V$7,0))*qtdsemana,"")</f>
        <v>0</v>
      </c>
      <c r="Q44" s="102">
        <f>IFERROR(INDEX(Velas_máscara!$C$8:$V$52,MATCH(Velas!$A44,Velas_máscara!$A$8:$A$52,0),MATCH(Velas!Q$7,Velas_máscara!$C$7:$V$7,0))*qtdsemana,"")</f>
        <v>0</v>
      </c>
      <c r="R44" s="102">
        <f>IFERROR(INDEX(Velas_máscara!$C$8:$V$52,MATCH(Velas!$A44,Velas_máscara!$A$8:$A$52,0),MATCH(Velas!R$7,Velas_máscara!$C$7:$V$7,0))*qtdsemana,"")</f>
        <v>0</v>
      </c>
      <c r="S44" s="102">
        <f>IFERROR(INDEX(Velas_máscara!$C$8:$V$52,MATCH(Velas!$A44,Velas_máscara!$A$8:$A$52,0),MATCH(Velas!S$7,Velas_máscara!$C$7:$V$7,0))*qtdsemana,"")</f>
        <v>0</v>
      </c>
      <c r="T44" s="102">
        <f>IFERROR(INDEX(Velas_máscara!$C$8:$V$52,MATCH(Velas!$A44,Velas_máscara!$A$8:$A$52,0),MATCH(Velas!T$7,Velas_máscara!$C$7:$V$7,0))*qtdsemana,"")</f>
        <v>0</v>
      </c>
      <c r="U44" s="102">
        <f>IFERROR(INDEX(Velas_máscara!$C$8:$V$52,MATCH(Velas!$A44,Velas_máscara!$A$8:$A$52,0),MATCH(Velas!U$7,Velas_máscara!$C$7:$V$7,0))*qtdsemana,"")</f>
        <v>0</v>
      </c>
      <c r="V44" s="102">
        <f>IFERROR(INDEX(Velas_máscara!$C$8:$V$52,MATCH(Velas!$A44,Velas_máscara!$A$8:$A$52,0),MATCH(Velas!V$7,Velas_máscara!$C$7:$V$7,0))*qtdsemana,"")</f>
        <v>0</v>
      </c>
      <c r="X44" s="103">
        <f t="shared" si="3"/>
        <v>0</v>
      </c>
      <c r="Y44" s="103">
        <f t="shared" si="4"/>
        <v>0</v>
      </c>
    </row>
    <row r="45" spans="1:27" s="98" customFormat="1">
      <c r="A45" s="101" t="s">
        <v>129</v>
      </c>
      <c r="B45" s="101"/>
      <c r="C45" s="102">
        <f>IFERROR(INDEX(Velas_máscara!$C$8:$V$52,MATCH(Velas!$A45,Velas_máscara!$A$8:$A$52,0),MATCH(Velas!C$7,Velas_máscara!$C$7:$V$7,0))*qtdsemana,"")</f>
        <v>0</v>
      </c>
      <c r="D45" s="102">
        <f>IFERROR(INDEX(Velas_máscara!$C$8:$V$52,MATCH(Velas!$A45,Velas_máscara!$A$8:$A$52,0),MATCH(Velas!D$7,Velas_máscara!$C$7:$V$7,0))*qtdsemana,"")</f>
        <v>0</v>
      </c>
      <c r="E45" s="102">
        <f>IFERROR(INDEX(Velas_máscara!$C$8:$V$52,MATCH(Velas!$A45,Velas_máscara!$A$8:$A$52,0),MATCH(Velas!E$7,Velas_máscara!$C$7:$V$7,0))*qtdsemana,"")</f>
        <v>0</v>
      </c>
      <c r="F45" s="102">
        <f>IFERROR(INDEX(Velas_máscara!$C$8:$V$52,MATCH(Velas!$A45,Velas_máscara!$A$8:$A$52,0),MATCH(Velas!F$7,Velas_máscara!$C$7:$V$7,0))*qtdsemana,"")</f>
        <v>0</v>
      </c>
      <c r="G45" s="102">
        <f>IFERROR(INDEX(Velas_máscara!$C$8:$V$52,MATCH(Velas!$A45,Velas_máscara!$A$8:$A$52,0),MATCH(Velas!G$7,Velas_máscara!$C$7:$V$7,0))*qtdsemana,"")</f>
        <v>0</v>
      </c>
      <c r="H45" s="102">
        <f>IFERROR(INDEX(Velas_máscara!$C$8:$V$52,MATCH(Velas!$A45,Velas_máscara!$A$8:$A$52,0),MATCH(Velas!H$7,Velas_máscara!$C$7:$V$7,0))*qtdsemana,"")</f>
        <v>0</v>
      </c>
      <c r="I45" s="102">
        <f>IFERROR(INDEX(Velas_máscara!$C$8:$V$52,MATCH(Velas!$A45,Velas_máscara!$A$8:$A$52,0),MATCH(Velas!I$7,Velas_máscara!$C$7:$V$7,0))*qtdsemana,"")</f>
        <v>0</v>
      </c>
      <c r="J45" s="102">
        <f>IFERROR(INDEX(Velas_máscara!$C$8:$V$52,MATCH(Velas!$A45,Velas_máscara!$A$8:$A$52,0),MATCH(Velas!J$7,Velas_máscara!$C$7:$V$7,0))*qtdsemana,"")</f>
        <v>4</v>
      </c>
      <c r="K45" s="102">
        <f>IFERROR(INDEX(Velas_máscara!$C$8:$V$52,MATCH(Velas!$A45,Velas_máscara!$A$8:$A$52,0),MATCH(Velas!K$7,Velas_máscara!$C$7:$V$7,0))*qtdsemana,"")</f>
        <v>0</v>
      </c>
      <c r="L45" s="102">
        <f>IFERROR(INDEX(Velas_máscara!$C$8:$V$52,MATCH(Velas!$A45,Velas_máscara!$A$8:$A$52,0),MATCH(Velas!L$7,Velas_máscara!$C$7:$V$7,0))*qtdsemana,"")</f>
        <v>0</v>
      </c>
      <c r="M45" s="102">
        <f>IFERROR(INDEX(Velas_máscara!$C$8:$V$52,MATCH(Velas!$A45,Velas_máscara!$A$8:$A$52,0),MATCH(Velas!M$7,Velas_máscara!$C$7:$V$7,0))*qtdsemana,"")</f>
        <v>0</v>
      </c>
      <c r="N45" s="102">
        <f>IFERROR(INDEX(Velas_máscara!$C$8:$V$52,MATCH(Velas!$A45,Velas_máscara!$A$8:$A$52,0),MATCH(Velas!N$7,Velas_máscara!$C$7:$V$7,0))*qtdsemana,"")</f>
        <v>0</v>
      </c>
      <c r="O45" s="102">
        <f>IFERROR(INDEX(Velas_máscara!$C$8:$V$52,MATCH(Velas!$A45,Velas_máscara!$A$8:$A$52,0),MATCH(Velas!O$7,Velas_máscara!$C$7:$V$7,0))*qtdsemana,"")</f>
        <v>0</v>
      </c>
      <c r="P45" s="102">
        <f>IFERROR(INDEX(Velas_máscara!$C$8:$V$52,MATCH(Velas!$A45,Velas_máscara!$A$8:$A$52,0),MATCH(Velas!P$7,Velas_máscara!$C$7:$V$7,0))*qtdsemana,"")</f>
        <v>4</v>
      </c>
      <c r="Q45" s="102">
        <f>IFERROR(INDEX(Velas_máscara!$C$8:$V$52,MATCH(Velas!$A45,Velas_máscara!$A$8:$A$52,0),MATCH(Velas!Q$7,Velas_máscara!$C$7:$V$7,0))*qtdsemana,"")</f>
        <v>0</v>
      </c>
      <c r="R45" s="102">
        <f>IFERROR(INDEX(Velas_máscara!$C$8:$V$52,MATCH(Velas!$A45,Velas_máscara!$A$8:$A$52,0),MATCH(Velas!R$7,Velas_máscara!$C$7:$V$7,0))*qtdsemana,"")</f>
        <v>4</v>
      </c>
      <c r="S45" s="102">
        <f>IFERROR(INDEX(Velas_máscara!$C$8:$V$52,MATCH(Velas!$A45,Velas_máscara!$A$8:$A$52,0),MATCH(Velas!S$7,Velas_máscara!$C$7:$V$7,0))*qtdsemana,"")</f>
        <v>0</v>
      </c>
      <c r="T45" s="102">
        <f>IFERROR(INDEX(Velas_máscara!$C$8:$V$52,MATCH(Velas!$A45,Velas_máscara!$A$8:$A$52,0),MATCH(Velas!T$7,Velas_máscara!$C$7:$V$7,0))*qtdsemana,"")</f>
        <v>0</v>
      </c>
      <c r="U45" s="102">
        <f>IFERROR(INDEX(Velas_máscara!$C$8:$V$52,MATCH(Velas!$A45,Velas_máscara!$A$8:$A$52,0),MATCH(Velas!U$7,Velas_máscara!$C$7:$V$7,0))*qtdsemana,"")</f>
        <v>0</v>
      </c>
      <c r="V45" s="102">
        <f>IFERROR(INDEX(Velas_máscara!$C$8:$V$52,MATCH(Velas!$A45,Velas_máscara!$A$8:$A$52,0),MATCH(Velas!V$7,Velas_máscara!$C$7:$V$7,0))*qtdsemana,"")</f>
        <v>4</v>
      </c>
      <c r="W45" s="98">
        <f>SUBTOTAL(9,W8:W43)</f>
        <v>0</v>
      </c>
      <c r="X45" s="103">
        <f t="shared" si="3"/>
        <v>41.6</v>
      </c>
      <c r="Y45" s="103">
        <f t="shared" si="4"/>
        <v>54.4</v>
      </c>
    </row>
    <row r="46" spans="1:27" s="98" customFormat="1">
      <c r="A46" s="101" t="s">
        <v>121</v>
      </c>
      <c r="B46" s="101"/>
      <c r="C46" s="92">
        <f>IFERROR(INDEX(Velas_máscara!$C$8:$V$52,MATCH(Velas!$A46,Velas_máscara!$A$8:$A$52,0),MATCH(Velas!C$7,Velas_máscara!$C$7:$V$7,0))*qtdsemana,"")</f>
        <v>0</v>
      </c>
      <c r="D46" s="92">
        <f>IFERROR(INDEX(Velas_máscara!$C$8:$V$52,MATCH(Velas!$A46,Velas_máscara!$A$8:$A$52,0),MATCH(Velas!D$7,Velas_máscara!$C$7:$V$7,0))*qtdsemana,"")</f>
        <v>0</v>
      </c>
      <c r="E46" s="92">
        <f>IFERROR(INDEX(Velas_máscara!$C$8:$V$52,MATCH(Velas!$A46,Velas_máscara!$A$8:$A$52,0),MATCH(Velas!E$7,Velas_máscara!$C$7:$V$7,0))*qtdsemana,"")</f>
        <v>0</v>
      </c>
      <c r="F46" s="92">
        <f>IFERROR(INDEX(Velas_máscara!$C$8:$V$52,MATCH(Velas!$A46,Velas_máscara!$A$8:$A$52,0),MATCH(Velas!F$7,Velas_máscara!$C$7:$V$7,0))*qtdsemana,"")</f>
        <v>0</v>
      </c>
      <c r="G46" s="92">
        <f>IFERROR(INDEX(Velas_máscara!$C$8:$V$52,MATCH(Velas!$A46,Velas_máscara!$A$8:$A$52,0),MATCH(Velas!G$7,Velas_máscara!$C$7:$V$7,0))*qtdsemana,"")</f>
        <v>0</v>
      </c>
      <c r="H46" s="92">
        <f>IFERROR(INDEX(Velas_máscara!$C$8:$V$52,MATCH(Velas!$A46,Velas_máscara!$A$8:$A$52,0),MATCH(Velas!H$7,Velas_máscara!$C$7:$V$7,0))*qtdsemana,"")</f>
        <v>0</v>
      </c>
      <c r="I46" s="92">
        <f>IFERROR(INDEX(Velas_máscara!$C$8:$V$52,MATCH(Velas!$A46,Velas_máscara!$A$8:$A$52,0),MATCH(Velas!I$7,Velas_máscara!$C$7:$V$7,0))*qtdsemana,"")</f>
        <v>0</v>
      </c>
      <c r="J46" s="92">
        <f>IFERROR(INDEX(Velas_máscara!$C$8:$V$52,MATCH(Velas!$A46,Velas_máscara!$A$8:$A$52,0),MATCH(Velas!J$7,Velas_máscara!$C$7:$V$7,0))*qtdsemana,"")</f>
        <v>16</v>
      </c>
      <c r="K46" s="92">
        <f>IFERROR(INDEX(Velas_máscara!$C$8:$V$52,MATCH(Velas!$A46,Velas_máscara!$A$8:$A$52,0),MATCH(Velas!K$7,Velas_máscara!$C$7:$V$7,0))*qtdsemana,"")</f>
        <v>0</v>
      </c>
      <c r="L46" s="92">
        <f>IFERROR(INDEX(Velas_máscara!$C$8:$V$52,MATCH(Velas!$A46,Velas_máscara!$A$8:$A$52,0),MATCH(Velas!L$7,Velas_máscara!$C$7:$V$7,0))*qtdsemana,"")</f>
        <v>0</v>
      </c>
      <c r="M46" s="92">
        <f>IFERROR(INDEX(Velas_máscara!$C$8:$V$52,MATCH(Velas!$A46,Velas_máscara!$A$8:$A$52,0),MATCH(Velas!M$7,Velas_máscara!$C$7:$V$7,0))*qtdsemana,"")</f>
        <v>0</v>
      </c>
      <c r="N46" s="92">
        <f>IFERROR(INDEX(Velas_máscara!$C$8:$V$52,MATCH(Velas!$A46,Velas_máscara!$A$8:$A$52,0),MATCH(Velas!N$7,Velas_máscara!$C$7:$V$7,0))*qtdsemana,"")</f>
        <v>0</v>
      </c>
      <c r="O46" s="92">
        <f>IFERROR(INDEX(Velas_máscara!$C$8:$V$52,MATCH(Velas!$A46,Velas_máscara!$A$8:$A$52,0),MATCH(Velas!O$7,Velas_máscara!$C$7:$V$7,0))*qtdsemana,"")</f>
        <v>0</v>
      </c>
      <c r="P46" s="92">
        <f>IFERROR(INDEX(Velas_máscara!$C$8:$V$52,MATCH(Velas!$A46,Velas_máscara!$A$8:$A$52,0),MATCH(Velas!P$7,Velas_máscara!$C$7:$V$7,0))*qtdsemana,"")</f>
        <v>0</v>
      </c>
      <c r="Q46" s="92">
        <f>IFERROR(INDEX(Velas_máscara!$C$8:$V$52,MATCH(Velas!$A46,Velas_máscara!$A$8:$A$52,0),MATCH(Velas!Q$7,Velas_máscara!$C$7:$V$7,0))*qtdsemana,"")</f>
        <v>0</v>
      </c>
      <c r="R46" s="92">
        <f>IFERROR(INDEX(Velas_máscara!$C$8:$V$52,MATCH(Velas!$A46,Velas_máscara!$A$8:$A$52,0),MATCH(Velas!R$7,Velas_máscara!$C$7:$V$7,0))*qtdsemana,"")</f>
        <v>0</v>
      </c>
      <c r="S46" s="92">
        <f>IFERROR(INDEX(Velas_máscara!$C$8:$V$52,MATCH(Velas!$A46,Velas_máscara!$A$8:$A$52,0),MATCH(Velas!S$7,Velas_máscara!$C$7:$V$7,0))*qtdsemana,"")</f>
        <v>0</v>
      </c>
      <c r="T46" s="92">
        <f>IFERROR(INDEX(Velas_máscara!$C$8:$V$52,MATCH(Velas!$A46,Velas_máscara!$A$8:$A$52,0),MATCH(Velas!T$7,Velas_máscara!$C$7:$V$7,0))*qtdsemana,"")</f>
        <v>0</v>
      </c>
      <c r="U46" s="92">
        <f>IFERROR(INDEX(Velas_máscara!$C$8:$V$52,MATCH(Velas!$A46,Velas_máscara!$A$8:$A$52,0),MATCH(Velas!U$7,Velas_máscara!$C$7:$V$7,0))*qtdsemana,"")</f>
        <v>0</v>
      </c>
      <c r="V46" s="92">
        <f>IFERROR(INDEX(Velas_máscara!$C$8:$V$52,MATCH(Velas!$A46,Velas_máscara!$A$8:$A$52,0),MATCH(Velas!V$7,Velas_máscara!$C$7:$V$7,0))*qtdsemana,"")</f>
        <v>0</v>
      </c>
      <c r="W46" s="98">
        <f t="shared" ref="W46:W50" si="5">SUBTOTAL(9,C46:V46)</f>
        <v>16</v>
      </c>
      <c r="X46" s="103">
        <f t="shared" si="3"/>
        <v>41.6</v>
      </c>
      <c r="Y46" s="103">
        <f t="shared" si="4"/>
        <v>54.4</v>
      </c>
      <c r="AA46"/>
    </row>
    <row r="47" spans="1:27" s="98" customFormat="1">
      <c r="A47" s="101" t="s">
        <v>133</v>
      </c>
      <c r="B47" s="101"/>
      <c r="C47" s="92">
        <f>IFERROR(INDEX(Velas_máscara!$C$8:$V$52,MATCH(Velas!$A47,Velas_máscara!$A$8:$A$52,0),MATCH(Velas!C$7,Velas_máscara!$C$7:$V$7,0))*qtdsemana,"")</f>
        <v>0</v>
      </c>
      <c r="D47" s="92">
        <f>IFERROR(INDEX(Velas_máscara!$C$8:$V$52,MATCH(Velas!$A47,Velas_máscara!$A$8:$A$52,0),MATCH(Velas!D$7,Velas_máscara!$C$7:$V$7,0))*qtdsemana,"")</f>
        <v>0</v>
      </c>
      <c r="E47" s="92">
        <f>IFERROR(INDEX(Velas_máscara!$C$8:$V$52,MATCH(Velas!$A47,Velas_máscara!$A$8:$A$52,0),MATCH(Velas!E$7,Velas_máscara!$C$7:$V$7,0))*qtdsemana,"")</f>
        <v>0</v>
      </c>
      <c r="F47" s="92">
        <f>IFERROR(INDEX(Velas_máscara!$C$8:$V$52,MATCH(Velas!$A47,Velas_máscara!$A$8:$A$52,0),MATCH(Velas!F$7,Velas_máscara!$C$7:$V$7,0))*qtdsemana,"")</f>
        <v>0</v>
      </c>
      <c r="G47" s="92">
        <f>IFERROR(INDEX(Velas_máscara!$C$8:$V$52,MATCH(Velas!$A47,Velas_máscara!$A$8:$A$52,0),MATCH(Velas!G$7,Velas_máscara!$C$7:$V$7,0))*qtdsemana,"")</f>
        <v>0</v>
      </c>
      <c r="H47" s="92">
        <f>IFERROR(INDEX(Velas_máscara!$C$8:$V$52,MATCH(Velas!$A47,Velas_máscara!$A$8:$A$52,0),MATCH(Velas!H$7,Velas_máscara!$C$7:$V$7,0))*qtdsemana,"")</f>
        <v>0</v>
      </c>
      <c r="I47" s="92">
        <f>IFERROR(INDEX(Velas_máscara!$C$8:$V$52,MATCH(Velas!$A47,Velas_máscara!$A$8:$A$52,0),MATCH(Velas!I$7,Velas_máscara!$C$7:$V$7,0))*qtdsemana,"")</f>
        <v>4</v>
      </c>
      <c r="J47" s="92">
        <f>IFERROR(INDEX(Velas_máscara!$C$8:$V$52,MATCH(Velas!$A47,Velas_máscara!$A$8:$A$52,0),MATCH(Velas!J$7,Velas_máscara!$C$7:$V$7,0))*qtdsemana,"")</f>
        <v>8</v>
      </c>
      <c r="K47" s="92">
        <f>IFERROR(INDEX(Velas_máscara!$C$8:$V$52,MATCH(Velas!$A47,Velas_máscara!$A$8:$A$52,0),MATCH(Velas!K$7,Velas_máscara!$C$7:$V$7,0))*qtdsemana,"")</f>
        <v>0</v>
      </c>
      <c r="L47" s="92">
        <f>IFERROR(INDEX(Velas_máscara!$C$8:$V$52,MATCH(Velas!$A47,Velas_máscara!$A$8:$A$52,0),MATCH(Velas!L$7,Velas_máscara!$C$7:$V$7,0))*qtdsemana,"")</f>
        <v>0</v>
      </c>
      <c r="M47" s="92">
        <f>IFERROR(INDEX(Velas_máscara!$C$8:$V$52,MATCH(Velas!$A47,Velas_máscara!$A$8:$A$52,0),MATCH(Velas!M$7,Velas_máscara!$C$7:$V$7,0))*qtdsemana,"")</f>
        <v>0</v>
      </c>
      <c r="N47" s="92">
        <f>IFERROR(INDEX(Velas_máscara!$C$8:$V$52,MATCH(Velas!$A47,Velas_máscara!$A$8:$A$52,0),MATCH(Velas!N$7,Velas_máscara!$C$7:$V$7,0))*qtdsemana,"")</f>
        <v>0</v>
      </c>
      <c r="O47" s="92">
        <f>IFERROR(INDEX(Velas_máscara!$C$8:$V$52,MATCH(Velas!$A47,Velas_máscara!$A$8:$A$52,0),MATCH(Velas!O$7,Velas_máscara!$C$7:$V$7,0))*qtdsemana,"")</f>
        <v>0</v>
      </c>
      <c r="P47" s="92">
        <f>IFERROR(INDEX(Velas_máscara!$C$8:$V$52,MATCH(Velas!$A47,Velas_máscara!$A$8:$A$52,0),MATCH(Velas!P$7,Velas_máscara!$C$7:$V$7,0))*qtdsemana,"")</f>
        <v>0</v>
      </c>
      <c r="Q47" s="92">
        <f>IFERROR(INDEX(Velas_máscara!$C$8:$V$52,MATCH(Velas!$A47,Velas_máscara!$A$8:$A$52,0),MATCH(Velas!Q$7,Velas_máscara!$C$7:$V$7,0))*qtdsemana,"")</f>
        <v>0</v>
      </c>
      <c r="R47" s="92">
        <f>IFERROR(INDEX(Velas_máscara!$C$8:$V$52,MATCH(Velas!$A47,Velas_máscara!$A$8:$A$52,0),MATCH(Velas!R$7,Velas_máscara!$C$7:$V$7,0))*qtdsemana,"")</f>
        <v>0</v>
      </c>
      <c r="S47" s="92">
        <f>IFERROR(INDEX(Velas_máscara!$C$8:$V$52,MATCH(Velas!$A47,Velas_máscara!$A$8:$A$52,0),MATCH(Velas!S$7,Velas_máscara!$C$7:$V$7,0))*qtdsemana,"")</f>
        <v>0</v>
      </c>
      <c r="T47" s="92">
        <f>IFERROR(INDEX(Velas_máscara!$C$8:$V$52,MATCH(Velas!$A47,Velas_máscara!$A$8:$A$52,0),MATCH(Velas!T$7,Velas_máscara!$C$7:$V$7,0))*qtdsemana,"")</f>
        <v>0</v>
      </c>
      <c r="U47" s="92">
        <f>IFERROR(INDEX(Velas_máscara!$C$8:$V$52,MATCH(Velas!$A47,Velas_máscara!$A$8:$A$52,0),MATCH(Velas!U$7,Velas_máscara!$C$7:$V$7,0))*qtdsemana,"")</f>
        <v>0</v>
      </c>
      <c r="V47" s="92">
        <f>IFERROR(INDEX(Velas_máscara!$C$8:$V$52,MATCH(Velas!$A47,Velas_máscara!$A$8:$A$52,0),MATCH(Velas!V$7,Velas_máscara!$C$7:$V$7,0))*qtdsemana,"")</f>
        <v>0</v>
      </c>
      <c r="W47" s="98">
        <f t="shared" si="5"/>
        <v>12</v>
      </c>
      <c r="X47" s="103">
        <f t="shared" si="3"/>
        <v>31.200000000000003</v>
      </c>
      <c r="Y47" s="159">
        <f t="shared" si="4"/>
        <v>40.799999999999997</v>
      </c>
      <c r="Z47" s="98" t="s">
        <v>179</v>
      </c>
      <c r="AA47"/>
    </row>
    <row r="48" spans="1:27" s="98" customFormat="1">
      <c r="A48" s="101" t="s">
        <v>466</v>
      </c>
      <c r="B48" s="101"/>
      <c r="C48" s="92">
        <f>IFERROR(INDEX(Velas_máscara!$C$8:$V$52,MATCH(Velas!$A48,Velas_máscara!$A$8:$A$52,0),MATCH(Velas!C$7,Velas_máscara!$C$7:$V$7,0))*qtdsemana,"")</f>
        <v>0</v>
      </c>
      <c r="D48" s="92">
        <f>IFERROR(INDEX(Velas_máscara!$C$8:$V$52,MATCH(Velas!$A48,Velas_máscara!$A$8:$A$52,0),MATCH(Velas!D$7,Velas_máscara!$C$7:$V$7,0))*qtdsemana,"")</f>
        <v>0</v>
      </c>
      <c r="E48" s="92">
        <f>IFERROR(INDEX(Velas_máscara!$C$8:$V$52,MATCH(Velas!$A48,Velas_máscara!$A$8:$A$52,0),MATCH(Velas!E$7,Velas_máscara!$C$7:$V$7,0))*qtdsemana,"")</f>
        <v>0</v>
      </c>
      <c r="F48" s="92">
        <f>IFERROR(INDEX(Velas_máscara!$C$8:$V$52,MATCH(Velas!$A48,Velas_máscara!$A$8:$A$52,0),MATCH(Velas!F$7,Velas_máscara!$C$7:$V$7,0))*qtdsemana,"")</f>
        <v>0</v>
      </c>
      <c r="G48" s="92">
        <f>IFERROR(INDEX(Velas_máscara!$C$8:$V$52,MATCH(Velas!$A48,Velas_máscara!$A$8:$A$52,0),MATCH(Velas!G$7,Velas_máscara!$C$7:$V$7,0))*qtdsemana,"")</f>
        <v>0</v>
      </c>
      <c r="H48" s="92">
        <f>IFERROR(INDEX(Velas_máscara!$C$8:$V$52,MATCH(Velas!$A48,Velas_máscara!$A$8:$A$52,0),MATCH(Velas!H$7,Velas_máscara!$C$7:$V$7,0))*qtdsemana,"")</f>
        <v>0</v>
      </c>
      <c r="I48" s="92">
        <f>IFERROR(INDEX(Velas_máscara!$C$8:$V$52,MATCH(Velas!$A48,Velas_máscara!$A$8:$A$52,0),MATCH(Velas!I$7,Velas_máscara!$C$7:$V$7,0))*qtdsemana,"")</f>
        <v>0</v>
      </c>
      <c r="J48" s="92">
        <f>IFERROR(INDEX(Velas_máscara!$C$8:$V$52,MATCH(Velas!$A48,Velas_máscara!$A$8:$A$52,0),MATCH(Velas!J$7,Velas_máscara!$C$7:$V$7,0))*qtdsemana,"")</f>
        <v>4</v>
      </c>
      <c r="K48" s="92">
        <f>IFERROR(INDEX(Velas_máscara!$C$8:$V$52,MATCH(Velas!$A48,Velas_máscara!$A$8:$A$52,0),MATCH(Velas!K$7,Velas_máscara!$C$7:$V$7,0))*qtdsemana,"")</f>
        <v>0</v>
      </c>
      <c r="L48" s="92">
        <f>IFERROR(INDEX(Velas_máscara!$C$8:$V$52,MATCH(Velas!$A48,Velas_máscara!$A$8:$A$52,0),MATCH(Velas!L$7,Velas_máscara!$C$7:$V$7,0))*qtdsemana,"")</f>
        <v>0</v>
      </c>
      <c r="M48" s="92">
        <f>IFERROR(INDEX(Velas_máscara!$C$8:$V$52,MATCH(Velas!$A48,Velas_máscara!$A$8:$A$52,0),MATCH(Velas!M$7,Velas_máscara!$C$7:$V$7,0))*qtdsemana,"")</f>
        <v>0</v>
      </c>
      <c r="N48" s="92">
        <f>IFERROR(INDEX(Velas_máscara!$C$8:$V$52,MATCH(Velas!$A48,Velas_máscara!$A$8:$A$52,0),MATCH(Velas!N$7,Velas_máscara!$C$7:$V$7,0))*qtdsemana,"")</f>
        <v>0</v>
      </c>
      <c r="O48" s="92">
        <f>IFERROR(INDEX(Velas_máscara!$C$8:$V$52,MATCH(Velas!$A48,Velas_máscara!$A$8:$A$52,0),MATCH(Velas!O$7,Velas_máscara!$C$7:$V$7,0))*qtdsemana,"")</f>
        <v>0</v>
      </c>
      <c r="P48" s="92">
        <f>IFERROR(INDEX(Velas_máscara!$C$8:$V$52,MATCH(Velas!$A48,Velas_máscara!$A$8:$A$52,0),MATCH(Velas!P$7,Velas_máscara!$C$7:$V$7,0))*qtdsemana,"")</f>
        <v>4</v>
      </c>
      <c r="Q48" s="92">
        <f>IFERROR(INDEX(Velas_máscara!$C$8:$V$52,MATCH(Velas!$A48,Velas_máscara!$A$8:$A$52,0),MATCH(Velas!Q$7,Velas_máscara!$C$7:$V$7,0))*qtdsemana,"")</f>
        <v>0</v>
      </c>
      <c r="R48" s="92">
        <f>IFERROR(INDEX(Velas_máscara!$C$8:$V$52,MATCH(Velas!$A48,Velas_máscara!$A$8:$A$52,0),MATCH(Velas!R$7,Velas_máscara!$C$7:$V$7,0))*qtdsemana,"")</f>
        <v>4</v>
      </c>
      <c r="S48" s="92">
        <f>IFERROR(INDEX(Velas_máscara!$C$8:$V$52,MATCH(Velas!$A48,Velas_máscara!$A$8:$A$52,0),MATCH(Velas!S$7,Velas_máscara!$C$7:$V$7,0))*qtdsemana,"")</f>
        <v>0</v>
      </c>
      <c r="T48" s="92">
        <f>IFERROR(INDEX(Velas_máscara!$C$8:$V$52,MATCH(Velas!$A48,Velas_máscara!$A$8:$A$52,0),MATCH(Velas!T$7,Velas_máscara!$C$7:$V$7,0))*qtdsemana,"")</f>
        <v>0</v>
      </c>
      <c r="U48" s="92">
        <f>IFERROR(INDEX(Velas_máscara!$C$8:$V$52,MATCH(Velas!$A48,Velas_máscara!$A$8:$A$52,0),MATCH(Velas!U$7,Velas_máscara!$C$7:$V$7,0))*qtdsemana,"")</f>
        <v>0</v>
      </c>
      <c r="V48" s="92">
        <f>IFERROR(INDEX(Velas_máscara!$C$8:$V$52,MATCH(Velas!$A48,Velas_máscara!$A$8:$A$52,0),MATCH(Velas!V$7,Velas_máscara!$C$7:$V$7,0))*qtdsemana,"")</f>
        <v>4</v>
      </c>
      <c r="W48" s="98">
        <f t="shared" si="5"/>
        <v>16</v>
      </c>
      <c r="X48" s="103">
        <f t="shared" ref="X48" si="6">SUMPRODUCT(C48:V48,$C$2:$V$2)</f>
        <v>41.6</v>
      </c>
      <c r="Y48" s="103">
        <f t="shared" ref="Y48" si="7">SUMPRODUCT(C48:V48,$C$1:$V$1)</f>
        <v>54.4</v>
      </c>
      <c r="AA48"/>
    </row>
    <row r="49" spans="1:25" s="98" customFormat="1">
      <c r="A49" s="101" t="s">
        <v>174</v>
      </c>
      <c r="B49" s="101"/>
      <c r="C49" s="102">
        <f>IFERROR(INDEX(Velas_máscara!$C$8:$V$52,MATCH(Velas!$A49,Velas_máscara!$A$8:$A$52,0),MATCH(Velas!C$7,Velas_máscara!$C$7:$V$7,0))*qtdsemana,"")</f>
        <v>0</v>
      </c>
      <c r="D49" s="102">
        <f>IFERROR(INDEX(Velas_máscara!$C$8:$V$52,MATCH(Velas!$A49,Velas_máscara!$A$8:$A$52,0),MATCH(Velas!D$7,Velas_máscara!$C$7:$V$7,0))*qtdsemana,"")</f>
        <v>0</v>
      </c>
      <c r="E49" s="102">
        <f>IFERROR(INDEX(Velas_máscara!$C$8:$V$52,MATCH(Velas!$A49,Velas_máscara!$A$8:$A$52,0),MATCH(Velas!E$7,Velas_máscara!$C$7:$V$7,0))*qtdsemana,"")</f>
        <v>0</v>
      </c>
      <c r="F49" s="102">
        <f>IFERROR(INDEX(Velas_máscara!$C$8:$V$52,MATCH(Velas!$A49,Velas_máscara!$A$8:$A$52,0),MATCH(Velas!F$7,Velas_máscara!$C$7:$V$7,0))*qtdsemana,"")</f>
        <v>0</v>
      </c>
      <c r="G49" s="102">
        <f>IFERROR(INDEX(Velas_máscara!$C$8:$V$52,MATCH(Velas!$A49,Velas_máscara!$A$8:$A$52,0),MATCH(Velas!G$7,Velas_máscara!$C$7:$V$7,0))*qtdsemana,"")</f>
        <v>0</v>
      </c>
      <c r="H49" s="102">
        <f>IFERROR(INDEX(Velas_máscara!$C$8:$V$52,MATCH(Velas!$A49,Velas_máscara!$A$8:$A$52,0),MATCH(Velas!H$7,Velas_máscara!$C$7:$V$7,0))*qtdsemana,"")</f>
        <v>0</v>
      </c>
      <c r="I49" s="102">
        <f>IFERROR(INDEX(Velas_máscara!$C$8:$V$52,MATCH(Velas!$A49,Velas_máscara!$A$8:$A$52,0),MATCH(Velas!I$7,Velas_máscara!$C$7:$V$7,0))*qtdsemana,"")</f>
        <v>0</v>
      </c>
      <c r="J49" s="102">
        <f>IFERROR(INDEX(Velas_máscara!$C$8:$V$52,MATCH(Velas!$A49,Velas_máscara!$A$8:$A$52,0),MATCH(Velas!J$7,Velas_máscara!$C$7:$V$7,0))*qtdsemana,"")</f>
        <v>4</v>
      </c>
      <c r="K49" s="102">
        <f>IFERROR(INDEX(Velas_máscara!$C$8:$V$52,MATCH(Velas!$A49,Velas_máscara!$A$8:$A$52,0),MATCH(Velas!K$7,Velas_máscara!$C$7:$V$7,0))*qtdsemana,"")</f>
        <v>0</v>
      </c>
      <c r="L49" s="102">
        <f>IFERROR(INDEX(Velas_máscara!$C$8:$V$52,MATCH(Velas!$A49,Velas_máscara!$A$8:$A$52,0),MATCH(Velas!L$7,Velas_máscara!$C$7:$V$7,0))*qtdsemana,"")</f>
        <v>0</v>
      </c>
      <c r="M49" s="102">
        <f>IFERROR(INDEX(Velas_máscara!$C$8:$V$52,MATCH(Velas!$A49,Velas_máscara!$A$8:$A$52,0),MATCH(Velas!M$7,Velas_máscara!$C$7:$V$7,0))*qtdsemana,"")</f>
        <v>0</v>
      </c>
      <c r="N49" s="102">
        <f>IFERROR(INDEX(Velas_máscara!$C$8:$V$52,MATCH(Velas!$A49,Velas_máscara!$A$8:$A$52,0),MATCH(Velas!N$7,Velas_máscara!$C$7:$V$7,0))*qtdsemana,"")</f>
        <v>0</v>
      </c>
      <c r="O49" s="102">
        <f>IFERROR(INDEX(Velas_máscara!$C$8:$V$52,MATCH(Velas!$A49,Velas_máscara!$A$8:$A$52,0),MATCH(Velas!O$7,Velas_máscara!$C$7:$V$7,0))*qtdsemana,"")</f>
        <v>0</v>
      </c>
      <c r="P49" s="102">
        <f>IFERROR(INDEX(Velas_máscara!$C$8:$V$52,MATCH(Velas!$A49,Velas_máscara!$A$8:$A$52,0),MATCH(Velas!P$7,Velas_máscara!$C$7:$V$7,0))*qtdsemana,"")</f>
        <v>0</v>
      </c>
      <c r="Q49" s="102">
        <f>IFERROR(INDEX(Velas_máscara!$C$8:$V$52,MATCH(Velas!$A49,Velas_máscara!$A$8:$A$52,0),MATCH(Velas!Q$7,Velas_máscara!$C$7:$V$7,0))*qtdsemana,"")</f>
        <v>0</v>
      </c>
      <c r="R49" s="102">
        <f>IFERROR(INDEX(Velas_máscara!$C$8:$V$52,MATCH(Velas!$A49,Velas_máscara!$A$8:$A$52,0),MATCH(Velas!R$7,Velas_máscara!$C$7:$V$7,0))*qtdsemana,"")</f>
        <v>0</v>
      </c>
      <c r="S49" s="102">
        <f>IFERROR(INDEX(Velas_máscara!$C$8:$V$52,MATCH(Velas!$A49,Velas_máscara!$A$8:$A$52,0),MATCH(Velas!S$7,Velas_máscara!$C$7:$V$7,0))*qtdsemana,"")</f>
        <v>0</v>
      </c>
      <c r="T49" s="102">
        <f>IFERROR(INDEX(Velas_máscara!$C$8:$V$52,MATCH(Velas!$A49,Velas_máscara!$A$8:$A$52,0),MATCH(Velas!T$7,Velas_máscara!$C$7:$V$7,0))*qtdsemana,"")</f>
        <v>0</v>
      </c>
      <c r="U49" s="102">
        <f>IFERROR(INDEX(Velas_máscara!$C$8:$V$52,MATCH(Velas!$A49,Velas_máscara!$A$8:$A$52,0),MATCH(Velas!U$7,Velas_máscara!$C$7:$V$7,0))*qtdsemana,"")</f>
        <v>0</v>
      </c>
      <c r="V49" s="102">
        <f>IFERROR(INDEX(Velas_máscara!$C$8:$V$52,MATCH(Velas!$A49,Velas_máscara!$A$8:$A$52,0),MATCH(Velas!V$7,Velas_máscara!$C$7:$V$7,0))*qtdsemana,"")</f>
        <v>0</v>
      </c>
      <c r="W49" s="98">
        <f t="shared" si="5"/>
        <v>4</v>
      </c>
      <c r="X49" s="103">
        <f t="shared" si="3"/>
        <v>10.4</v>
      </c>
      <c r="Y49" s="103">
        <f t="shared" si="4"/>
        <v>13.6</v>
      </c>
    </row>
    <row r="50" spans="1:25" s="98" customFormat="1">
      <c r="A50" s="101" t="s">
        <v>126</v>
      </c>
      <c r="B50" s="101"/>
      <c r="C50" s="102">
        <f>IFERROR(INDEX(Velas_máscara!$C$8:$V$52,MATCH(Velas!$A50,Velas_máscara!$A$8:$A$52,0),MATCH(Velas!C$7,Velas_máscara!$C$7:$V$7,0))*qtdsemana,"")</f>
        <v>0</v>
      </c>
      <c r="D50" s="102">
        <f>IFERROR(INDEX(Velas_máscara!$C$8:$V$52,MATCH(Velas!$A50,Velas_máscara!$A$8:$A$52,0),MATCH(Velas!D$7,Velas_máscara!$C$7:$V$7,0))*qtdsemana,"")</f>
        <v>0</v>
      </c>
      <c r="E50" s="102">
        <f>IFERROR(INDEX(Velas_máscara!$C$8:$V$52,MATCH(Velas!$A50,Velas_máscara!$A$8:$A$52,0),MATCH(Velas!E$7,Velas_máscara!$C$7:$V$7,0))*qtdsemana,"")</f>
        <v>0</v>
      </c>
      <c r="F50" s="102">
        <f>IFERROR(INDEX(Velas_máscara!$C$8:$V$52,MATCH(Velas!$A50,Velas_máscara!$A$8:$A$52,0),MATCH(Velas!F$7,Velas_máscara!$C$7:$V$7,0))*qtdsemana,"")</f>
        <v>0</v>
      </c>
      <c r="G50" s="102">
        <f>IFERROR(INDEX(Velas_máscara!$C$8:$V$52,MATCH(Velas!$A50,Velas_máscara!$A$8:$A$52,0),MATCH(Velas!G$7,Velas_máscara!$C$7:$V$7,0))*qtdsemana,"")</f>
        <v>0</v>
      </c>
      <c r="H50" s="102">
        <f>IFERROR(INDEX(Velas_máscara!$C$8:$V$52,MATCH(Velas!$A50,Velas_máscara!$A$8:$A$52,0),MATCH(Velas!H$7,Velas_máscara!$C$7:$V$7,0))*qtdsemana,"")</f>
        <v>0</v>
      </c>
      <c r="I50" s="102">
        <f>IFERROR(INDEX(Velas_máscara!$C$8:$V$52,MATCH(Velas!$A50,Velas_máscara!$A$8:$A$52,0),MATCH(Velas!I$7,Velas_máscara!$C$7:$V$7,0))*qtdsemana,"")</f>
        <v>0</v>
      </c>
      <c r="J50" s="102">
        <f>IFERROR(INDEX(Velas_máscara!$C$8:$V$52,MATCH(Velas!$A50,Velas_máscara!$A$8:$A$52,0),MATCH(Velas!J$7,Velas_máscara!$C$7:$V$7,0))*qtdsemana,"")</f>
        <v>0</v>
      </c>
      <c r="K50" s="102">
        <f>IFERROR(INDEX(Velas_máscara!$C$8:$V$52,MATCH(Velas!$A50,Velas_máscara!$A$8:$A$52,0),MATCH(Velas!K$7,Velas_máscara!$C$7:$V$7,0))*qtdsemana,"")</f>
        <v>0</v>
      </c>
      <c r="L50" s="102">
        <f>IFERROR(INDEX(Velas_máscara!$C$8:$V$52,MATCH(Velas!$A50,Velas_máscara!$A$8:$A$52,0),MATCH(Velas!L$7,Velas_máscara!$C$7:$V$7,0))*qtdsemana,"")</f>
        <v>0</v>
      </c>
      <c r="M50" s="102">
        <f>IFERROR(INDEX(Velas_máscara!$C$8:$V$52,MATCH(Velas!$A50,Velas_máscara!$A$8:$A$52,0),MATCH(Velas!M$7,Velas_máscara!$C$7:$V$7,0))*qtdsemana,"")</f>
        <v>0</v>
      </c>
      <c r="N50" s="102">
        <f>IFERROR(INDEX(Velas_máscara!$C$8:$V$52,MATCH(Velas!$A50,Velas_máscara!$A$8:$A$52,0),MATCH(Velas!N$7,Velas_máscara!$C$7:$V$7,0))*qtdsemana,"")</f>
        <v>0</v>
      </c>
      <c r="O50" s="102">
        <f>IFERROR(INDEX(Velas_máscara!$C$8:$V$52,MATCH(Velas!$A50,Velas_máscara!$A$8:$A$52,0),MATCH(Velas!O$7,Velas_máscara!$C$7:$V$7,0))*qtdsemana,"")</f>
        <v>0</v>
      </c>
      <c r="P50" s="102">
        <f>IFERROR(INDEX(Velas_máscara!$C$8:$V$52,MATCH(Velas!$A50,Velas_máscara!$A$8:$A$52,0),MATCH(Velas!P$7,Velas_máscara!$C$7:$V$7,0))*qtdsemana,"")</f>
        <v>0</v>
      </c>
      <c r="Q50" s="102">
        <f>IFERROR(INDEX(Velas_máscara!$C$8:$V$52,MATCH(Velas!$A50,Velas_máscara!$A$8:$A$52,0),MATCH(Velas!Q$7,Velas_máscara!$C$7:$V$7,0))*qtdsemana,"")</f>
        <v>0</v>
      </c>
      <c r="R50" s="102">
        <f>IFERROR(INDEX(Velas_máscara!$C$8:$V$52,MATCH(Velas!$A50,Velas_máscara!$A$8:$A$52,0),MATCH(Velas!R$7,Velas_máscara!$C$7:$V$7,0))*qtdsemana,"")</f>
        <v>0</v>
      </c>
      <c r="S50" s="102">
        <f>IFERROR(INDEX(Velas_máscara!$C$8:$V$52,MATCH(Velas!$A50,Velas_máscara!$A$8:$A$52,0),MATCH(Velas!S$7,Velas_máscara!$C$7:$V$7,0))*qtdsemana,"")</f>
        <v>0</v>
      </c>
      <c r="T50" s="102">
        <f>IFERROR(INDEX(Velas_máscara!$C$8:$V$52,MATCH(Velas!$A50,Velas_máscara!$A$8:$A$52,0),MATCH(Velas!T$7,Velas_máscara!$C$7:$V$7,0))*qtdsemana,"")</f>
        <v>0</v>
      </c>
      <c r="U50" s="102">
        <f>IFERROR(INDEX(Velas_máscara!$C$8:$V$52,MATCH(Velas!$A50,Velas_máscara!$A$8:$A$52,0),MATCH(Velas!U$7,Velas_máscara!$C$7:$V$7,0))*qtdsemana,"")</f>
        <v>0</v>
      </c>
      <c r="V50" s="102">
        <f>IFERROR(INDEX(Velas_máscara!$C$8:$V$52,MATCH(Velas!$A50,Velas_máscara!$A$8:$A$52,0),MATCH(Velas!V$7,Velas_máscara!$C$7:$V$7,0))*qtdsemana,"")</f>
        <v>0</v>
      </c>
      <c r="W50" s="98">
        <f t="shared" si="5"/>
        <v>0</v>
      </c>
      <c r="X50" s="103">
        <f t="shared" si="3"/>
        <v>0</v>
      </c>
      <c r="Y50" s="103">
        <f t="shared" si="4"/>
        <v>0</v>
      </c>
    </row>
    <row r="51" spans="1:25">
      <c r="B51"/>
      <c r="X51" s="90">
        <f>SUMIF(Z:Z,"OK",X:X)</f>
        <v>698.8</v>
      </c>
      <c r="Y51" s="90">
        <f>SUMIF(Z:Z,"OK",Y:Y)</f>
        <v>904.39999999999986</v>
      </c>
    </row>
    <row r="52" spans="1:25">
      <c r="G52" s="104"/>
      <c r="H52" s="104"/>
    </row>
    <row r="53" spans="1:25">
      <c r="Y53" s="122">
        <f>Y51-somacusto</f>
        <v>205.59999999999991</v>
      </c>
    </row>
    <row r="57" spans="1:25" ht="15">
      <c r="A57" s="86" t="s">
        <v>180</v>
      </c>
      <c r="C57" s="105">
        <v>43647</v>
      </c>
      <c r="D57" s="105">
        <v>43677</v>
      </c>
    </row>
    <row r="58" spans="1:25" ht="15">
      <c r="A58" s="86" t="s">
        <v>181</v>
      </c>
      <c r="C58" s="106">
        <f>ROUNDDOWN(D58,0)</f>
        <v>4</v>
      </c>
      <c r="D58" s="107">
        <f>INT(WEEKDAY(C57-1)-C57+D57)/7</f>
        <v>4.4285714285714288</v>
      </c>
    </row>
  </sheetData>
  <autoFilter ref="A7:Z50"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I4:L22"/>
  <sheetViews>
    <sheetView showGridLines="0" topLeftCell="B1" workbookViewId="0">
      <selection activeCell="K23" sqref="K23"/>
    </sheetView>
  </sheetViews>
  <sheetFormatPr defaultRowHeight="14.25"/>
  <cols>
    <col min="8" max="8" width="8.625" customWidth="1"/>
    <col min="9" max="9" width="8.5" hidden="1" customWidth="1"/>
    <col min="10" max="10" width="25.875" customWidth="1"/>
    <col min="11" max="11" width="10" bestFit="1" customWidth="1"/>
  </cols>
  <sheetData>
    <row r="4" spans="9:12">
      <c r="I4" s="146"/>
      <c r="J4" s="146"/>
      <c r="K4" s="146"/>
      <c r="L4" s="146"/>
    </row>
    <row r="8" spans="9:12" ht="15">
      <c r="I8" s="89"/>
      <c r="J8" s="147" t="s">
        <v>139</v>
      </c>
      <c r="K8" s="147"/>
    </row>
    <row r="10" spans="9:12" ht="15.75">
      <c r="J10" s="108" t="s">
        <v>182</v>
      </c>
      <c r="K10" s="108" t="s">
        <v>183</v>
      </c>
    </row>
    <row r="11" spans="9:12">
      <c r="J11" t="s">
        <v>149</v>
      </c>
      <c r="K11">
        <v>4</v>
      </c>
    </row>
    <row r="12" spans="9:12">
      <c r="J12" t="s">
        <v>150</v>
      </c>
      <c r="K12">
        <v>4</v>
      </c>
    </row>
    <row r="13" spans="9:12">
      <c r="J13" t="s">
        <v>151</v>
      </c>
      <c r="K13">
        <v>4</v>
      </c>
    </row>
    <row r="14" spans="9:12">
      <c r="J14" t="s">
        <v>152</v>
      </c>
      <c r="K14">
        <v>4</v>
      </c>
    </row>
    <row r="15" spans="9:12">
      <c r="J15" t="s">
        <v>154</v>
      </c>
      <c r="K15">
        <v>4</v>
      </c>
    </row>
    <row r="16" spans="9:12">
      <c r="J16" t="s">
        <v>156</v>
      </c>
      <c r="K16">
        <v>12</v>
      </c>
      <c r="L16" s="85"/>
    </row>
    <row r="17" spans="10:11">
      <c r="J17" t="s">
        <v>157</v>
      </c>
      <c r="K17">
        <v>4</v>
      </c>
    </row>
    <row r="18" spans="10:11">
      <c r="J18" t="s">
        <v>158</v>
      </c>
      <c r="K18">
        <v>4</v>
      </c>
    </row>
    <row r="19" spans="10:11">
      <c r="J19" t="s">
        <v>160</v>
      </c>
      <c r="K19">
        <v>4</v>
      </c>
    </row>
    <row r="20" spans="10:11">
      <c r="J20" t="s">
        <v>161</v>
      </c>
      <c r="K20">
        <v>4</v>
      </c>
    </row>
    <row r="21" spans="10:11">
      <c r="J21" t="s">
        <v>166</v>
      </c>
      <c r="K21">
        <v>4</v>
      </c>
    </row>
    <row r="22" spans="10:11">
      <c r="J22" t="s">
        <v>167</v>
      </c>
      <c r="K22">
        <v>4</v>
      </c>
    </row>
  </sheetData>
  <mergeCells count="2">
    <mergeCell ref="I4:L4"/>
    <mergeCell ref="J8:K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Data_base!$B:$B</xm:f>
          </x14:formula1>
          <xm:sqref>J8:K8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D7:N20"/>
  <sheetViews>
    <sheetView showGridLines="0" topLeftCell="A5" workbookViewId="0">
      <selection activeCell="F7" sqref="F7:I8"/>
    </sheetView>
  </sheetViews>
  <sheetFormatPr defaultRowHeight="14.25"/>
  <cols>
    <col min="4" max="4" width="11.625" bestFit="1" customWidth="1"/>
    <col min="5" max="5" width="11.625" customWidth="1"/>
    <col min="6" max="6" width="17.25" bestFit="1" customWidth="1"/>
    <col min="8" max="8" width="10" bestFit="1" customWidth="1"/>
    <col min="9" max="9" width="10.25" bestFit="1" customWidth="1"/>
  </cols>
  <sheetData>
    <row r="7" spans="4:14">
      <c r="D7" t="str">
        <f t="array" ref="D7">IF(ROWS($1:2)&gt;COUNTIF(Velas!$A$8:$A$102,$D$4),"",INDEX(Relatório_velas!#REF!,SMALL(IF(Velas!$A$8:$A$102=$D$4,ROW(Velas!$A$8:$A$102)-ROW($D$4)+1,FALSE),ROWS($1:2))))</f>
        <v/>
      </c>
      <c r="F7" s="148" t="s">
        <v>19</v>
      </c>
      <c r="G7" s="148"/>
      <c r="H7" s="148"/>
      <c r="I7" s="148"/>
    </row>
    <row r="8" spans="4:14">
      <c r="D8" t="str">
        <f t="array" ref="D8">IF(ROWS($1:3)&gt;COUNTIF(Velas!$A$8:$A$102,$D$4),"",INDEX(Relatório_velas!#REF!,SMALL(IF(Velas!$A$8:$A$102=$D$4,ROW(Velas!$A$8:$A$102)-ROW($D$4)+1,FALSE),ROWS($1:3))))</f>
        <v/>
      </c>
      <c r="F8" s="148"/>
      <c r="G8" s="148"/>
      <c r="H8" s="148"/>
      <c r="I8" s="148"/>
    </row>
    <row r="9" spans="4:14">
      <c r="D9" t="str">
        <f t="array" ref="D9">IF(ROWS($1:4)&gt;COUNTIF(Velas!$A$8:$A$102,$D$4),"",INDEX(Relatório_velas!#REF!,SMALL(IF(Velas!$A$8:$A$102=$D$4,ROW(Velas!$A$8:$A$102)-ROW($D$4)+1,FALSE),ROWS($1:4))))</f>
        <v/>
      </c>
    </row>
    <row r="10" spans="4:14">
      <c r="D10" t="str">
        <f t="array" ref="D10">IF(ROWS($1:5)&gt;COUNTIF(Velas!$A$8:$A$102,$D$4),"",INDEX(Relatório_velas!#REF!,SMALL(IF(Velas!$A$8:$A$102=$D$4,ROW(Velas!$A$8:$A$102)-ROW($D$4)+1,FALSE),ROWS($1:5))))</f>
        <v/>
      </c>
    </row>
    <row r="11" spans="4:14" ht="15">
      <c r="D11" t="str">
        <f t="array" ref="D11">IF(ROWS($1:6)&gt;COUNTIF(Velas!$A$8:$A$102,$D$4),"",INDEX(Relatório_velas!#REF!,SMALL(IF(Velas!$A$8:$A$102=$D$4,ROW(Velas!$A$8:$A$102)-ROW($D$4)+1,FALSE),ROWS($1:6))))</f>
        <v/>
      </c>
      <c r="F11" s="89" t="s">
        <v>184</v>
      </c>
      <c r="G11" s="89"/>
      <c r="H11" s="89" t="s">
        <v>135</v>
      </c>
      <c r="I11" s="89"/>
    </row>
    <row r="12" spans="4:14">
      <c r="D12" t="str">
        <f t="array" ref="D12">IF(ROWS($1:7)&gt;COUNTIF(Velas!$A$8:$A$102,$D$4),"",INDEX(Relatório_velas!#REF!,SMALL(IF(Velas!$A$8:$A$102=$D$4,ROW(Velas!$A$8:$A$102)-ROW($D$4)+1,FALSE),ROWS($1:7))))</f>
        <v/>
      </c>
      <c r="F12" s="109">
        <f>INDEX(Velas!$W$8:$W$102,MATCH(Relatório_velas!F7,Velas!$A$8:$A$102,0))</f>
        <v>20</v>
      </c>
      <c r="G12" s="109"/>
      <c r="H12" s="110">
        <f>INDEX(Velas!$Y$8:$Y$102,MATCH(Relatório_velas!F7,Velas!$A$8:$A$102,0))</f>
        <v>68</v>
      </c>
      <c r="I12" s="111"/>
    </row>
    <row r="13" spans="4:14">
      <c r="D13" t="str">
        <f t="array" ref="D13">IF(ROWS($1:8)&gt;COUNTIF(Velas!$A$8:$A$102,$D$4),"",INDEX(Relatório_velas!#REF!,SMALL(IF(Velas!$A$8:$A$102=$D$4,ROW(Velas!$A$8:$A$102)-ROW($D$4)+1,FALSE),ROWS($1:8))))</f>
        <v/>
      </c>
    </row>
    <row r="14" spans="4:14">
      <c r="D14" t="str">
        <f t="array" ref="D14">IF(ROWS($1:9)&gt;COUNTIF(Velas!$A$8:$A$102,$D$4),"",INDEX(Relatório_velas!#REF!,SMALL(IF(Velas!$A$8:$A$102=$D$4,ROW(Velas!$A$8:$A$102)-ROW($D$4)+1,FALSE),ROWS($1:9))))</f>
        <v/>
      </c>
    </row>
    <row r="15" spans="4:14">
      <c r="D15" t="str">
        <f t="array" ref="D15">IF(ROWS($1:10)&gt;COUNTIF(Velas!$A$8:$A$102,$D$4),"",INDEX(Relatório_velas!#REF!,SMALL(IF(Velas!$A$8:$A$102=$D$4,ROW(Velas!$A$8:$A$102)-ROW($D$4)+1,FALSE),ROWS($1:10))))</f>
        <v/>
      </c>
    </row>
    <row r="16" spans="4:14">
      <c r="D16" t="str">
        <f t="array" ref="D16">IF(ROWS($1:11)&gt;COUNTIF(Velas!$A$8:$A$102,$D$4),"",INDEX(Relatório_velas!#REF!,SMALL(IF(Velas!$A$8:$A$102=$D$4,ROW(Velas!$A$8:$A$102)-ROW($D$4)+1,FALSE),ROWS($1:11))))</f>
        <v/>
      </c>
      <c r="N16" t="s">
        <v>77</v>
      </c>
    </row>
    <row r="17" spans="4:14">
      <c r="D17" t="str">
        <f t="array" ref="D17">IF(ROWS($1:12)&gt;COUNTIF(Velas!$A$8:$A$102,$D$4),"",INDEX(Relatório_velas!#REF!,SMALL(IF(Velas!$A$8:$A$102=$D$4,ROW(Velas!$A$8:$A$102)-ROW($D$4)+1,FALSE),ROWS($1:12))))</f>
        <v/>
      </c>
    </row>
    <row r="18" spans="4:14">
      <c r="D18" t="str">
        <f t="array" ref="D18">IF(ROWS($1:13)&gt;COUNTIF(Velas!$A$8:$A$102,$D$4),"",INDEX(Relatório_velas!#REF!,SMALL(IF(Velas!$A$8:$A$102=$D$4,ROW(Velas!$A$8:$A$102)-ROW($D$4)+1,FALSE),ROWS($1:13))))</f>
        <v/>
      </c>
    </row>
    <row r="19" spans="4:14">
      <c r="D19" t="str">
        <f t="array" ref="D19">IF(ROWS($1:14)&gt;COUNTIF(Velas!$A$8:$A$102,$D$4),"",INDEX(Relatório_velas!#REF!,SMALL(IF(Velas!$A$8:$A$102=$D$4,ROW(Velas!$A$8:$A$102)-ROW($D$4)+1,FALSE),ROWS($1:14))))</f>
        <v/>
      </c>
    </row>
    <row r="20" spans="4:14">
      <c r="D20" t="str">
        <f t="array" ref="D20">IF(ROWS($1:15)&gt;COUNTIF(Velas!$A$8:$A$102,$D$4),"",INDEX(Relatório_velas!#REF!,SMALL(IF(Velas!$A$8:$A$102=$D$4,ROW(Velas!$A$8:$A$102)-ROW($D$4)+1,FALSE),ROWS($1:15))))</f>
        <v/>
      </c>
      <c r="N20" t="s">
        <v>185</v>
      </c>
    </row>
  </sheetData>
  <mergeCells count="1">
    <mergeCell ref="F7:I8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Data_base!$B:$B</xm:f>
          </x14:formula1>
          <xm:sqref>F7:I8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 filterMode="1"/>
  <dimension ref="H5:Q109"/>
  <sheetViews>
    <sheetView showGridLines="0" topLeftCell="A73" workbookViewId="0">
      <selection activeCell="H6" sqref="H6"/>
    </sheetView>
  </sheetViews>
  <sheetFormatPr defaultRowHeight="14.25"/>
  <cols>
    <col min="3" max="7" width="0" hidden="1" customWidth="1"/>
    <col min="8" max="8" width="35.625" style="63" customWidth="1"/>
    <col min="9" max="9" width="10" style="112" bestFit="1" customWidth="1"/>
    <col min="10" max="10" width="16" style="63" bestFit="1" customWidth="1"/>
    <col min="11" max="11" width="16.125" style="113" bestFit="1" customWidth="1"/>
  </cols>
  <sheetData>
    <row r="5" spans="8:11">
      <c r="H5" s="63" t="s">
        <v>186</v>
      </c>
    </row>
    <row r="9" spans="8:11">
      <c r="H9" s="63" t="s">
        <v>134</v>
      </c>
      <c r="I9" s="112" t="s">
        <v>135</v>
      </c>
      <c r="J9" s="63" t="s">
        <v>187</v>
      </c>
      <c r="K9" s="113" t="s">
        <v>188</v>
      </c>
    </row>
    <row r="10" spans="8:11" hidden="1">
      <c r="H10" s="63" t="s">
        <v>81</v>
      </c>
      <c r="I10" s="112">
        <v>56</v>
      </c>
      <c r="J10" s="113">
        <v>43503</v>
      </c>
      <c r="K10" s="113">
        <v>43503</v>
      </c>
    </row>
    <row r="11" spans="8:11" hidden="1">
      <c r="H11" s="63" t="s">
        <v>101</v>
      </c>
      <c r="I11" s="112">
        <v>14</v>
      </c>
      <c r="J11" s="113">
        <v>43500</v>
      </c>
      <c r="K11" s="113">
        <v>43500</v>
      </c>
    </row>
    <row r="12" spans="8:11" hidden="1">
      <c r="H12" s="63" t="s">
        <v>90</v>
      </c>
      <c r="I12" s="112">
        <v>56</v>
      </c>
      <c r="J12" s="113">
        <v>43477</v>
      </c>
      <c r="K12" s="113">
        <v>43477</v>
      </c>
    </row>
    <row r="13" spans="8:11" hidden="1">
      <c r="H13" s="63" t="s">
        <v>91</v>
      </c>
      <c r="I13" s="112">
        <v>56</v>
      </c>
      <c r="J13" s="113">
        <v>43477</v>
      </c>
      <c r="K13" s="113">
        <v>43477</v>
      </c>
    </row>
    <row r="14" spans="8:11" hidden="1">
      <c r="H14" s="63" t="s">
        <v>19</v>
      </c>
      <c r="I14" s="112">
        <v>70</v>
      </c>
      <c r="J14" s="113">
        <v>43502</v>
      </c>
      <c r="K14" s="113">
        <v>43502</v>
      </c>
    </row>
    <row r="15" spans="8:11" hidden="1">
      <c r="H15" s="63" t="s">
        <v>144</v>
      </c>
      <c r="I15" s="112">
        <v>56</v>
      </c>
      <c r="J15" s="113">
        <v>43500</v>
      </c>
      <c r="K15" s="113">
        <v>43500</v>
      </c>
    </row>
    <row r="16" spans="8:11" hidden="1">
      <c r="H16" s="63" t="s">
        <v>27</v>
      </c>
      <c r="I16" s="112">
        <v>56</v>
      </c>
      <c r="J16" s="113">
        <v>43500</v>
      </c>
      <c r="K16" s="113">
        <v>43500</v>
      </c>
    </row>
    <row r="17" spans="8:12" hidden="1">
      <c r="H17" s="63" t="s">
        <v>130</v>
      </c>
      <c r="I17" s="112">
        <v>76.400000000000006</v>
      </c>
      <c r="J17" s="113">
        <v>43500</v>
      </c>
      <c r="K17" s="113">
        <v>43500</v>
      </c>
    </row>
    <row r="18" spans="8:12" hidden="1">
      <c r="H18" s="63" t="s">
        <v>21</v>
      </c>
      <c r="I18" s="112">
        <v>84</v>
      </c>
      <c r="J18" s="113">
        <v>43491</v>
      </c>
      <c r="K18" s="113">
        <v>43491</v>
      </c>
    </row>
    <row r="19" spans="8:12" hidden="1">
      <c r="H19" s="63" t="s">
        <v>78</v>
      </c>
      <c r="I19" s="112">
        <v>56</v>
      </c>
      <c r="J19" s="113">
        <v>43494</v>
      </c>
      <c r="K19" s="113">
        <v>43494</v>
      </c>
    </row>
    <row r="20" spans="8:12" hidden="1">
      <c r="H20" s="63" t="s">
        <v>110</v>
      </c>
      <c r="I20" s="112">
        <v>34.4</v>
      </c>
      <c r="J20" s="113">
        <v>43494</v>
      </c>
      <c r="K20" s="113">
        <v>43494</v>
      </c>
    </row>
    <row r="21" spans="8:12" hidden="1">
      <c r="H21" s="63" t="s">
        <v>23</v>
      </c>
      <c r="I21" s="112">
        <v>42</v>
      </c>
      <c r="J21" s="113">
        <v>43501</v>
      </c>
      <c r="K21" s="113">
        <v>43501</v>
      </c>
    </row>
    <row r="22" spans="8:12" hidden="1">
      <c r="H22" s="63" t="s">
        <v>147</v>
      </c>
      <c r="I22" s="112">
        <v>126</v>
      </c>
      <c r="J22" s="113">
        <v>43504</v>
      </c>
      <c r="K22" s="113">
        <v>43504</v>
      </c>
    </row>
    <row r="23" spans="8:12" hidden="1">
      <c r="H23" s="63" t="s">
        <v>129</v>
      </c>
      <c r="I23" s="112">
        <v>56</v>
      </c>
      <c r="J23" s="113">
        <v>43500</v>
      </c>
      <c r="K23" s="113">
        <v>43500</v>
      </c>
    </row>
    <row r="24" spans="8:12" hidden="1">
      <c r="H24" s="63" t="s">
        <v>133</v>
      </c>
      <c r="I24" s="112">
        <v>84</v>
      </c>
      <c r="J24" s="113">
        <v>43502</v>
      </c>
      <c r="K24" s="113">
        <v>43502</v>
      </c>
    </row>
    <row r="25" spans="8:12" hidden="1">
      <c r="H25" s="63" t="s">
        <v>111</v>
      </c>
      <c r="I25" s="112">
        <v>56</v>
      </c>
      <c r="J25" s="113">
        <v>43493</v>
      </c>
      <c r="K25" s="113">
        <v>43493</v>
      </c>
    </row>
    <row r="26" spans="8:12" hidden="1">
      <c r="H26" s="63" t="s">
        <v>24</v>
      </c>
      <c r="I26" s="112">
        <v>56</v>
      </c>
      <c r="J26" s="113">
        <v>43501</v>
      </c>
      <c r="K26" s="113">
        <v>43501</v>
      </c>
    </row>
    <row r="27" spans="8:12" hidden="1">
      <c r="H27" s="63" t="s">
        <v>141</v>
      </c>
      <c r="I27" s="112">
        <v>14</v>
      </c>
      <c r="J27" s="113">
        <v>43501</v>
      </c>
      <c r="K27" s="113">
        <v>43501</v>
      </c>
    </row>
    <row r="28" spans="8:12" hidden="1">
      <c r="H28" s="63" t="s">
        <v>121</v>
      </c>
      <c r="I28" s="112">
        <v>56</v>
      </c>
      <c r="J28" s="113">
        <v>43489</v>
      </c>
      <c r="K28" s="113">
        <v>43489</v>
      </c>
    </row>
    <row r="29" spans="8:12" hidden="1">
      <c r="H29" s="63" t="s">
        <v>139</v>
      </c>
      <c r="I29" s="112">
        <v>188.4</v>
      </c>
      <c r="J29" s="113">
        <v>43504</v>
      </c>
      <c r="K29" s="113">
        <v>43504</v>
      </c>
    </row>
    <row r="30" spans="8:12" hidden="1">
      <c r="H30" s="63" t="s">
        <v>125</v>
      </c>
      <c r="I30" s="112">
        <v>14</v>
      </c>
      <c r="J30" s="113">
        <v>43504</v>
      </c>
      <c r="K30" s="113">
        <v>43504</v>
      </c>
    </row>
    <row r="31" spans="8:12" hidden="1">
      <c r="H31" s="63" t="s">
        <v>24</v>
      </c>
      <c r="I31" s="112">
        <f>INDEX(Velas!$Y:$Y,MATCH(Velas_pagamento!H31,Velas!$A:$A,0))</f>
        <v>27.2</v>
      </c>
      <c r="J31" s="113">
        <v>43556</v>
      </c>
      <c r="K31" s="113">
        <v>43554</v>
      </c>
      <c r="L31" t="str">
        <f>IF(K31&gt;0,"pago","")</f>
        <v>pago</v>
      </c>
    </row>
    <row r="32" spans="8:12" hidden="1">
      <c r="H32" s="63" t="s">
        <v>145</v>
      </c>
      <c r="I32" s="112">
        <f>INDEX(Velas!$Y:$Y,MATCH(Velas_pagamento!H32,Velas!$A:$A,0))</f>
        <v>27.2</v>
      </c>
      <c r="J32" s="113">
        <v>43556</v>
      </c>
      <c r="K32" s="113">
        <v>43554</v>
      </c>
      <c r="L32" t="str">
        <f t="shared" ref="L32:L51" si="0">IF(K32&gt;0,"pago","")</f>
        <v>pago</v>
      </c>
    </row>
    <row r="33" spans="8:13" hidden="1">
      <c r="H33" s="63" t="s">
        <v>19</v>
      </c>
      <c r="I33" s="112">
        <f>INDEX(Velas!$Y:$Y,MATCH(Velas_pagamento!H33,Velas!$A:$A,0))</f>
        <v>68</v>
      </c>
      <c r="J33" s="113">
        <v>43556</v>
      </c>
      <c r="K33" s="113">
        <v>43561</v>
      </c>
      <c r="L33" t="str">
        <f t="shared" si="0"/>
        <v>pago</v>
      </c>
    </row>
    <row r="34" spans="8:13" hidden="1">
      <c r="H34" s="63" t="s">
        <v>147</v>
      </c>
      <c r="I34" s="112">
        <f>INDEX(Velas!$Y:$Y,MATCH(Velas_pagamento!H34,Velas!$A:$A,0))</f>
        <v>95.199999999999989</v>
      </c>
      <c r="J34" s="113">
        <v>43556</v>
      </c>
      <c r="L34" t="str">
        <f t="shared" si="0"/>
        <v/>
      </c>
      <c r="M34">
        <v>50</v>
      </c>
    </row>
    <row r="35" spans="8:13" hidden="1">
      <c r="H35" s="63" t="s">
        <v>121</v>
      </c>
      <c r="I35" s="112">
        <f>INDEX(Velas!$Y:$Y,MATCH(Velas_pagamento!H35,Velas!$A:$A,0))</f>
        <v>54.4</v>
      </c>
      <c r="J35" s="113">
        <v>43556</v>
      </c>
      <c r="K35" s="113">
        <v>43554</v>
      </c>
      <c r="L35" t="str">
        <f t="shared" si="0"/>
        <v>pago</v>
      </c>
      <c r="M35">
        <v>20</v>
      </c>
    </row>
    <row r="36" spans="8:13" hidden="1">
      <c r="H36" s="63" t="s">
        <v>111</v>
      </c>
      <c r="I36" s="112">
        <f>INDEX(Velas!$Y:$Y,MATCH(Velas_pagamento!H36,Velas!$A:$A,0))</f>
        <v>54.4</v>
      </c>
      <c r="J36" s="113">
        <v>43556</v>
      </c>
      <c r="K36" s="113">
        <v>43554</v>
      </c>
      <c r="L36" t="str">
        <f t="shared" si="0"/>
        <v>pago</v>
      </c>
    </row>
    <row r="37" spans="8:13" hidden="1">
      <c r="H37" s="63" t="s">
        <v>15</v>
      </c>
      <c r="I37" s="112">
        <f>INDEX(Velas!$Y:$Y,MATCH(Velas_pagamento!H37,Velas!$A:$A,0))</f>
        <v>54.4</v>
      </c>
      <c r="J37" s="113">
        <v>43556</v>
      </c>
      <c r="K37" s="113">
        <v>43545</v>
      </c>
      <c r="L37" t="str">
        <f t="shared" si="0"/>
        <v>pago</v>
      </c>
      <c r="M37">
        <f>SUM(M34-M35)</f>
        <v>30</v>
      </c>
    </row>
    <row r="38" spans="8:13" hidden="1">
      <c r="H38" s="63" t="s">
        <v>130</v>
      </c>
      <c r="I38" s="112">
        <f>INDEX(Velas!$Y:$Y,MATCH(Velas_pagamento!H38,Velas!$A:$A,0))</f>
        <v>74.8</v>
      </c>
      <c r="J38" s="113">
        <v>43556</v>
      </c>
      <c r="K38" s="113">
        <v>43554</v>
      </c>
      <c r="L38" t="str">
        <f t="shared" si="0"/>
        <v>pago</v>
      </c>
    </row>
    <row r="39" spans="8:13" hidden="1">
      <c r="H39" s="63" t="s">
        <v>78</v>
      </c>
      <c r="I39" s="112">
        <f>INDEX(Velas!$Y:$Y,MATCH(Velas_pagamento!H39,Velas!$A:$A,0))</f>
        <v>54.4</v>
      </c>
      <c r="J39" s="113">
        <v>43556</v>
      </c>
      <c r="K39" s="113">
        <v>43554</v>
      </c>
      <c r="L39" t="str">
        <f t="shared" si="0"/>
        <v>pago</v>
      </c>
    </row>
    <row r="40" spans="8:13" hidden="1">
      <c r="H40" s="63" t="s">
        <v>110</v>
      </c>
      <c r="I40" s="112">
        <f>INDEX(Velas!$Y:$Y,MATCH(Velas_pagamento!H40,Velas!$A:$A,0))</f>
        <v>34</v>
      </c>
      <c r="J40" s="113">
        <v>43556</v>
      </c>
      <c r="K40" s="113">
        <v>43554</v>
      </c>
      <c r="L40" t="str">
        <f t="shared" si="0"/>
        <v>pago</v>
      </c>
    </row>
    <row r="41" spans="8:13" hidden="1">
      <c r="H41" s="63" t="s">
        <v>138</v>
      </c>
      <c r="I41" s="112">
        <f>INDEX(Velas!$Y:$Y,MATCH(Velas_pagamento!H41,Velas!$A:$A,0))</f>
        <v>13.6</v>
      </c>
      <c r="J41" s="113">
        <v>43556</v>
      </c>
      <c r="K41" s="113">
        <v>43554</v>
      </c>
      <c r="L41" t="str">
        <f t="shared" si="0"/>
        <v>pago</v>
      </c>
    </row>
    <row r="42" spans="8:13" hidden="1">
      <c r="H42" s="63" t="s">
        <v>125</v>
      </c>
      <c r="I42" s="112">
        <f>INDEX(Velas!$Y:$Y,MATCH(Velas_pagamento!H42,Velas!$A:$A,0))</f>
        <v>13.6</v>
      </c>
      <c r="J42" s="113">
        <v>43556</v>
      </c>
      <c r="K42" s="113">
        <v>43568</v>
      </c>
      <c r="L42" t="str">
        <f t="shared" si="0"/>
        <v>pago</v>
      </c>
    </row>
    <row r="43" spans="8:13" hidden="1">
      <c r="H43" s="63" t="s">
        <v>21</v>
      </c>
      <c r="I43" s="112">
        <f>INDEX(Velas!$Y:$Y,MATCH(Velas_pagamento!H43,Velas!$A:$A,0))</f>
        <v>81.599999999999994</v>
      </c>
      <c r="J43" s="113">
        <v>43556</v>
      </c>
      <c r="K43" s="113">
        <v>43554</v>
      </c>
      <c r="L43" t="str">
        <f t="shared" si="0"/>
        <v>pago</v>
      </c>
    </row>
    <row r="44" spans="8:13" hidden="1">
      <c r="H44" s="63" t="s">
        <v>141</v>
      </c>
      <c r="I44" s="112">
        <f>INDEX(Velas!$Y:$Y,MATCH(Velas_pagamento!H44,Velas!$A:$A,0))</f>
        <v>13.6</v>
      </c>
      <c r="J44" s="113">
        <v>43556</v>
      </c>
      <c r="K44" s="113">
        <v>43554</v>
      </c>
      <c r="L44" t="str">
        <f t="shared" si="0"/>
        <v>pago</v>
      </c>
    </row>
    <row r="45" spans="8:13" hidden="1">
      <c r="H45" s="63" t="s">
        <v>23</v>
      </c>
      <c r="I45" s="112">
        <f>INDEX(Velas!$Y:$Y,MATCH(Velas_pagamento!H45,Velas!$A:$A,0))</f>
        <v>40.799999999999997</v>
      </c>
      <c r="J45" s="113">
        <v>43556</v>
      </c>
      <c r="K45" s="113">
        <v>43554</v>
      </c>
      <c r="L45" t="str">
        <f t="shared" si="0"/>
        <v>pago</v>
      </c>
    </row>
    <row r="46" spans="8:13" hidden="1">
      <c r="H46" s="63" t="s">
        <v>81</v>
      </c>
      <c r="I46" s="112">
        <f>INDEX(Velas!$Y:$Y,MATCH(Velas_pagamento!H46,Velas!$A:$A,0))</f>
        <v>54.4</v>
      </c>
      <c r="J46" s="113">
        <v>43556</v>
      </c>
      <c r="K46" s="113">
        <v>43554</v>
      </c>
      <c r="L46" t="str">
        <f t="shared" si="0"/>
        <v>pago</v>
      </c>
    </row>
    <row r="47" spans="8:13" hidden="1">
      <c r="H47" s="63" t="s">
        <v>139</v>
      </c>
      <c r="I47" s="112">
        <f>INDEX(Velas!$Y:$Y,MATCH(Velas_pagamento!H47,Velas!$A:$A,0))</f>
        <v>197.19999999999996</v>
      </c>
      <c r="J47" s="113">
        <v>43556</v>
      </c>
      <c r="K47" s="113">
        <v>43568</v>
      </c>
      <c r="L47" t="str">
        <f t="shared" si="0"/>
        <v>pago</v>
      </c>
      <c r="M47">
        <f>SUM(56-30)</f>
        <v>26</v>
      </c>
    </row>
    <row r="48" spans="8:13" hidden="1">
      <c r="H48" s="63" t="s">
        <v>133</v>
      </c>
      <c r="I48" s="112">
        <f>INDEX(Velas!$Y:$Y,MATCH(Velas_pagamento!H48,Velas!$A:$A,0))</f>
        <v>40.799999999999997</v>
      </c>
      <c r="J48" s="113">
        <v>43556</v>
      </c>
      <c r="L48" t="str">
        <f t="shared" si="0"/>
        <v/>
      </c>
    </row>
    <row r="49" spans="8:17" hidden="1">
      <c r="H49" s="63" t="s">
        <v>27</v>
      </c>
      <c r="I49" s="112">
        <v>56</v>
      </c>
      <c r="J49" s="113">
        <v>43556</v>
      </c>
      <c r="K49" s="113">
        <v>43540</v>
      </c>
      <c r="L49" t="str">
        <f t="shared" si="0"/>
        <v>pago</v>
      </c>
    </row>
    <row r="50" spans="8:17" hidden="1">
      <c r="H50" s="63" t="s">
        <v>129</v>
      </c>
      <c r="I50" s="112">
        <v>56</v>
      </c>
      <c r="J50" s="113">
        <v>43556</v>
      </c>
      <c r="K50" s="113">
        <v>43540</v>
      </c>
      <c r="L50" t="str">
        <f t="shared" si="0"/>
        <v>pago</v>
      </c>
    </row>
    <row r="51" spans="8:17" hidden="1">
      <c r="H51" s="63" t="s">
        <v>174</v>
      </c>
      <c r="I51" s="112">
        <f>INDEX(Velas!$Y:$Y,MATCH(Velas_pagamento!H51,Velas!$A:$A,0))</f>
        <v>13.6</v>
      </c>
      <c r="J51" s="113">
        <v>43556</v>
      </c>
      <c r="K51" s="113">
        <v>43540</v>
      </c>
      <c r="L51" t="str">
        <f t="shared" si="0"/>
        <v>pago</v>
      </c>
    </row>
    <row r="52" spans="8:17">
      <c r="H52" s="63" t="s">
        <v>24</v>
      </c>
      <c r="J52" s="113">
        <v>43586</v>
      </c>
      <c r="K52" s="113">
        <v>43592</v>
      </c>
    </row>
    <row r="53" spans="8:17">
      <c r="H53" s="63" t="s">
        <v>145</v>
      </c>
      <c r="J53" s="113">
        <v>43586</v>
      </c>
      <c r="K53" s="113">
        <v>43592</v>
      </c>
    </row>
    <row r="54" spans="8:17">
      <c r="H54" s="63" t="s">
        <v>19</v>
      </c>
      <c r="J54" s="113">
        <v>43586</v>
      </c>
      <c r="K54" s="113">
        <v>43585</v>
      </c>
      <c r="L54" t="s">
        <v>452</v>
      </c>
    </row>
    <row r="55" spans="8:17">
      <c r="H55" s="63" t="s">
        <v>147</v>
      </c>
      <c r="J55" s="113">
        <v>43586</v>
      </c>
      <c r="K55" s="113">
        <v>43591</v>
      </c>
      <c r="L55" t="s">
        <v>452</v>
      </c>
    </row>
    <row r="56" spans="8:17">
      <c r="H56" s="63" t="s">
        <v>121</v>
      </c>
      <c r="J56" s="113">
        <v>43586</v>
      </c>
    </row>
    <row r="57" spans="8:17">
      <c r="H57" s="63" t="s">
        <v>111</v>
      </c>
      <c r="J57" s="113">
        <v>43586</v>
      </c>
    </row>
    <row r="58" spans="8:17">
      <c r="H58" s="63" t="s">
        <v>15</v>
      </c>
      <c r="J58" s="113">
        <v>43586</v>
      </c>
    </row>
    <row r="59" spans="8:17">
      <c r="H59" s="63" t="s">
        <v>130</v>
      </c>
      <c r="J59" s="113">
        <v>43586</v>
      </c>
      <c r="K59" s="113">
        <v>43592</v>
      </c>
      <c r="L59" t="s">
        <v>452</v>
      </c>
    </row>
    <row r="60" spans="8:17">
      <c r="H60" s="63" t="s">
        <v>78</v>
      </c>
      <c r="J60" s="113">
        <v>43586</v>
      </c>
      <c r="K60" s="113">
        <v>43592</v>
      </c>
      <c r="L60" t="s">
        <v>452</v>
      </c>
    </row>
    <row r="61" spans="8:17">
      <c r="H61" s="63" t="s">
        <v>110</v>
      </c>
      <c r="J61" s="113">
        <v>43586</v>
      </c>
      <c r="K61" s="113">
        <v>43592</v>
      </c>
      <c r="L61" t="s">
        <v>452</v>
      </c>
    </row>
    <row r="62" spans="8:17">
      <c r="H62" s="63" t="s">
        <v>138</v>
      </c>
      <c r="J62" s="113">
        <v>43586</v>
      </c>
      <c r="K62" s="113">
        <v>43592</v>
      </c>
      <c r="L62" t="s">
        <v>452</v>
      </c>
    </row>
    <row r="63" spans="8:17">
      <c r="H63" s="63" t="s">
        <v>125</v>
      </c>
      <c r="J63" s="113">
        <v>43586</v>
      </c>
      <c r="K63" s="113">
        <v>43594</v>
      </c>
    </row>
    <row r="64" spans="8:17" hidden="1">
      <c r="H64" s="63" t="s">
        <v>21</v>
      </c>
      <c r="J64" s="113"/>
      <c r="M64" t="s">
        <v>458</v>
      </c>
      <c r="Q64">
        <v>84</v>
      </c>
    </row>
    <row r="65" spans="8:17" hidden="1">
      <c r="H65" s="63" t="s">
        <v>141</v>
      </c>
      <c r="M65" t="s">
        <v>458</v>
      </c>
      <c r="Q65">
        <v>14</v>
      </c>
    </row>
    <row r="66" spans="8:17">
      <c r="H66" s="63" t="s">
        <v>23</v>
      </c>
      <c r="J66" s="113">
        <v>43586</v>
      </c>
    </row>
    <row r="67" spans="8:17">
      <c r="H67" s="63" t="s">
        <v>81</v>
      </c>
      <c r="J67" s="113">
        <v>43586</v>
      </c>
      <c r="K67" s="113">
        <v>43587</v>
      </c>
      <c r="L67" t="s">
        <v>452</v>
      </c>
    </row>
    <row r="68" spans="8:17">
      <c r="H68" s="63" t="s">
        <v>139</v>
      </c>
      <c r="J68" s="113">
        <v>43586</v>
      </c>
    </row>
    <row r="69" spans="8:17">
      <c r="H69" s="63" t="s">
        <v>133</v>
      </c>
      <c r="J69" s="113">
        <v>43586</v>
      </c>
    </row>
    <row r="70" spans="8:17">
      <c r="H70" s="63" t="s">
        <v>27</v>
      </c>
      <c r="J70" s="113">
        <v>43586</v>
      </c>
      <c r="K70" s="113">
        <v>43594</v>
      </c>
    </row>
    <row r="71" spans="8:17">
      <c r="H71" s="63" t="s">
        <v>129</v>
      </c>
      <c r="J71" s="113">
        <v>43586</v>
      </c>
      <c r="K71" s="113">
        <v>43594</v>
      </c>
    </row>
    <row r="72" spans="8:17" hidden="1">
      <c r="H72" s="63" t="s">
        <v>174</v>
      </c>
    </row>
    <row r="73" spans="8:17">
      <c r="H73" s="63" t="s">
        <v>440</v>
      </c>
      <c r="J73" s="113">
        <v>43586</v>
      </c>
    </row>
    <row r="74" spans="8:17">
      <c r="H74" s="63" t="s">
        <v>24</v>
      </c>
      <c r="J74" s="113">
        <v>43617</v>
      </c>
    </row>
    <row r="75" spans="8:17">
      <c r="H75" s="63" t="s">
        <v>145</v>
      </c>
      <c r="J75" s="113">
        <v>43617</v>
      </c>
    </row>
    <row r="76" spans="8:17">
      <c r="H76" s="63" t="s">
        <v>19</v>
      </c>
      <c r="J76" s="113">
        <v>43617</v>
      </c>
    </row>
    <row r="77" spans="8:17">
      <c r="H77" s="63" t="s">
        <v>147</v>
      </c>
      <c r="J77" s="113">
        <v>43617</v>
      </c>
    </row>
    <row r="78" spans="8:17">
      <c r="H78" s="63" t="s">
        <v>121</v>
      </c>
      <c r="J78" s="113">
        <v>43617</v>
      </c>
    </row>
    <row r="79" spans="8:17">
      <c r="H79" s="63" t="s">
        <v>111</v>
      </c>
      <c r="J79" s="113">
        <v>43617</v>
      </c>
    </row>
    <row r="80" spans="8:17">
      <c r="H80" s="63" t="s">
        <v>15</v>
      </c>
      <c r="J80" s="113">
        <v>43617</v>
      </c>
    </row>
    <row r="81" spans="8:10">
      <c r="H81" s="63" t="s">
        <v>130</v>
      </c>
      <c r="J81" s="113">
        <v>43617</v>
      </c>
    </row>
    <row r="82" spans="8:10">
      <c r="H82" s="63" t="s">
        <v>78</v>
      </c>
      <c r="J82" s="113">
        <v>43617</v>
      </c>
    </row>
    <row r="83" spans="8:10">
      <c r="H83" s="63" t="s">
        <v>110</v>
      </c>
      <c r="J83" s="113">
        <v>43617</v>
      </c>
    </row>
    <row r="84" spans="8:10">
      <c r="H84" s="63" t="s">
        <v>138</v>
      </c>
      <c r="J84" s="113">
        <v>43617</v>
      </c>
    </row>
    <row r="85" spans="8:10">
      <c r="H85" s="63" t="s">
        <v>125</v>
      </c>
      <c r="J85" s="113">
        <v>43617</v>
      </c>
    </row>
    <row r="86" spans="8:10">
      <c r="H86" s="63" t="s">
        <v>23</v>
      </c>
      <c r="J86" s="113">
        <v>43617</v>
      </c>
    </row>
    <row r="87" spans="8:10">
      <c r="H87" s="63" t="s">
        <v>81</v>
      </c>
      <c r="J87" s="113">
        <v>43617</v>
      </c>
    </row>
    <row r="88" spans="8:10">
      <c r="H88" s="63" t="s">
        <v>139</v>
      </c>
      <c r="J88" s="113">
        <v>43617</v>
      </c>
    </row>
    <row r="89" spans="8:10">
      <c r="H89" s="63" t="s">
        <v>133</v>
      </c>
      <c r="J89" s="113">
        <v>43617</v>
      </c>
    </row>
    <row r="90" spans="8:10">
      <c r="H90" s="63" t="s">
        <v>27</v>
      </c>
      <c r="J90" s="113">
        <v>43617</v>
      </c>
    </row>
    <row r="91" spans="8:10">
      <c r="H91" s="63" t="s">
        <v>129</v>
      </c>
      <c r="J91" s="113">
        <v>43617</v>
      </c>
    </row>
    <row r="92" spans="8:10">
      <c r="H92" s="63" t="s">
        <v>440</v>
      </c>
      <c r="J92" s="113">
        <v>43617</v>
      </c>
    </row>
    <row r="93" spans="8:10">
      <c r="H93" s="63" t="s">
        <v>466</v>
      </c>
      <c r="J93" s="113">
        <v>43617</v>
      </c>
    </row>
    <row r="94" spans="8:10">
      <c r="H94" s="63" t="s">
        <v>143</v>
      </c>
      <c r="J94" s="113">
        <v>43617</v>
      </c>
    </row>
    <row r="95" spans="8:10">
      <c r="H95" s="63" t="s">
        <v>147</v>
      </c>
      <c r="J95" s="113">
        <v>43647</v>
      </c>
    </row>
    <row r="96" spans="8:10">
      <c r="H96" s="63" t="s">
        <v>15</v>
      </c>
      <c r="J96" s="113">
        <v>43647</v>
      </c>
    </row>
    <row r="97" spans="8:10">
      <c r="H97" s="63" t="s">
        <v>81</v>
      </c>
      <c r="J97" s="113">
        <v>43647</v>
      </c>
    </row>
    <row r="98" spans="8:10">
      <c r="H98" s="63" t="s">
        <v>90</v>
      </c>
      <c r="J98" s="113">
        <v>43647</v>
      </c>
    </row>
    <row r="99" spans="8:10">
      <c r="H99" s="63" t="s">
        <v>91</v>
      </c>
      <c r="J99" s="113">
        <v>43647</v>
      </c>
    </row>
    <row r="100" spans="8:10">
      <c r="H100" s="63" t="s">
        <v>133</v>
      </c>
      <c r="J100" s="113">
        <v>43647</v>
      </c>
    </row>
    <row r="101" spans="8:10">
      <c r="H101" s="63" t="s">
        <v>139</v>
      </c>
      <c r="J101" s="113">
        <v>43647</v>
      </c>
    </row>
    <row r="102" spans="8:10">
      <c r="H102" s="63" t="s">
        <v>78</v>
      </c>
      <c r="J102" s="113">
        <v>43647</v>
      </c>
    </row>
    <row r="103" spans="8:10">
      <c r="H103" s="63" t="s">
        <v>110</v>
      </c>
      <c r="J103" s="113">
        <v>43647</v>
      </c>
    </row>
    <row r="104" spans="8:10">
      <c r="H104" s="63" t="s">
        <v>125</v>
      </c>
      <c r="J104" s="113">
        <v>43647</v>
      </c>
    </row>
    <row r="105" spans="8:10">
      <c r="H105" s="63" t="s">
        <v>130</v>
      </c>
      <c r="J105" s="113">
        <v>43647</v>
      </c>
    </row>
    <row r="106" spans="8:10">
      <c r="H106" s="63" t="s">
        <v>24</v>
      </c>
      <c r="J106" s="113">
        <v>43647</v>
      </c>
    </row>
    <row r="107" spans="8:10">
      <c r="H107" s="63" t="s">
        <v>145</v>
      </c>
      <c r="J107" s="113">
        <v>43647</v>
      </c>
    </row>
    <row r="108" spans="8:10">
      <c r="H108" s="63" t="s">
        <v>19</v>
      </c>
      <c r="J108" s="113">
        <v>43647</v>
      </c>
    </row>
    <row r="109" spans="8:10">
      <c r="H109" s="63" t="s">
        <v>440</v>
      </c>
      <c r="J109" s="113">
        <v>43647</v>
      </c>
    </row>
  </sheetData>
  <autoFilter ref="H9:K73">
    <filterColumn colId="2">
      <filters>
        <dateGroupItem year="2019" month="5" dateTimeGrouping="month"/>
      </filters>
    </filterColumn>
  </autoFilter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5:K43"/>
  <sheetViews>
    <sheetView showGridLines="0" view="pageLayout" zoomScale="85" zoomScaleNormal="100" zoomScalePageLayoutView="85" workbookViewId="0">
      <selection activeCell="H10" sqref="H10"/>
    </sheetView>
  </sheetViews>
  <sheetFormatPr defaultColWidth="8" defaultRowHeight="14.25"/>
  <cols>
    <col min="1" max="1" width="7.625" style="114" customWidth="1"/>
    <col min="2" max="2" width="8" style="114" hidden="1" customWidth="1"/>
    <col min="3" max="3" width="8" style="114"/>
    <col min="4" max="4" width="3.5" style="114" customWidth="1"/>
    <col min="5" max="5" width="1.875" style="114" customWidth="1"/>
    <col min="6" max="6" width="3.125" style="114" customWidth="1"/>
    <col min="7" max="7" width="3.125" style="114" bestFit="1" customWidth="1"/>
    <col min="8" max="8" width="34.75" style="114" customWidth="1"/>
    <col min="9" max="9" width="10.25" style="114" bestFit="1" customWidth="1"/>
    <col min="10" max="10" width="10.625" style="114" customWidth="1"/>
    <col min="11" max="16384" width="8" style="114"/>
  </cols>
  <sheetData>
    <row r="5" spans="1:11" ht="26.25">
      <c r="H5" s="149">
        <v>43647</v>
      </c>
      <c r="I5" s="149"/>
    </row>
    <row r="8" spans="1:11" ht="15">
      <c r="H8" s="115" t="s">
        <v>134</v>
      </c>
      <c r="I8" s="115" t="s">
        <v>135</v>
      </c>
      <c r="J8" s="115" t="s">
        <v>180</v>
      </c>
    </row>
    <row r="9" spans="1:11">
      <c r="A9" s="150" t="s">
        <v>189</v>
      </c>
      <c r="B9" s="150"/>
      <c r="C9" s="150"/>
      <c r="J9" s="116"/>
      <c r="K9" s="117"/>
    </row>
    <row r="10" spans="1:11">
      <c r="A10" s="151">
        <v>872.4</v>
      </c>
      <c r="B10" s="150"/>
      <c r="C10" s="150"/>
      <c r="G10" s="130"/>
      <c r="H10" s="118" t="s">
        <v>15</v>
      </c>
      <c r="I10" s="119">
        <v>54.4</v>
      </c>
      <c r="J10" s="120">
        <v>43647</v>
      </c>
      <c r="K10" s="117"/>
    </row>
    <row r="11" spans="1:11" ht="15">
      <c r="C11" s="121"/>
      <c r="G11" s="130"/>
      <c r="H11" s="118" t="s">
        <v>139</v>
      </c>
      <c r="I11" s="119">
        <v>197.2</v>
      </c>
      <c r="J11" s="120">
        <v>43647</v>
      </c>
    </row>
    <row r="12" spans="1:11">
      <c r="A12" s="150"/>
      <c r="B12" s="150"/>
      <c r="C12" s="150"/>
      <c r="G12" s="130"/>
      <c r="H12" s="118" t="s">
        <v>110</v>
      </c>
      <c r="I12" s="119">
        <v>34</v>
      </c>
      <c r="J12" s="120">
        <v>43647</v>
      </c>
    </row>
    <row r="13" spans="1:11">
      <c r="A13" s="150"/>
      <c r="B13" s="150"/>
      <c r="C13" s="150"/>
      <c r="G13" s="130"/>
      <c r="H13" s="118" t="s">
        <v>81</v>
      </c>
      <c r="I13" s="119">
        <v>54.4</v>
      </c>
      <c r="J13" s="120">
        <v>43647</v>
      </c>
    </row>
    <row r="14" spans="1:11">
      <c r="E14" s="116"/>
      <c r="G14" s="130"/>
      <c r="H14" s="118" t="s">
        <v>90</v>
      </c>
      <c r="I14" s="119">
        <v>54.4</v>
      </c>
      <c r="J14" s="120">
        <v>43647</v>
      </c>
    </row>
    <row r="15" spans="1:11">
      <c r="G15" s="130"/>
      <c r="H15" s="118" t="s">
        <v>125</v>
      </c>
      <c r="I15" s="119">
        <v>13.6</v>
      </c>
      <c r="J15" s="120">
        <v>43647</v>
      </c>
    </row>
    <row r="16" spans="1:11">
      <c r="G16" s="130"/>
      <c r="H16" s="118" t="s">
        <v>91</v>
      </c>
      <c r="I16" s="119">
        <v>40.799999999999997</v>
      </c>
      <c r="J16" s="120">
        <v>43647</v>
      </c>
    </row>
    <row r="17" spans="7:10">
      <c r="G17" s="130"/>
      <c r="H17" s="118" t="s">
        <v>19</v>
      </c>
      <c r="I17" s="119">
        <v>68</v>
      </c>
      <c r="J17" s="120">
        <v>43647</v>
      </c>
    </row>
    <row r="18" spans="7:10">
      <c r="G18" s="130"/>
      <c r="H18" s="118" t="s">
        <v>130</v>
      </c>
      <c r="I18" s="119">
        <v>74.8</v>
      </c>
      <c r="J18" s="120">
        <v>43647</v>
      </c>
    </row>
    <row r="19" spans="7:10">
      <c r="G19" s="130"/>
      <c r="H19" s="118" t="s">
        <v>78</v>
      </c>
      <c r="I19" s="119">
        <v>54.4</v>
      </c>
      <c r="J19" s="120">
        <v>43647</v>
      </c>
    </row>
    <row r="20" spans="7:10">
      <c r="G20" s="130"/>
      <c r="H20" s="118" t="s">
        <v>145</v>
      </c>
      <c r="I20" s="119">
        <v>27.2</v>
      </c>
      <c r="J20" s="120">
        <v>43647</v>
      </c>
    </row>
    <row r="21" spans="7:10">
      <c r="G21" s="130"/>
      <c r="H21" s="118" t="s">
        <v>24</v>
      </c>
      <c r="I21" s="119">
        <v>27.2</v>
      </c>
      <c r="J21" s="120">
        <v>43647</v>
      </c>
    </row>
    <row r="22" spans="7:10">
      <c r="G22" s="130"/>
      <c r="H22" s="118" t="s">
        <v>147</v>
      </c>
      <c r="I22" s="119">
        <v>72.8</v>
      </c>
      <c r="J22" s="120">
        <v>43647</v>
      </c>
    </row>
    <row r="23" spans="7:10">
      <c r="G23" s="130"/>
      <c r="H23" s="118" t="s">
        <v>440</v>
      </c>
      <c r="I23" s="119">
        <v>68</v>
      </c>
      <c r="J23" s="120">
        <v>43647</v>
      </c>
    </row>
    <row r="24" spans="7:10">
      <c r="G24" s="130"/>
      <c r="H24" s="118" t="s">
        <v>133</v>
      </c>
      <c r="I24" s="119">
        <v>31.2</v>
      </c>
      <c r="J24" s="120">
        <v>43647</v>
      </c>
    </row>
    <row r="25" spans="7:10">
      <c r="H25" s="118"/>
      <c r="I25" s="119"/>
      <c r="J25" s="120"/>
    </row>
    <row r="26" spans="7:10">
      <c r="H26" s="118"/>
      <c r="I26" s="119"/>
      <c r="J26" s="120"/>
    </row>
    <row r="27" spans="7:10">
      <c r="H27" s="118"/>
      <c r="I27" s="119"/>
      <c r="J27" s="120"/>
    </row>
    <row r="28" spans="7:10">
      <c r="H28" s="118"/>
      <c r="I28" s="119"/>
      <c r="J28" s="120"/>
    </row>
    <row r="29" spans="7:10">
      <c r="H29" s="118"/>
      <c r="I29" s="119"/>
      <c r="J29" s="120"/>
    </row>
    <row r="30" spans="7:10">
      <c r="H30" s="118"/>
      <c r="I30" s="119"/>
      <c r="J30" s="120"/>
    </row>
    <row r="31" spans="7:10">
      <c r="H31" s="118"/>
      <c r="I31" s="119"/>
      <c r="J31" s="120"/>
    </row>
    <row r="32" spans="7:10">
      <c r="H32" s="118"/>
      <c r="I32" s="118"/>
      <c r="J32" s="119"/>
    </row>
    <row r="33" spans="8:10">
      <c r="H33" s="118"/>
      <c r="I33" s="118"/>
      <c r="J33" s="119"/>
    </row>
    <row r="34" spans="8:10">
      <c r="H34" s="118"/>
      <c r="I34" s="118"/>
      <c r="J34" s="119"/>
    </row>
    <row r="35" spans="8:10">
      <c r="H35" s="118"/>
      <c r="I35" s="118"/>
      <c r="J35" s="119"/>
    </row>
    <row r="36" spans="8:10">
      <c r="H36" s="118"/>
      <c r="I36" s="118"/>
      <c r="J36" s="119"/>
    </row>
    <row r="37" spans="8:10">
      <c r="H37" s="118"/>
      <c r="I37" s="118"/>
      <c r="J37" s="119"/>
    </row>
    <row r="38" spans="8:10">
      <c r="H38" s="118"/>
      <c r="I38" s="118"/>
      <c r="J38" s="119"/>
    </row>
    <row r="39" spans="8:10">
      <c r="H39" s="118"/>
      <c r="I39" s="118"/>
      <c r="J39" s="119"/>
    </row>
    <row r="40" spans="8:10">
      <c r="H40" s="118"/>
      <c r="I40" s="118"/>
      <c r="J40" s="119"/>
    </row>
    <row r="41" spans="8:10">
      <c r="H41" s="118"/>
      <c r="I41" s="118"/>
      <c r="J41" s="119"/>
    </row>
    <row r="42" spans="8:10">
      <c r="H42" s="118"/>
      <c r="I42" s="118"/>
      <c r="J42" s="119"/>
    </row>
    <row r="43" spans="8:10">
      <c r="H43" s="118"/>
      <c r="I43" s="118"/>
      <c r="J43" s="119"/>
    </row>
  </sheetData>
  <mergeCells count="5">
    <mergeCell ref="H5:I5"/>
    <mergeCell ref="A9:C9"/>
    <mergeCell ref="A10:C10"/>
    <mergeCell ref="A12:C12"/>
    <mergeCell ref="A13:C13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headerFooter>
    <oddHeader xml:space="preserve">&amp;CTEMPLO TRABALHADORES DE IANSÃ, OGUM E PAI JOSÉ DAS ALMAS
</oddHead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J46"/>
  <sheetViews>
    <sheetView showGridLines="0" view="pageLayout" zoomScaleNormal="100" workbookViewId="0">
      <selection activeCell="E1" sqref="E1"/>
    </sheetView>
  </sheetViews>
  <sheetFormatPr defaultRowHeight="14.25"/>
  <cols>
    <col min="7" max="7" width="5.5" customWidth="1"/>
    <col min="10" max="10" width="4.875" customWidth="1"/>
  </cols>
  <sheetData>
    <row r="1" spans="1:10">
      <c r="I1" s="97" t="s">
        <v>131</v>
      </c>
    </row>
    <row r="2" spans="1:10" ht="15">
      <c r="H2" s="147" t="s">
        <v>190</v>
      </c>
      <c r="I2" s="147"/>
      <c r="J2" s="147"/>
    </row>
    <row r="3" spans="1:10" ht="15" thickBot="1">
      <c r="H3" s="152">
        <f>somacusto</f>
        <v>698.8</v>
      </c>
      <c r="I3" s="152"/>
      <c r="J3" s="152"/>
    </row>
    <row r="4" spans="1:10" ht="15" thickTop="1">
      <c r="F4" t="s">
        <v>490</v>
      </c>
    </row>
    <row r="12" spans="1:10" ht="15">
      <c r="A12" s="147" t="s">
        <v>191</v>
      </c>
      <c r="B12" s="147"/>
      <c r="C12" s="147"/>
      <c r="D12" s="147"/>
      <c r="E12" s="147" t="s">
        <v>183</v>
      </c>
      <c r="F12" s="147"/>
    </row>
    <row r="13" spans="1:10" ht="15">
      <c r="A13" s="88">
        <v>1</v>
      </c>
      <c r="B13" s="146" t="str">
        <f>INDEX(Velas!$C$7:$V$7,MATCH(Pedido_velas!A13,Velas!$C$6:$V$6,0))</f>
        <v>7 linhas</v>
      </c>
      <c r="C13" s="146"/>
      <c r="E13" s="146">
        <f>INDEX(Velas!$C$3:$V$3,MATCH(Pedido_velas!B13,Velas!$C$7:$V$7,0))</f>
        <v>12</v>
      </c>
      <c r="F13" s="146"/>
      <c r="H13" s="99"/>
    </row>
    <row r="14" spans="1:10" ht="15">
      <c r="A14" s="88">
        <v>2</v>
      </c>
      <c r="B14" s="146" t="str">
        <f>INDEX(Velas!$C$7:$V$7,MATCH(Pedido_velas!A14,Velas!$C$6:$V$6,0))</f>
        <v xml:space="preserve">Amarela </v>
      </c>
      <c r="C14" s="146"/>
      <c r="E14" s="146">
        <f>INDEX(Velas!$C$3:$V$3,MATCH(Pedido_velas!B14,Velas!$C$7:$V$7,0))</f>
        <v>4</v>
      </c>
      <c r="F14" s="146"/>
      <c r="H14" s="99"/>
    </row>
    <row r="15" spans="1:10" ht="15">
      <c r="A15" s="88">
        <v>3</v>
      </c>
      <c r="B15" s="146" t="str">
        <f>INDEX(Velas!$C$7:$V$7,MATCH(Pedido_velas!A15,Velas!$C$6:$V$6,0))</f>
        <v>Am. Vermelha</v>
      </c>
      <c r="C15" s="146"/>
      <c r="E15" s="146">
        <f>INDEX(Velas!$C$3:$V$3,MATCH(Pedido_velas!B15,Velas!$C$7:$V$7,0))</f>
        <v>4</v>
      </c>
      <c r="F15" s="146"/>
      <c r="H15" s="99"/>
    </row>
    <row r="16" spans="1:10" ht="15">
      <c r="A16" s="88">
        <v>4</v>
      </c>
      <c r="B16" s="146" t="str">
        <f>INDEX(Velas!$C$7:$V$7,MATCH(Pedido_velas!A16,Velas!$C$6:$V$6,0))</f>
        <v>Azul claro</v>
      </c>
      <c r="C16" s="146"/>
      <c r="E16" s="146">
        <f>INDEX(Velas!$C$3:$V$3,MATCH(Pedido_velas!B16,Velas!$C$7:$V$7,0))</f>
        <v>12</v>
      </c>
      <c r="F16" s="146"/>
      <c r="H16" s="99"/>
    </row>
    <row r="17" spans="1:8" ht="15" hidden="1">
      <c r="A17" s="88">
        <v>5</v>
      </c>
      <c r="B17" s="146" t="str">
        <f>INDEX(Velas!$C$7:$V$7,MATCH(Pedido_velas!A17,Velas!$C$6:$V$6,0))</f>
        <v>Azul e preta</v>
      </c>
      <c r="C17" s="146"/>
      <c r="E17" s="146">
        <f>INDEX(Velas!$C$3:$V$3,MATCH(Pedido_velas!B17,Velas!$C$7:$V$7,0))</f>
        <v>0</v>
      </c>
      <c r="F17" s="146"/>
      <c r="H17" s="99"/>
    </row>
    <row r="18" spans="1:8" ht="15">
      <c r="A18" s="88">
        <v>6</v>
      </c>
      <c r="B18" s="146" t="str">
        <f>INDEX(Velas!$C$7:$V$7,MATCH(Pedido_velas!A18,Velas!$C$6:$V$6,0))</f>
        <v>Azul e Rosa</v>
      </c>
      <c r="C18" s="146"/>
      <c r="E18" s="146">
        <f>INDEX(Velas!$C$3:$V$3,MATCH(Pedido_velas!B18,Velas!$C$7:$V$7,0))</f>
        <v>4</v>
      </c>
      <c r="F18" s="146"/>
      <c r="H18" s="99"/>
    </row>
    <row r="19" spans="1:8" ht="15">
      <c r="A19" s="88">
        <v>7</v>
      </c>
      <c r="B19" s="146" t="str">
        <f>INDEX(Velas!$C$7:$V$7,MATCH(Pedido_velas!A19,Velas!$C$6:$V$6,0))</f>
        <v>Azul escuro</v>
      </c>
      <c r="C19" s="146"/>
      <c r="E19" s="146">
        <f>INDEX(Velas!$C$3:$V$3,MATCH(Pedido_velas!B19,Velas!$C$7:$V$7,0))</f>
        <v>4</v>
      </c>
      <c r="F19" s="146"/>
      <c r="H19" s="99"/>
    </row>
    <row r="20" spans="1:8" ht="15">
      <c r="A20" s="88">
        <v>8</v>
      </c>
      <c r="B20" s="146" t="str">
        <f>INDEX(Velas!$C$7:$V$7,MATCH(Pedido_velas!A20,Velas!$C$6:$V$6,0))</f>
        <v>Branca</v>
      </c>
      <c r="C20" s="146"/>
      <c r="E20" s="146">
        <f>INDEX(Velas!$C$3:$V$3,MATCH(Pedido_velas!B20,Velas!$C$7:$V$7,0))</f>
        <v>68</v>
      </c>
      <c r="F20" s="146"/>
      <c r="H20" s="99"/>
    </row>
    <row r="21" spans="1:8" ht="15">
      <c r="A21" s="88">
        <v>9</v>
      </c>
      <c r="B21" s="146" t="str">
        <f>INDEX(Velas!$C$7:$V$7,MATCH(Pedido_velas!A21,Velas!$C$6:$V$6,0))</f>
        <v>Branca e preta</v>
      </c>
      <c r="C21" s="146"/>
      <c r="E21" s="146">
        <f>INDEX(Velas!$C$3:$V$3,MATCH(Pedido_velas!B21,Velas!$C$7:$V$7,0))</f>
        <v>4</v>
      </c>
      <c r="F21" s="146"/>
      <c r="H21" s="99"/>
    </row>
    <row r="22" spans="1:8" ht="15">
      <c r="A22" s="88">
        <v>10</v>
      </c>
      <c r="B22" s="146" t="str">
        <f>INDEX(Velas!$C$7:$V$7,MATCH(Pedido_velas!A22,Velas!$C$6:$V$6,0))</f>
        <v>Branca e vermelha</v>
      </c>
      <c r="C22" s="146"/>
      <c r="E22" s="146">
        <f>INDEX(Velas!$C$3:$V$3,MATCH(Pedido_velas!B22,Velas!$C$7:$V$7,0))</f>
        <v>4</v>
      </c>
      <c r="F22" s="146"/>
      <c r="H22" s="99"/>
    </row>
    <row r="23" spans="1:8" ht="15" hidden="1">
      <c r="A23" s="88">
        <v>11</v>
      </c>
      <c r="B23" s="146" t="str">
        <f>INDEX(Velas!$C$7:$V$7,MATCH(Pedido_velas!A23,Velas!$C$6:$V$6,0))</f>
        <v>Dourada</v>
      </c>
      <c r="C23" s="146"/>
      <c r="E23" s="146">
        <f>INDEX(Velas!$C$3:$V$3,MATCH(Pedido_velas!B23,Velas!$C$7:$V$7,0))</f>
        <v>0</v>
      </c>
      <c r="F23" s="146"/>
      <c r="H23" s="99"/>
    </row>
    <row r="24" spans="1:8" ht="15">
      <c r="A24" s="88">
        <v>12</v>
      </c>
      <c r="B24" s="146" t="str">
        <f>INDEX(Velas!$C$7:$V$7,MATCH(Pedido_velas!A24,Velas!$C$6:$V$6,0))</f>
        <v>Laranja</v>
      </c>
      <c r="C24" s="146"/>
      <c r="E24" s="146">
        <f>INDEX(Velas!$C$3:$V$3,MATCH(Pedido_velas!B24,Velas!$C$7:$V$7,0))</f>
        <v>4</v>
      </c>
      <c r="F24" s="146"/>
      <c r="H24" s="99"/>
    </row>
    <row r="25" spans="1:8" ht="15">
      <c r="A25" s="88">
        <v>13</v>
      </c>
      <c r="B25" s="146" t="str">
        <f>INDEX(Velas!$C$7:$V$7,MATCH(Pedido_velas!A25,Velas!$C$6:$V$6,0))</f>
        <v>Marrom</v>
      </c>
      <c r="C25" s="146"/>
      <c r="E25" s="146">
        <f>INDEX(Velas!$C$3:$V$3,MATCH(Pedido_velas!B25,Velas!$C$7:$V$7,0))</f>
        <v>4</v>
      </c>
      <c r="F25" s="146"/>
      <c r="H25" s="99"/>
    </row>
    <row r="26" spans="1:8" ht="15">
      <c r="A26" s="88">
        <v>14</v>
      </c>
      <c r="B26" s="146" t="str">
        <f>INDEX(Velas!$C$7:$V$7,MATCH(Pedido_velas!A26,Velas!$C$6:$V$6,0))</f>
        <v>Preta</v>
      </c>
      <c r="C26" s="146"/>
      <c r="E26" s="146">
        <f>INDEX(Velas!$C$3:$V$3,MATCH(Pedido_velas!B26,Velas!$C$7:$V$7,0))</f>
        <v>44</v>
      </c>
      <c r="F26" s="146"/>
      <c r="H26" s="99"/>
    </row>
    <row r="27" spans="1:8">
      <c r="A27" s="88">
        <v>15</v>
      </c>
      <c r="B27" s="146" t="str">
        <f>INDEX(Velas!$C$7:$V$7,MATCH(Pedido_velas!A27,Velas!$C$6:$V$6,0))</f>
        <v>Preta e Verde</v>
      </c>
      <c r="C27" s="146"/>
      <c r="E27" s="146">
        <f>INDEX(Velas!$C$3:$V$3,MATCH(Pedido_velas!B27,Velas!$C$7:$V$7,0))</f>
        <v>8</v>
      </c>
      <c r="F27" s="146"/>
    </row>
    <row r="28" spans="1:8" ht="15">
      <c r="A28" s="88">
        <v>16</v>
      </c>
      <c r="B28" s="146" t="str">
        <f>INDEX(Velas!$C$7:$V$7,MATCH(Pedido_velas!A28,Velas!$C$6:$V$6,0))</f>
        <v>Preta e vermelha</v>
      </c>
      <c r="C28" s="146"/>
      <c r="E28" s="146">
        <f>INDEX(Velas!$C$3:$V$3,MATCH(Pedido_velas!B28,Velas!$C$7:$V$7,0))</f>
        <v>24</v>
      </c>
      <c r="F28" s="146"/>
      <c r="H28" s="99"/>
    </row>
    <row r="29" spans="1:8" ht="15" hidden="1">
      <c r="A29" s="88">
        <v>17</v>
      </c>
      <c r="B29" s="146" t="str">
        <f>INDEX(Velas!$C$7:$V$7,MATCH(Pedido_velas!A29,Velas!$C$6:$V$6,0))</f>
        <v>Roxo claro</v>
      </c>
      <c r="C29" s="146"/>
      <c r="E29" s="146">
        <f>INDEX(Velas!$C$3:$V$3,MATCH(Pedido_velas!B29,Velas!$C$7:$V$7,0))</f>
        <v>0</v>
      </c>
      <c r="F29" s="146"/>
      <c r="H29" s="99"/>
    </row>
    <row r="30" spans="1:8" ht="15">
      <c r="A30" s="88">
        <v>18</v>
      </c>
      <c r="B30" s="146" t="str">
        <f>INDEX(Velas!$C$7:$V$7,MATCH(Pedido_velas!A30,Velas!$C$6:$V$6,0))</f>
        <v>Roxo escuro</v>
      </c>
      <c r="C30" s="146"/>
      <c r="E30" s="146">
        <f>INDEX(Velas!$C$3:$V$3,MATCH(Pedido_velas!B30,Velas!$C$7:$V$7,0))</f>
        <v>24</v>
      </c>
      <c r="F30" s="146"/>
      <c r="H30" s="99"/>
    </row>
    <row r="31" spans="1:8" ht="15">
      <c r="A31" s="88">
        <v>19</v>
      </c>
      <c r="B31" s="146" t="str">
        <f>INDEX(Velas!$C$7:$V$7,MATCH(Pedido_velas!A31,Velas!$C$6:$V$6,0))</f>
        <v>Verde</v>
      </c>
      <c r="C31" s="146"/>
      <c r="E31" s="146">
        <f>INDEX(Velas!$C$3:$V$3,MATCH(Pedido_velas!B31,Velas!$C$7:$V$7,0))</f>
        <v>4</v>
      </c>
      <c r="F31" s="146"/>
      <c r="H31" s="99"/>
    </row>
    <row r="32" spans="1:8" ht="15">
      <c r="A32" s="88">
        <v>20</v>
      </c>
      <c r="B32" s="146" t="s">
        <v>168</v>
      </c>
      <c r="C32" s="146"/>
      <c r="E32" s="146">
        <f>INDEX(Velas!$C$3:$V$3,MATCH(Pedido_velas!B32,Velas!$C$7:$V$7,0))</f>
        <v>32</v>
      </c>
      <c r="F32" s="146"/>
      <c r="H32" s="99"/>
    </row>
    <row r="33" spans="2:7">
      <c r="B33" s="146"/>
      <c r="C33" s="146"/>
      <c r="E33" s="146"/>
      <c r="F33" s="146"/>
      <c r="G33" s="122"/>
    </row>
    <row r="34" spans="2:7">
      <c r="B34" s="146"/>
      <c r="C34" s="146"/>
      <c r="E34" s="146">
        <f>SUM(E13:F33)</f>
        <v>260</v>
      </c>
      <c r="F34" s="146"/>
    </row>
    <row r="35" spans="2:7">
      <c r="B35" s="146"/>
      <c r="C35" s="146"/>
      <c r="E35" s="146"/>
      <c r="F35" s="146"/>
    </row>
    <row r="36" spans="2:7">
      <c r="B36" s="146"/>
      <c r="C36" s="146"/>
      <c r="E36" s="146"/>
      <c r="F36" s="146"/>
    </row>
    <row r="37" spans="2:7">
      <c r="B37" s="146"/>
      <c r="C37" s="146"/>
      <c r="E37" s="146"/>
      <c r="F37" s="146"/>
    </row>
    <row r="38" spans="2:7">
      <c r="B38" s="146"/>
      <c r="C38" s="146"/>
      <c r="E38" s="153">
        <f ca="1">TODAY()</f>
        <v>43697</v>
      </c>
      <c r="F38" s="146"/>
    </row>
    <row r="39" spans="2:7">
      <c r="B39" s="146"/>
      <c r="C39" s="146"/>
      <c r="E39" s="154">
        <f ca="1">MONTH(E38)</f>
        <v>8</v>
      </c>
      <c r="F39" s="154"/>
    </row>
    <row r="40" spans="2:7">
      <c r="B40" s="146"/>
      <c r="C40" s="146"/>
      <c r="E40" s="146"/>
      <c r="F40" s="146"/>
    </row>
    <row r="41" spans="2:7">
      <c r="B41" s="146"/>
      <c r="C41" s="146"/>
      <c r="E41" s="146"/>
      <c r="F41" s="146"/>
    </row>
    <row r="42" spans="2:7">
      <c r="B42" s="146"/>
      <c r="C42" s="146"/>
      <c r="E42" s="146"/>
      <c r="F42" s="146"/>
    </row>
    <row r="43" spans="2:7">
      <c r="B43" s="146"/>
      <c r="C43" s="146"/>
      <c r="E43" s="146"/>
      <c r="F43" s="146"/>
    </row>
    <row r="44" spans="2:7">
      <c r="B44" s="146"/>
      <c r="C44" s="146"/>
      <c r="E44" s="146"/>
      <c r="F44" s="146"/>
    </row>
    <row r="45" spans="2:7">
      <c r="B45" s="146"/>
      <c r="C45" s="146"/>
      <c r="E45" s="146"/>
      <c r="F45" s="146"/>
    </row>
    <row r="46" spans="2:7">
      <c r="E46" s="146"/>
      <c r="F46" s="146"/>
    </row>
  </sheetData>
  <mergeCells count="71">
    <mergeCell ref="B44:C44"/>
    <mergeCell ref="E44:F44"/>
    <mergeCell ref="B45:C45"/>
    <mergeCell ref="E45:F45"/>
    <mergeCell ref="E46:F46"/>
    <mergeCell ref="B41:C41"/>
    <mergeCell ref="E41:F41"/>
    <mergeCell ref="B42:C42"/>
    <mergeCell ref="E42:F42"/>
    <mergeCell ref="B43:C43"/>
    <mergeCell ref="E43:F43"/>
    <mergeCell ref="B38:C38"/>
    <mergeCell ref="E38:F38"/>
    <mergeCell ref="B39:C39"/>
    <mergeCell ref="E39:F39"/>
    <mergeCell ref="B40:C40"/>
    <mergeCell ref="E40:F40"/>
    <mergeCell ref="B35:C35"/>
    <mergeCell ref="E35:F35"/>
    <mergeCell ref="B36:C36"/>
    <mergeCell ref="E36:F36"/>
    <mergeCell ref="B37:C37"/>
    <mergeCell ref="E37:F37"/>
    <mergeCell ref="B32:C32"/>
    <mergeCell ref="E32:F32"/>
    <mergeCell ref="B33:C33"/>
    <mergeCell ref="E33:F33"/>
    <mergeCell ref="B34:C34"/>
    <mergeCell ref="E34:F34"/>
    <mergeCell ref="B29:C29"/>
    <mergeCell ref="E29:F29"/>
    <mergeCell ref="B30:C30"/>
    <mergeCell ref="E30:F30"/>
    <mergeCell ref="B31:C31"/>
    <mergeCell ref="E31:F31"/>
    <mergeCell ref="B26:C26"/>
    <mergeCell ref="E26:F26"/>
    <mergeCell ref="B27:C27"/>
    <mergeCell ref="E27:F27"/>
    <mergeCell ref="B28:C28"/>
    <mergeCell ref="E28:F28"/>
    <mergeCell ref="B23:C23"/>
    <mergeCell ref="E23:F23"/>
    <mergeCell ref="B24:C24"/>
    <mergeCell ref="E24:F24"/>
    <mergeCell ref="B25:C25"/>
    <mergeCell ref="E25:F25"/>
    <mergeCell ref="B20:C20"/>
    <mergeCell ref="E20:F20"/>
    <mergeCell ref="B21:C21"/>
    <mergeCell ref="E21:F21"/>
    <mergeCell ref="B22:C22"/>
    <mergeCell ref="E22:F22"/>
    <mergeCell ref="B17:C17"/>
    <mergeCell ref="E17:F17"/>
    <mergeCell ref="B18:C18"/>
    <mergeCell ref="E18:F18"/>
    <mergeCell ref="B19:C19"/>
    <mergeCell ref="E19:F19"/>
    <mergeCell ref="B14:C14"/>
    <mergeCell ref="E14:F14"/>
    <mergeCell ref="B15:C15"/>
    <mergeCell ref="E15:F15"/>
    <mergeCell ref="B16:C16"/>
    <mergeCell ref="E16:F16"/>
    <mergeCell ref="H2:J2"/>
    <mergeCell ref="H3:J3"/>
    <mergeCell ref="A12:D12"/>
    <mergeCell ref="E12:F12"/>
    <mergeCell ref="B13:C13"/>
    <mergeCell ref="E13:F13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headerFooter>
    <oddHeader xml:space="preserve">&amp;C&amp;"-,Negrito"PEDIDO VELAS
</oddHead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E28"/>
  <sheetViews>
    <sheetView workbookViewId="0">
      <selection activeCell="AA10" sqref="AA10"/>
    </sheetView>
  </sheetViews>
  <sheetFormatPr defaultRowHeight="14.25"/>
  <cols>
    <col min="1" max="1" width="20.75" bestFit="1" customWidth="1"/>
    <col min="2" max="2" width="30.125" bestFit="1" customWidth="1"/>
    <col min="3" max="3" width="19.75" hidden="1" customWidth="1"/>
    <col min="4" max="4" width="53.625" hidden="1" customWidth="1"/>
    <col min="5" max="5" width="18.875" hidden="1" customWidth="1"/>
    <col min="6" max="6" width="25.625" hidden="1" customWidth="1"/>
    <col min="7" max="7" width="12.5" hidden="1" customWidth="1"/>
    <col min="8" max="8" width="23.5" hidden="1" customWidth="1"/>
    <col min="9" max="9" width="26.75" hidden="1" customWidth="1"/>
    <col min="10" max="10" width="9.25" hidden="1" customWidth="1"/>
    <col min="11" max="11" width="30.375" hidden="1" customWidth="1"/>
    <col min="12" max="12" width="51" hidden="1" customWidth="1"/>
    <col min="13" max="13" width="49.375" hidden="1" customWidth="1"/>
    <col min="14" max="14" width="62.875" hidden="1" customWidth="1"/>
    <col min="15" max="15" width="15.375" bestFit="1" customWidth="1"/>
    <col min="16" max="16" width="15" bestFit="1" customWidth="1"/>
    <col min="17" max="17" width="26.75" bestFit="1" customWidth="1"/>
    <col min="18" max="18" width="16.5" bestFit="1" customWidth="1"/>
    <col min="19" max="19" width="24.125" bestFit="1" customWidth="1"/>
    <col min="20" max="20" width="16.875" bestFit="1" customWidth="1"/>
    <col min="21" max="21" width="17.625" bestFit="1" customWidth="1"/>
    <col min="22" max="22" width="36.625" bestFit="1" customWidth="1"/>
    <col min="23" max="23" width="14" bestFit="1" customWidth="1"/>
    <col min="24" max="24" width="11.75" bestFit="1" customWidth="1"/>
    <col min="25" max="25" width="16.125" bestFit="1" customWidth="1"/>
    <col min="26" max="26" width="18.75" bestFit="1" customWidth="1"/>
    <col min="27" max="27" width="17.625" bestFit="1" customWidth="1"/>
    <col min="28" max="28" width="29.875" bestFit="1" customWidth="1"/>
    <col min="29" max="29" width="38.75" bestFit="1" customWidth="1"/>
    <col min="30" max="30" width="28.75" bestFit="1" customWidth="1"/>
  </cols>
  <sheetData>
    <row r="1" spans="1:31">
      <c r="A1" t="s">
        <v>196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58</v>
      </c>
      <c r="AC1" t="s">
        <v>223</v>
      </c>
      <c r="AD1" t="s">
        <v>224</v>
      </c>
      <c r="AE1" t="s">
        <v>502</v>
      </c>
    </row>
    <row r="2" spans="1:31" ht="28.5">
      <c r="A2" s="126">
        <v>43549.860381944447</v>
      </c>
      <c r="B2" t="s">
        <v>225</v>
      </c>
      <c r="C2" s="105">
        <v>29567</v>
      </c>
      <c r="D2" s="124" t="s">
        <v>226</v>
      </c>
      <c r="E2">
        <v>11972255194</v>
      </c>
      <c r="F2" t="s">
        <v>227</v>
      </c>
      <c r="G2" t="s">
        <v>228</v>
      </c>
      <c r="H2" t="s">
        <v>229</v>
      </c>
      <c r="I2" t="s">
        <v>230</v>
      </c>
      <c r="J2" t="s">
        <v>231</v>
      </c>
      <c r="K2" t="s">
        <v>232</v>
      </c>
      <c r="L2" t="s">
        <v>233</v>
      </c>
      <c r="M2" t="s">
        <v>234</v>
      </c>
      <c r="N2" t="s">
        <v>235</v>
      </c>
      <c r="O2" t="s">
        <v>236</v>
      </c>
      <c r="P2" t="s">
        <v>114</v>
      </c>
      <c r="Q2" t="s">
        <v>116</v>
      </c>
      <c r="R2" t="s">
        <v>237</v>
      </c>
      <c r="S2" t="s">
        <v>238</v>
      </c>
      <c r="T2" t="s">
        <v>238</v>
      </c>
      <c r="U2" t="s">
        <v>238</v>
      </c>
      <c r="V2" t="s">
        <v>238</v>
      </c>
      <c r="W2" t="s">
        <v>238</v>
      </c>
      <c r="X2" t="s">
        <v>238</v>
      </c>
      <c r="Y2" t="s">
        <v>238</v>
      </c>
      <c r="Z2" t="s">
        <v>238</v>
      </c>
      <c r="AA2" t="s">
        <v>238</v>
      </c>
      <c r="AB2" t="s">
        <v>238</v>
      </c>
      <c r="AC2" t="s">
        <v>238</v>
      </c>
      <c r="AD2" t="s">
        <v>239</v>
      </c>
      <c r="AE2" t="s">
        <v>503</v>
      </c>
    </row>
    <row r="3" spans="1:31">
      <c r="A3" s="123">
        <v>43549.861643518518</v>
      </c>
      <c r="B3" t="s">
        <v>126</v>
      </c>
      <c r="C3" s="105">
        <v>34393</v>
      </c>
      <c r="D3" t="s">
        <v>240</v>
      </c>
      <c r="E3">
        <v>11970404250</v>
      </c>
      <c r="F3">
        <v>11949247074</v>
      </c>
      <c r="G3" t="s">
        <v>241</v>
      </c>
      <c r="H3" t="s">
        <v>242</v>
      </c>
      <c r="I3" t="s">
        <v>243</v>
      </c>
      <c r="J3" t="s">
        <v>231</v>
      </c>
      <c r="K3" t="s">
        <v>244</v>
      </c>
      <c r="L3" t="s">
        <v>245</v>
      </c>
      <c r="M3" t="s">
        <v>233</v>
      </c>
      <c r="N3" t="s">
        <v>233</v>
      </c>
      <c r="O3" t="s">
        <v>115</v>
      </c>
      <c r="P3" t="s">
        <v>246</v>
      </c>
      <c r="Q3" t="s">
        <v>114</v>
      </c>
      <c r="R3" t="s">
        <v>217</v>
      </c>
      <c r="S3" t="s">
        <v>247</v>
      </c>
      <c r="T3" t="s">
        <v>248</v>
      </c>
      <c r="U3" t="s">
        <v>249</v>
      </c>
      <c r="V3" t="s">
        <v>250</v>
      </c>
      <c r="W3" t="s">
        <v>237</v>
      </c>
      <c r="X3" t="s">
        <v>251</v>
      </c>
      <c r="Y3" t="s">
        <v>237</v>
      </c>
      <c r="Z3" t="s">
        <v>252</v>
      </c>
      <c r="AB3" t="s">
        <v>253</v>
      </c>
      <c r="AC3" t="s">
        <v>254</v>
      </c>
      <c r="AD3" t="s">
        <v>233</v>
      </c>
      <c r="AE3" t="s">
        <v>503</v>
      </c>
    </row>
    <row r="4" spans="1:31">
      <c r="A4" s="123">
        <v>43549.862326388888</v>
      </c>
      <c r="B4" t="s">
        <v>255</v>
      </c>
      <c r="C4" s="105">
        <v>36521</v>
      </c>
      <c r="D4" t="s">
        <v>256</v>
      </c>
      <c r="E4" t="s">
        <v>257</v>
      </c>
      <c r="G4" t="s">
        <v>241</v>
      </c>
      <c r="H4" t="s">
        <v>258</v>
      </c>
      <c r="I4" t="s">
        <v>243</v>
      </c>
      <c r="J4" t="s">
        <v>231</v>
      </c>
      <c r="K4" t="s">
        <v>259</v>
      </c>
      <c r="L4" t="s">
        <v>233</v>
      </c>
      <c r="M4" t="s">
        <v>233</v>
      </c>
      <c r="N4" t="s">
        <v>233</v>
      </c>
      <c r="O4" t="s">
        <v>116</v>
      </c>
      <c r="P4" t="s">
        <v>260</v>
      </c>
      <c r="Q4" t="s">
        <v>261</v>
      </c>
      <c r="R4" t="s">
        <v>216</v>
      </c>
      <c r="U4" t="s">
        <v>262</v>
      </c>
      <c r="Z4" t="s">
        <v>263</v>
      </c>
      <c r="AB4" t="s">
        <v>264</v>
      </c>
      <c r="AC4" t="s">
        <v>265</v>
      </c>
      <c r="AD4" t="s">
        <v>233</v>
      </c>
      <c r="AE4" t="s">
        <v>503</v>
      </c>
    </row>
    <row r="5" spans="1:31">
      <c r="A5" s="123">
        <v>43549.866076388891</v>
      </c>
      <c r="B5" t="s">
        <v>266</v>
      </c>
      <c r="C5" s="105">
        <v>31309</v>
      </c>
      <c r="D5" t="s">
        <v>267</v>
      </c>
      <c r="E5" t="s">
        <v>268</v>
      </c>
      <c r="F5" t="s">
        <v>269</v>
      </c>
      <c r="G5" t="s">
        <v>270</v>
      </c>
      <c r="H5" t="s">
        <v>271</v>
      </c>
      <c r="I5" t="s">
        <v>230</v>
      </c>
      <c r="J5" t="s">
        <v>243</v>
      </c>
      <c r="K5" t="s">
        <v>272</v>
      </c>
      <c r="L5" t="s">
        <v>233</v>
      </c>
      <c r="M5" t="s">
        <v>233</v>
      </c>
      <c r="N5" t="s">
        <v>273</v>
      </c>
      <c r="O5" t="s">
        <v>113</v>
      </c>
      <c r="P5" t="s">
        <v>53</v>
      </c>
      <c r="Q5" t="s">
        <v>114</v>
      </c>
      <c r="R5" t="s">
        <v>237</v>
      </c>
      <c r="U5" t="s">
        <v>274</v>
      </c>
      <c r="AB5" t="s">
        <v>275</v>
      </c>
      <c r="AD5" t="s">
        <v>233</v>
      </c>
      <c r="AE5" t="s">
        <v>503</v>
      </c>
    </row>
    <row r="6" spans="1:31" ht="28.5">
      <c r="A6" s="123">
        <v>43549.8669212963</v>
      </c>
      <c r="B6" t="s">
        <v>276</v>
      </c>
      <c r="C6" s="105">
        <v>25082</v>
      </c>
      <c r="D6" s="124" t="s">
        <v>277</v>
      </c>
      <c r="E6">
        <v>11945468092</v>
      </c>
      <c r="F6">
        <v>11945468092</v>
      </c>
      <c r="G6" t="s">
        <v>231</v>
      </c>
      <c r="H6" t="s">
        <v>278</v>
      </c>
      <c r="I6" t="s">
        <v>243</v>
      </c>
      <c r="J6" t="s">
        <v>243</v>
      </c>
      <c r="K6" t="s">
        <v>272</v>
      </c>
      <c r="L6" t="s">
        <v>233</v>
      </c>
      <c r="M6" t="s">
        <v>279</v>
      </c>
      <c r="N6" t="s">
        <v>280</v>
      </c>
      <c r="O6" t="s">
        <v>116</v>
      </c>
      <c r="P6" t="s">
        <v>114</v>
      </c>
      <c r="Q6" t="s">
        <v>115</v>
      </c>
      <c r="R6" t="s">
        <v>237</v>
      </c>
      <c r="AD6" t="s">
        <v>239</v>
      </c>
      <c r="AE6" t="s">
        <v>503</v>
      </c>
    </row>
    <row r="7" spans="1:31">
      <c r="A7" s="123">
        <v>43549.87090277778</v>
      </c>
      <c r="B7" t="s">
        <v>281</v>
      </c>
      <c r="C7" s="105">
        <v>31690</v>
      </c>
      <c r="D7" t="s">
        <v>282</v>
      </c>
      <c r="E7" t="s">
        <v>283</v>
      </c>
      <c r="F7" t="s">
        <v>284</v>
      </c>
      <c r="G7" t="s">
        <v>270</v>
      </c>
      <c r="H7" t="s">
        <v>285</v>
      </c>
      <c r="I7" t="s">
        <v>243</v>
      </c>
      <c r="J7" t="s">
        <v>286</v>
      </c>
      <c r="K7" t="s">
        <v>272</v>
      </c>
      <c r="L7" t="s">
        <v>233</v>
      </c>
      <c r="M7" t="s">
        <v>233</v>
      </c>
      <c r="N7" t="s">
        <v>233</v>
      </c>
      <c r="O7" t="s">
        <v>113</v>
      </c>
      <c r="P7" t="s">
        <v>261</v>
      </c>
      <c r="Q7" t="s">
        <v>237</v>
      </c>
      <c r="R7" t="s">
        <v>237</v>
      </c>
      <c r="AB7" t="s">
        <v>287</v>
      </c>
      <c r="AD7" t="s">
        <v>239</v>
      </c>
      <c r="AE7" t="s">
        <v>503</v>
      </c>
    </row>
    <row r="8" spans="1:31">
      <c r="A8" s="123">
        <v>43549.874768518515</v>
      </c>
      <c r="B8" t="s">
        <v>288</v>
      </c>
      <c r="C8" s="105">
        <v>33076</v>
      </c>
      <c r="D8" t="s">
        <v>289</v>
      </c>
      <c r="E8">
        <v>11985497545</v>
      </c>
      <c r="F8">
        <v>11949626938</v>
      </c>
      <c r="G8" t="s">
        <v>290</v>
      </c>
      <c r="H8" t="s">
        <v>291</v>
      </c>
      <c r="I8" t="s">
        <v>243</v>
      </c>
      <c r="J8" t="s">
        <v>231</v>
      </c>
      <c r="K8" t="s">
        <v>272</v>
      </c>
      <c r="L8" t="s">
        <v>233</v>
      </c>
      <c r="M8" t="s">
        <v>233</v>
      </c>
      <c r="N8" t="s">
        <v>233</v>
      </c>
      <c r="O8" t="s">
        <v>116</v>
      </c>
      <c r="P8" t="s">
        <v>114</v>
      </c>
      <c r="Q8" t="s">
        <v>237</v>
      </c>
      <c r="R8" t="s">
        <v>237</v>
      </c>
      <c r="AD8" t="s">
        <v>239</v>
      </c>
      <c r="AE8" t="s">
        <v>503</v>
      </c>
    </row>
    <row r="9" spans="1:31">
      <c r="A9" s="123">
        <v>43549.899050925924</v>
      </c>
      <c r="B9" t="s">
        <v>292</v>
      </c>
      <c r="C9" s="105">
        <v>30462</v>
      </c>
      <c r="D9" t="s">
        <v>293</v>
      </c>
      <c r="E9" t="s">
        <v>294</v>
      </c>
      <c r="F9">
        <v>1141093431</v>
      </c>
      <c r="G9" t="s">
        <v>231</v>
      </c>
      <c r="H9" t="s">
        <v>295</v>
      </c>
      <c r="I9" t="s">
        <v>296</v>
      </c>
      <c r="K9" t="s">
        <v>297</v>
      </c>
      <c r="L9" t="s">
        <v>298</v>
      </c>
      <c r="M9" t="s">
        <v>298</v>
      </c>
      <c r="N9" t="s">
        <v>298</v>
      </c>
      <c r="O9" t="s">
        <v>237</v>
      </c>
      <c r="P9" t="s">
        <v>237</v>
      </c>
      <c r="Q9" t="s">
        <v>237</v>
      </c>
      <c r="R9" t="s">
        <v>237</v>
      </c>
      <c r="AD9" t="s">
        <v>299</v>
      </c>
      <c r="AE9" t="s">
        <v>503</v>
      </c>
    </row>
    <row r="10" spans="1:31">
      <c r="A10" s="123">
        <v>43549.902546296296</v>
      </c>
      <c r="B10" t="s">
        <v>300</v>
      </c>
      <c r="C10" s="105">
        <v>36609</v>
      </c>
      <c r="D10" t="s">
        <v>301</v>
      </c>
      <c r="E10">
        <v>11979905115</v>
      </c>
      <c r="F10">
        <v>11979905115</v>
      </c>
      <c r="G10" t="s">
        <v>241</v>
      </c>
      <c r="H10" t="s">
        <v>302</v>
      </c>
      <c r="I10" t="s">
        <v>243</v>
      </c>
      <c r="J10" t="s">
        <v>231</v>
      </c>
      <c r="K10" t="s">
        <v>303</v>
      </c>
      <c r="L10" t="s">
        <v>304</v>
      </c>
      <c r="M10" t="s">
        <v>233</v>
      </c>
      <c r="N10" t="s">
        <v>233</v>
      </c>
      <c r="O10" t="s">
        <v>116</v>
      </c>
      <c r="P10" t="s">
        <v>261</v>
      </c>
      <c r="Q10" t="s">
        <v>114</v>
      </c>
      <c r="R10" t="s">
        <v>216</v>
      </c>
      <c r="U10" t="s">
        <v>305</v>
      </c>
      <c r="X10" t="s">
        <v>306</v>
      </c>
      <c r="AB10" t="s">
        <v>307</v>
      </c>
      <c r="AC10" t="s">
        <v>308</v>
      </c>
      <c r="AD10" t="s">
        <v>239</v>
      </c>
      <c r="AE10" t="s">
        <v>503</v>
      </c>
    </row>
    <row r="11" spans="1:31">
      <c r="A11" s="123">
        <v>43549.91333333333</v>
      </c>
      <c r="B11" t="s">
        <v>309</v>
      </c>
      <c r="C11" s="105">
        <v>34959</v>
      </c>
      <c r="D11" t="s">
        <v>310</v>
      </c>
      <c r="E11">
        <v>11940599696</v>
      </c>
      <c r="G11" t="s">
        <v>311</v>
      </c>
      <c r="H11" t="s">
        <v>278</v>
      </c>
      <c r="I11" t="s">
        <v>243</v>
      </c>
      <c r="J11" t="s">
        <v>286</v>
      </c>
      <c r="K11" t="s">
        <v>272</v>
      </c>
      <c r="L11" t="s">
        <v>312</v>
      </c>
      <c r="M11" t="s">
        <v>313</v>
      </c>
      <c r="N11" t="s">
        <v>314</v>
      </c>
      <c r="O11" t="s">
        <v>236</v>
      </c>
      <c r="P11" t="s">
        <v>261</v>
      </c>
      <c r="Q11" t="s">
        <v>237</v>
      </c>
      <c r="R11" t="s">
        <v>237</v>
      </c>
      <c r="AC11" t="s">
        <v>315</v>
      </c>
      <c r="AD11" t="s">
        <v>239</v>
      </c>
      <c r="AE11" t="s">
        <v>503</v>
      </c>
    </row>
    <row r="12" spans="1:31">
      <c r="A12" s="123">
        <v>43549.916909722226</v>
      </c>
      <c r="B12" t="s">
        <v>316</v>
      </c>
      <c r="C12" s="105">
        <v>24190</v>
      </c>
      <c r="D12" t="s">
        <v>317</v>
      </c>
      <c r="E12" t="s">
        <v>318</v>
      </c>
      <c r="G12" t="s">
        <v>319</v>
      </c>
      <c r="H12" t="s">
        <v>320</v>
      </c>
      <c r="I12" t="s">
        <v>243</v>
      </c>
      <c r="J12" t="s">
        <v>231</v>
      </c>
      <c r="K12" t="s">
        <v>272</v>
      </c>
      <c r="L12" t="s">
        <v>321</v>
      </c>
      <c r="M12" t="s">
        <v>322</v>
      </c>
      <c r="N12" t="s">
        <v>323</v>
      </c>
      <c r="O12" t="s">
        <v>236</v>
      </c>
      <c r="P12" t="s">
        <v>246</v>
      </c>
      <c r="Q12" t="s">
        <v>324</v>
      </c>
      <c r="R12" t="s">
        <v>214</v>
      </c>
      <c r="S12" t="s">
        <v>325</v>
      </c>
      <c r="T12" t="s">
        <v>237</v>
      </c>
      <c r="U12" t="s">
        <v>326</v>
      </c>
      <c r="V12" t="s">
        <v>327</v>
      </c>
      <c r="W12" t="s">
        <v>237</v>
      </c>
      <c r="Y12" t="s">
        <v>328</v>
      </c>
      <c r="Z12" t="s">
        <v>237</v>
      </c>
      <c r="AA12" t="s">
        <v>237</v>
      </c>
      <c r="AB12" t="s">
        <v>329</v>
      </c>
      <c r="AC12" t="s">
        <v>330</v>
      </c>
      <c r="AD12" t="s">
        <v>233</v>
      </c>
      <c r="AE12" t="s">
        <v>503</v>
      </c>
    </row>
    <row r="13" spans="1:31">
      <c r="A13" s="123">
        <v>43549.917928240742</v>
      </c>
      <c r="B13" t="s">
        <v>331</v>
      </c>
      <c r="C13" s="105">
        <v>25467</v>
      </c>
      <c r="D13" t="s">
        <v>332</v>
      </c>
      <c r="E13" t="s">
        <v>333</v>
      </c>
      <c r="F13" t="s">
        <v>334</v>
      </c>
      <c r="G13" t="s">
        <v>270</v>
      </c>
      <c r="H13" t="s">
        <v>278</v>
      </c>
      <c r="I13" t="s">
        <v>230</v>
      </c>
      <c r="J13" t="s">
        <v>243</v>
      </c>
      <c r="K13" t="s">
        <v>272</v>
      </c>
      <c r="L13" t="s">
        <v>335</v>
      </c>
      <c r="M13" t="s">
        <v>336</v>
      </c>
      <c r="N13" t="s">
        <v>337</v>
      </c>
      <c r="O13" t="s">
        <v>236</v>
      </c>
      <c r="P13" t="s">
        <v>114</v>
      </c>
      <c r="Q13" t="s">
        <v>338</v>
      </c>
      <c r="R13" t="s">
        <v>237</v>
      </c>
      <c r="V13" t="s">
        <v>339</v>
      </c>
      <c r="X13" t="s">
        <v>340</v>
      </c>
      <c r="AB13" t="s">
        <v>287</v>
      </c>
      <c r="AC13" t="s">
        <v>341</v>
      </c>
      <c r="AD13" t="s">
        <v>299</v>
      </c>
      <c r="AE13" t="s">
        <v>503</v>
      </c>
    </row>
    <row r="14" spans="1:31">
      <c r="A14" s="123">
        <v>43549.9215625</v>
      </c>
      <c r="B14" t="s">
        <v>342</v>
      </c>
      <c r="C14" s="105">
        <v>26179</v>
      </c>
      <c r="D14" t="s">
        <v>343</v>
      </c>
      <c r="E14">
        <v>998882734</v>
      </c>
      <c r="F14" t="s">
        <v>344</v>
      </c>
      <c r="G14" t="s">
        <v>290</v>
      </c>
      <c r="H14" t="s">
        <v>345</v>
      </c>
      <c r="I14" t="s">
        <v>346</v>
      </c>
      <c r="J14" t="s">
        <v>231</v>
      </c>
      <c r="K14" t="s">
        <v>272</v>
      </c>
      <c r="L14" t="s">
        <v>347</v>
      </c>
      <c r="M14" t="s">
        <v>348</v>
      </c>
      <c r="N14" t="s">
        <v>349</v>
      </c>
      <c r="O14" t="s">
        <v>236</v>
      </c>
      <c r="P14" t="s">
        <v>261</v>
      </c>
      <c r="Q14" t="s">
        <v>113</v>
      </c>
      <c r="R14" t="s">
        <v>237</v>
      </c>
      <c r="S14" t="s">
        <v>350</v>
      </c>
      <c r="T14" t="s">
        <v>351</v>
      </c>
      <c r="U14" t="s">
        <v>352</v>
      </c>
      <c r="V14" t="s">
        <v>353</v>
      </c>
      <c r="W14" t="s">
        <v>354</v>
      </c>
      <c r="X14" t="s">
        <v>355</v>
      </c>
      <c r="Y14" t="s">
        <v>356</v>
      </c>
      <c r="Z14" t="s">
        <v>357</v>
      </c>
      <c r="AA14" t="s">
        <v>358</v>
      </c>
      <c r="AB14" t="s">
        <v>359</v>
      </c>
      <c r="AC14" t="s">
        <v>360</v>
      </c>
      <c r="AD14" t="s">
        <v>233</v>
      </c>
      <c r="AE14" t="s">
        <v>503</v>
      </c>
    </row>
    <row r="15" spans="1:31">
      <c r="A15" s="123">
        <v>43549.925555555557</v>
      </c>
      <c r="B15" t="s">
        <v>361</v>
      </c>
      <c r="C15" s="105">
        <v>36616</v>
      </c>
      <c r="D15" t="s">
        <v>362</v>
      </c>
      <c r="E15">
        <v>11961800900</v>
      </c>
      <c r="G15" t="s">
        <v>241</v>
      </c>
      <c r="H15" t="s">
        <v>363</v>
      </c>
      <c r="I15" t="s">
        <v>364</v>
      </c>
      <c r="J15" t="s">
        <v>231</v>
      </c>
      <c r="K15" t="s">
        <v>272</v>
      </c>
      <c r="L15" t="s">
        <v>298</v>
      </c>
      <c r="M15" t="s">
        <v>365</v>
      </c>
      <c r="N15" t="s">
        <v>298</v>
      </c>
      <c r="O15" t="s">
        <v>113</v>
      </c>
      <c r="P15" t="s">
        <v>53</v>
      </c>
      <c r="Q15" t="s">
        <v>114</v>
      </c>
      <c r="R15" t="s">
        <v>237</v>
      </c>
      <c r="AD15" t="s">
        <v>299</v>
      </c>
      <c r="AE15" t="s">
        <v>503</v>
      </c>
    </row>
    <row r="16" spans="1:31">
      <c r="A16" s="123">
        <v>43549.927881944444</v>
      </c>
      <c r="B16" t="s">
        <v>366</v>
      </c>
      <c r="C16" s="105">
        <v>28403</v>
      </c>
      <c r="D16" t="s">
        <v>367</v>
      </c>
      <c r="E16">
        <v>11983007432</v>
      </c>
      <c r="G16" t="s">
        <v>290</v>
      </c>
      <c r="H16" t="s">
        <v>368</v>
      </c>
      <c r="I16" t="s">
        <v>243</v>
      </c>
      <c r="J16" t="s">
        <v>286</v>
      </c>
      <c r="K16" t="s">
        <v>297</v>
      </c>
      <c r="L16" t="s">
        <v>298</v>
      </c>
      <c r="M16" t="s">
        <v>369</v>
      </c>
      <c r="N16" t="s">
        <v>298</v>
      </c>
      <c r="O16" t="s">
        <v>236</v>
      </c>
      <c r="P16" t="s">
        <v>261</v>
      </c>
      <c r="Q16" t="s">
        <v>113</v>
      </c>
      <c r="R16" t="s">
        <v>214</v>
      </c>
      <c r="S16" t="s">
        <v>370</v>
      </c>
      <c r="T16" t="s">
        <v>371</v>
      </c>
      <c r="V16" t="s">
        <v>372</v>
      </c>
      <c r="X16" t="s">
        <v>373</v>
      </c>
      <c r="AB16" t="s">
        <v>374</v>
      </c>
      <c r="AC16" t="s">
        <v>375</v>
      </c>
      <c r="AD16" t="s">
        <v>239</v>
      </c>
      <c r="AE16" t="s">
        <v>503</v>
      </c>
    </row>
    <row r="17" spans="1:31">
      <c r="A17" s="123">
        <v>43549.934756944444</v>
      </c>
      <c r="B17" t="s">
        <v>376</v>
      </c>
      <c r="C17" s="105">
        <v>27804</v>
      </c>
      <c r="D17" t="s">
        <v>377</v>
      </c>
      <c r="E17">
        <v>11994428356</v>
      </c>
      <c r="F17">
        <v>11985314678</v>
      </c>
      <c r="G17" t="s">
        <v>270</v>
      </c>
      <c r="H17" t="s">
        <v>378</v>
      </c>
      <c r="I17" t="s">
        <v>243</v>
      </c>
      <c r="J17" t="s">
        <v>231</v>
      </c>
      <c r="K17" t="s">
        <v>272</v>
      </c>
      <c r="L17" t="s">
        <v>233</v>
      </c>
      <c r="M17" t="s">
        <v>379</v>
      </c>
      <c r="N17" t="s">
        <v>233</v>
      </c>
      <c r="O17" t="s">
        <v>236</v>
      </c>
      <c r="P17" t="s">
        <v>114</v>
      </c>
      <c r="Q17" t="s">
        <v>237</v>
      </c>
      <c r="R17" t="s">
        <v>237</v>
      </c>
      <c r="AD17" t="s">
        <v>233</v>
      </c>
      <c r="AE17" t="s">
        <v>503</v>
      </c>
    </row>
    <row r="18" spans="1:31">
      <c r="A18" s="123">
        <v>43549.959201388891</v>
      </c>
      <c r="B18" t="s">
        <v>380</v>
      </c>
      <c r="C18" s="105">
        <v>26676</v>
      </c>
      <c r="D18" t="s">
        <v>381</v>
      </c>
      <c r="E18">
        <v>11962087786</v>
      </c>
      <c r="F18" t="s">
        <v>382</v>
      </c>
      <c r="G18" t="s">
        <v>290</v>
      </c>
      <c r="H18" t="s">
        <v>383</v>
      </c>
      <c r="I18" t="s">
        <v>243</v>
      </c>
      <c r="J18" t="s">
        <v>231</v>
      </c>
      <c r="K18" t="s">
        <v>384</v>
      </c>
      <c r="L18" t="s">
        <v>385</v>
      </c>
      <c r="M18" t="s">
        <v>386</v>
      </c>
      <c r="N18" t="s">
        <v>387</v>
      </c>
      <c r="O18" t="s">
        <v>236</v>
      </c>
      <c r="P18" t="s">
        <v>246</v>
      </c>
      <c r="Q18" t="s">
        <v>237</v>
      </c>
      <c r="R18" t="s">
        <v>215</v>
      </c>
      <c r="S18" t="s">
        <v>388</v>
      </c>
      <c r="T18" t="s">
        <v>389</v>
      </c>
      <c r="U18" t="s">
        <v>390</v>
      </c>
      <c r="V18" t="s">
        <v>391</v>
      </c>
      <c r="W18" t="s">
        <v>392</v>
      </c>
      <c r="X18" t="s">
        <v>355</v>
      </c>
      <c r="Y18" t="s">
        <v>393</v>
      </c>
      <c r="Z18" t="s">
        <v>394</v>
      </c>
      <c r="AB18" t="s">
        <v>395</v>
      </c>
      <c r="AC18" t="s">
        <v>396</v>
      </c>
      <c r="AD18" t="s">
        <v>299</v>
      </c>
      <c r="AE18" t="s">
        <v>503</v>
      </c>
    </row>
    <row r="19" spans="1:31">
      <c r="A19" s="123">
        <v>43549.960856481484</v>
      </c>
      <c r="B19" t="s">
        <v>397</v>
      </c>
      <c r="C19" s="105">
        <v>25898</v>
      </c>
      <c r="D19" t="s">
        <v>398</v>
      </c>
      <c r="E19">
        <v>996350978</v>
      </c>
      <c r="F19">
        <v>982071685</v>
      </c>
      <c r="G19" t="s">
        <v>399</v>
      </c>
      <c r="H19" t="s">
        <v>400</v>
      </c>
      <c r="I19" t="s">
        <v>286</v>
      </c>
      <c r="J19" t="s">
        <v>286</v>
      </c>
      <c r="K19" t="s">
        <v>272</v>
      </c>
      <c r="L19" t="s">
        <v>233</v>
      </c>
      <c r="M19" t="s">
        <v>233</v>
      </c>
      <c r="N19" t="s">
        <v>401</v>
      </c>
      <c r="O19" t="s">
        <v>113</v>
      </c>
      <c r="P19" t="s">
        <v>261</v>
      </c>
      <c r="Q19" t="s">
        <v>237</v>
      </c>
      <c r="R19" t="s">
        <v>237</v>
      </c>
      <c r="AD19" t="s">
        <v>233</v>
      </c>
      <c r="AE19" t="s">
        <v>503</v>
      </c>
    </row>
    <row r="20" spans="1:31">
      <c r="A20" s="123">
        <v>43550.426840277774</v>
      </c>
      <c r="B20" t="s">
        <v>402</v>
      </c>
      <c r="C20" s="105">
        <v>26959</v>
      </c>
      <c r="D20" t="s">
        <v>403</v>
      </c>
      <c r="E20" s="125">
        <v>11983876111</v>
      </c>
      <c r="F20" s="125">
        <v>11998576610</v>
      </c>
      <c r="G20" t="s">
        <v>311</v>
      </c>
      <c r="H20" t="s">
        <v>404</v>
      </c>
      <c r="I20" t="s">
        <v>243</v>
      </c>
      <c r="J20" t="s">
        <v>231</v>
      </c>
      <c r="K20" t="s">
        <v>272</v>
      </c>
      <c r="L20" t="s">
        <v>405</v>
      </c>
      <c r="M20" t="s">
        <v>406</v>
      </c>
      <c r="N20" t="s">
        <v>407</v>
      </c>
      <c r="O20" t="s">
        <v>236</v>
      </c>
      <c r="P20" t="s">
        <v>53</v>
      </c>
      <c r="Q20" t="s">
        <v>113</v>
      </c>
      <c r="AB20" t="s">
        <v>408</v>
      </c>
      <c r="AC20" t="s">
        <v>409</v>
      </c>
      <c r="AD20" t="s">
        <v>239</v>
      </c>
      <c r="AE20" t="s">
        <v>503</v>
      </c>
    </row>
    <row r="21" spans="1:31">
      <c r="A21" s="123">
        <v>43550.437719907408</v>
      </c>
      <c r="B21" t="s">
        <v>410</v>
      </c>
      <c r="C21" s="105">
        <v>36095</v>
      </c>
      <c r="D21" t="s">
        <v>411</v>
      </c>
      <c r="E21">
        <v>961784709</v>
      </c>
      <c r="G21" t="s">
        <v>311</v>
      </c>
      <c r="H21" t="s">
        <v>412</v>
      </c>
      <c r="I21" t="s">
        <v>243</v>
      </c>
      <c r="J21" t="s">
        <v>286</v>
      </c>
      <c r="K21" t="s">
        <v>272</v>
      </c>
      <c r="O21" t="s">
        <v>116</v>
      </c>
      <c r="P21" t="s">
        <v>114</v>
      </c>
      <c r="Q21" t="s">
        <v>236</v>
      </c>
      <c r="R21" t="s">
        <v>237</v>
      </c>
      <c r="AD21" t="s">
        <v>239</v>
      </c>
      <c r="AE21" t="s">
        <v>503</v>
      </c>
    </row>
    <row r="22" spans="1:31">
      <c r="A22" s="123">
        <v>43550.597141203703</v>
      </c>
      <c r="B22" t="s">
        <v>413</v>
      </c>
      <c r="C22" s="105">
        <v>37298</v>
      </c>
      <c r="D22" t="s">
        <v>414</v>
      </c>
      <c r="E22">
        <v>11983382690</v>
      </c>
      <c r="F22">
        <v>1127037779</v>
      </c>
      <c r="G22" t="s">
        <v>241</v>
      </c>
      <c r="H22" t="s">
        <v>302</v>
      </c>
      <c r="I22" t="s">
        <v>243</v>
      </c>
      <c r="J22">
        <v>35</v>
      </c>
      <c r="K22" t="s">
        <v>272</v>
      </c>
      <c r="L22" t="s">
        <v>233</v>
      </c>
      <c r="M22" t="s">
        <v>233</v>
      </c>
      <c r="N22" t="s">
        <v>233</v>
      </c>
      <c r="O22" t="s">
        <v>113</v>
      </c>
      <c r="P22" t="s">
        <v>53</v>
      </c>
      <c r="Q22" t="s">
        <v>237</v>
      </c>
      <c r="R22" t="s">
        <v>237</v>
      </c>
      <c r="AD22" t="s">
        <v>233</v>
      </c>
      <c r="AE22" t="s">
        <v>503</v>
      </c>
    </row>
    <row r="23" spans="1:31">
      <c r="A23" s="123">
        <v>43550.646249999998</v>
      </c>
      <c r="B23" t="s">
        <v>415</v>
      </c>
      <c r="C23" s="105">
        <v>18648</v>
      </c>
      <c r="D23" t="s">
        <v>416</v>
      </c>
      <c r="E23" s="125">
        <v>11998576610</v>
      </c>
      <c r="F23" s="125">
        <v>11983876111</v>
      </c>
      <c r="G23" t="s">
        <v>399</v>
      </c>
      <c r="H23" t="s">
        <v>404</v>
      </c>
      <c r="I23" t="s">
        <v>243</v>
      </c>
      <c r="J23" t="s">
        <v>231</v>
      </c>
      <c r="K23" t="s">
        <v>272</v>
      </c>
      <c r="L23" t="s">
        <v>233</v>
      </c>
      <c r="M23" t="s">
        <v>406</v>
      </c>
      <c r="N23" t="s">
        <v>417</v>
      </c>
      <c r="O23" t="s">
        <v>116</v>
      </c>
      <c r="P23" t="s">
        <v>53</v>
      </c>
      <c r="Q23" t="s">
        <v>261</v>
      </c>
      <c r="AD23" t="s">
        <v>239</v>
      </c>
      <c r="AE23" t="s">
        <v>503</v>
      </c>
    </row>
    <row r="24" spans="1:31">
      <c r="A24" s="123">
        <v>43550.651319444441</v>
      </c>
      <c r="B24" t="s">
        <v>418</v>
      </c>
      <c r="C24" s="105">
        <v>31307</v>
      </c>
      <c r="D24" t="s">
        <v>419</v>
      </c>
      <c r="E24">
        <v>11998517334</v>
      </c>
      <c r="G24" t="s">
        <v>241</v>
      </c>
      <c r="H24" t="s">
        <v>420</v>
      </c>
      <c r="I24" t="s">
        <v>421</v>
      </c>
      <c r="J24" t="s">
        <v>231</v>
      </c>
      <c r="K24" t="s">
        <v>422</v>
      </c>
      <c r="L24" t="s">
        <v>233</v>
      </c>
      <c r="M24" t="s">
        <v>423</v>
      </c>
      <c r="N24" t="s">
        <v>233</v>
      </c>
      <c r="O24" t="s">
        <v>116</v>
      </c>
      <c r="P24" t="s">
        <v>114</v>
      </c>
      <c r="Q24" t="s">
        <v>53</v>
      </c>
      <c r="AB24" t="s">
        <v>424</v>
      </c>
      <c r="AD24" t="s">
        <v>239</v>
      </c>
      <c r="AE24" t="s">
        <v>503</v>
      </c>
    </row>
    <row r="25" spans="1:31" ht="28.5">
      <c r="A25" s="123">
        <v>43550.858101851853</v>
      </c>
      <c r="B25" t="s">
        <v>425</v>
      </c>
      <c r="C25" s="105">
        <v>37235</v>
      </c>
      <c r="D25" s="124" t="s">
        <v>426</v>
      </c>
      <c r="E25">
        <v>11967612466</v>
      </c>
      <c r="F25">
        <v>11967612466</v>
      </c>
      <c r="G25" t="s">
        <v>231</v>
      </c>
      <c r="H25" t="s">
        <v>320</v>
      </c>
      <c r="I25" t="s">
        <v>243</v>
      </c>
      <c r="J25" t="s">
        <v>286</v>
      </c>
      <c r="K25" t="s">
        <v>272</v>
      </c>
      <c r="L25" t="s">
        <v>298</v>
      </c>
      <c r="M25" t="s">
        <v>298</v>
      </c>
      <c r="N25" t="s">
        <v>298</v>
      </c>
      <c r="O25" t="s">
        <v>116</v>
      </c>
      <c r="P25" t="s">
        <v>261</v>
      </c>
      <c r="Q25" t="s">
        <v>237</v>
      </c>
      <c r="R25" t="s">
        <v>237</v>
      </c>
      <c r="Y25" t="s">
        <v>427</v>
      </c>
      <c r="AB25" t="s">
        <v>428</v>
      </c>
      <c r="AD25" t="s">
        <v>239</v>
      </c>
      <c r="AE25" t="s">
        <v>503</v>
      </c>
    </row>
    <row r="26" spans="1:31">
      <c r="A26" s="123">
        <v>43551.425381944442</v>
      </c>
      <c r="B26" t="s">
        <v>418</v>
      </c>
      <c r="C26" s="105">
        <v>31307</v>
      </c>
      <c r="D26" t="s">
        <v>419</v>
      </c>
      <c r="E26">
        <v>11998517334</v>
      </c>
      <c r="G26" t="s">
        <v>241</v>
      </c>
      <c r="H26" t="s">
        <v>420</v>
      </c>
      <c r="I26" t="s">
        <v>421</v>
      </c>
      <c r="J26" t="s">
        <v>231</v>
      </c>
      <c r="K26" t="s">
        <v>422</v>
      </c>
      <c r="L26" t="s">
        <v>233</v>
      </c>
      <c r="M26" t="s">
        <v>423</v>
      </c>
      <c r="N26" t="s">
        <v>233</v>
      </c>
      <c r="O26" t="s">
        <v>116</v>
      </c>
      <c r="P26" t="s">
        <v>114</v>
      </c>
      <c r="Q26" t="s">
        <v>53</v>
      </c>
      <c r="AB26" t="s">
        <v>424</v>
      </c>
      <c r="AD26" t="s">
        <v>239</v>
      </c>
      <c r="AE26" t="s">
        <v>503</v>
      </c>
    </row>
    <row r="27" spans="1:31">
      <c r="A27" s="123">
        <v>43551.494895833333</v>
      </c>
      <c r="B27" t="s">
        <v>429</v>
      </c>
      <c r="C27" s="105">
        <v>23475</v>
      </c>
      <c r="D27" t="s">
        <v>430</v>
      </c>
      <c r="E27">
        <v>955771888</v>
      </c>
      <c r="G27" t="s">
        <v>270</v>
      </c>
      <c r="H27" t="s">
        <v>431</v>
      </c>
      <c r="I27" t="s">
        <v>432</v>
      </c>
      <c r="J27" t="s">
        <v>286</v>
      </c>
      <c r="K27" t="s">
        <v>272</v>
      </c>
      <c r="L27" t="s">
        <v>233</v>
      </c>
      <c r="M27" t="s">
        <v>233</v>
      </c>
      <c r="N27" t="s">
        <v>233</v>
      </c>
      <c r="O27" t="s">
        <v>116</v>
      </c>
      <c r="P27" t="s">
        <v>114</v>
      </c>
      <c r="Q27" t="s">
        <v>237</v>
      </c>
      <c r="AD27" t="s">
        <v>233</v>
      </c>
      <c r="AE27" t="s">
        <v>503</v>
      </c>
    </row>
    <row r="28" spans="1:31">
      <c r="A28" s="123">
        <v>43569.96429398148</v>
      </c>
      <c r="B28" t="s">
        <v>433</v>
      </c>
      <c r="C28" s="105">
        <v>31909</v>
      </c>
      <c r="D28" t="s">
        <v>434</v>
      </c>
      <c r="E28">
        <v>11968571925</v>
      </c>
      <c r="F28">
        <v>1144610257</v>
      </c>
      <c r="G28" t="s">
        <v>311</v>
      </c>
      <c r="H28" t="s">
        <v>229</v>
      </c>
      <c r="I28" t="s">
        <v>230</v>
      </c>
      <c r="J28" t="s">
        <v>435</v>
      </c>
      <c r="K28" t="s">
        <v>436</v>
      </c>
      <c r="L28" t="s">
        <v>437</v>
      </c>
      <c r="M28" t="s">
        <v>438</v>
      </c>
      <c r="N28" t="s">
        <v>439</v>
      </c>
      <c r="O28" t="s">
        <v>236</v>
      </c>
      <c r="P28" t="s">
        <v>261</v>
      </c>
      <c r="Q28" t="s">
        <v>113</v>
      </c>
      <c r="AD28" t="s">
        <v>239</v>
      </c>
      <c r="AE28" t="s">
        <v>504</v>
      </c>
    </row>
  </sheetData>
  <autoFilter ref="A1:AD28"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B44"/>
  <sheetViews>
    <sheetView workbookViewId="0"/>
  </sheetViews>
  <sheetFormatPr defaultRowHeight="14.25"/>
  <cols>
    <col min="1" max="2" width="18.875" customWidth="1"/>
  </cols>
  <sheetData>
    <row r="2" spans="1:2">
      <c r="A2" s="156" t="s">
        <v>542</v>
      </c>
      <c r="B2" s="156" t="s">
        <v>543</v>
      </c>
    </row>
    <row r="3" spans="1:2">
      <c r="A3" s="156">
        <v>29</v>
      </c>
      <c r="B3" s="156" t="s">
        <v>136</v>
      </c>
    </row>
    <row r="4" spans="1:2">
      <c r="A4" s="156">
        <v>39</v>
      </c>
      <c r="B4" s="156" t="s">
        <v>137</v>
      </c>
    </row>
    <row r="5" spans="1:2">
      <c r="A5" s="156">
        <v>1</v>
      </c>
      <c r="B5" s="156" t="s">
        <v>15</v>
      </c>
    </row>
    <row r="6" spans="1:2">
      <c r="A6" s="156">
        <v>2</v>
      </c>
      <c r="B6" s="156" t="s">
        <v>16</v>
      </c>
    </row>
    <row r="7" spans="1:2">
      <c r="A7" s="156">
        <v>36</v>
      </c>
      <c r="B7" s="156" t="s">
        <v>139</v>
      </c>
    </row>
    <row r="8" spans="1:2">
      <c r="A8" s="156">
        <v>3</v>
      </c>
      <c r="B8" s="156" t="s">
        <v>17</v>
      </c>
    </row>
    <row r="9" spans="1:2">
      <c r="A9" s="156">
        <v>17</v>
      </c>
      <c r="B9" s="156" t="s">
        <v>140</v>
      </c>
    </row>
    <row r="10" spans="1:2">
      <c r="A10" s="156">
        <v>18</v>
      </c>
      <c r="B10" s="156" t="s">
        <v>110</v>
      </c>
    </row>
    <row r="11" spans="1:2">
      <c r="A11" s="156">
        <v>4</v>
      </c>
      <c r="B11" s="156" t="s">
        <v>18</v>
      </c>
    </row>
    <row r="12" spans="1:2">
      <c r="A12" s="156">
        <v>41</v>
      </c>
      <c r="B12" s="156" t="s">
        <v>122</v>
      </c>
    </row>
    <row r="13" spans="1:2">
      <c r="A13" s="156">
        <v>5</v>
      </c>
      <c r="B13" s="156" t="s">
        <v>81</v>
      </c>
    </row>
    <row r="14" spans="1:2">
      <c r="A14" s="156">
        <v>33</v>
      </c>
      <c r="B14" s="156" t="s">
        <v>138</v>
      </c>
    </row>
    <row r="15" spans="1:2">
      <c r="A15" s="156">
        <v>32</v>
      </c>
      <c r="B15" s="156" t="s">
        <v>141</v>
      </c>
    </row>
    <row r="16" spans="1:2">
      <c r="A16" s="156">
        <v>34</v>
      </c>
      <c r="B16" s="156" t="s">
        <v>142</v>
      </c>
    </row>
    <row r="17" spans="1:2">
      <c r="A17" s="156">
        <v>6</v>
      </c>
      <c r="B17" s="156" t="s">
        <v>101</v>
      </c>
    </row>
    <row r="18" spans="1:2">
      <c r="A18" s="156">
        <v>38</v>
      </c>
      <c r="B18" s="156" t="s">
        <v>143</v>
      </c>
    </row>
    <row r="19" spans="1:2">
      <c r="A19" s="156">
        <v>43</v>
      </c>
      <c r="B19" s="156" t="s">
        <v>544</v>
      </c>
    </row>
    <row r="20" spans="1:2">
      <c r="A20" s="156">
        <v>7</v>
      </c>
      <c r="B20" s="156" t="s">
        <v>90</v>
      </c>
    </row>
    <row r="21" spans="1:2">
      <c r="A21" s="156">
        <v>37</v>
      </c>
      <c r="B21" s="156" t="s">
        <v>125</v>
      </c>
    </row>
    <row r="22" spans="1:2">
      <c r="A22" s="156">
        <v>8</v>
      </c>
      <c r="B22" s="156" t="s">
        <v>91</v>
      </c>
    </row>
    <row r="23" spans="1:2">
      <c r="A23" s="156">
        <v>10</v>
      </c>
      <c r="B23" s="156" t="s">
        <v>144</v>
      </c>
    </row>
    <row r="24" spans="1:2">
      <c r="A24" s="156">
        <v>9</v>
      </c>
      <c r="B24" s="156" t="s">
        <v>19</v>
      </c>
    </row>
    <row r="25" spans="1:2">
      <c r="A25" s="156">
        <v>11</v>
      </c>
      <c r="B25" s="156" t="s">
        <v>27</v>
      </c>
    </row>
    <row r="26" spans="1:2">
      <c r="A26" s="156">
        <v>28</v>
      </c>
      <c r="B26" s="156" t="s">
        <v>111</v>
      </c>
    </row>
    <row r="27" spans="1:2">
      <c r="A27" s="156">
        <v>12</v>
      </c>
      <c r="B27" s="156" t="s">
        <v>97</v>
      </c>
    </row>
    <row r="28" spans="1:2">
      <c r="A28" s="156">
        <v>13</v>
      </c>
      <c r="B28" s="156" t="s">
        <v>130</v>
      </c>
    </row>
    <row r="29" spans="1:2">
      <c r="A29" s="156">
        <v>14</v>
      </c>
      <c r="B29" s="156" t="s">
        <v>21</v>
      </c>
    </row>
    <row r="30" spans="1:2">
      <c r="A30" s="156">
        <v>16</v>
      </c>
      <c r="B30" s="156" t="s">
        <v>82</v>
      </c>
    </row>
    <row r="31" spans="1:2">
      <c r="A31" s="156">
        <v>15</v>
      </c>
      <c r="B31" s="156" t="s">
        <v>78</v>
      </c>
    </row>
    <row r="32" spans="1:2">
      <c r="A32" s="156">
        <v>19</v>
      </c>
      <c r="B32" s="156" t="s">
        <v>22</v>
      </c>
    </row>
    <row r="33" spans="1:2">
      <c r="A33" s="156">
        <v>31</v>
      </c>
      <c r="B33" s="156" t="s">
        <v>145</v>
      </c>
    </row>
    <row r="34" spans="1:2">
      <c r="A34" s="156">
        <v>42</v>
      </c>
      <c r="B34" s="156" t="s">
        <v>146</v>
      </c>
    </row>
    <row r="35" spans="1:2">
      <c r="A35" s="156">
        <v>20</v>
      </c>
      <c r="B35" s="156" t="s">
        <v>23</v>
      </c>
    </row>
    <row r="36" spans="1:2">
      <c r="A36" s="156">
        <v>21</v>
      </c>
      <c r="B36" s="156" t="s">
        <v>96</v>
      </c>
    </row>
    <row r="37" spans="1:2">
      <c r="A37" s="156">
        <v>30</v>
      </c>
      <c r="B37" s="156" t="s">
        <v>24</v>
      </c>
    </row>
    <row r="38" spans="1:2">
      <c r="A38" s="156">
        <v>22</v>
      </c>
      <c r="B38" s="156" t="s">
        <v>147</v>
      </c>
    </row>
    <row r="39" spans="1:2">
      <c r="A39" s="156">
        <v>23</v>
      </c>
      <c r="B39" s="156" t="s">
        <v>440</v>
      </c>
    </row>
    <row r="40" spans="1:2">
      <c r="A40" s="156">
        <v>24</v>
      </c>
      <c r="B40" s="156" t="s">
        <v>25</v>
      </c>
    </row>
    <row r="41" spans="1:2">
      <c r="A41" s="156">
        <v>25</v>
      </c>
      <c r="B41" s="156" t="s">
        <v>129</v>
      </c>
    </row>
    <row r="42" spans="1:2">
      <c r="A42" s="156">
        <v>35</v>
      </c>
      <c r="B42" s="156" t="s">
        <v>121</v>
      </c>
    </row>
    <row r="43" spans="1:2">
      <c r="A43" s="156">
        <v>26</v>
      </c>
      <c r="B43" s="156" t="s">
        <v>133</v>
      </c>
    </row>
    <row r="44" spans="1:2">
      <c r="A44" s="156">
        <v>27</v>
      </c>
      <c r="B44" s="156" t="s">
        <v>126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29</vt:i4>
      </vt:variant>
      <vt:variant>
        <vt:lpstr>Intervalos nomeados</vt:lpstr>
      </vt:variant>
      <vt:variant>
        <vt:i4>3</vt:i4>
      </vt:variant>
    </vt:vector>
  </HeadingPairs>
  <TitlesOfParts>
    <vt:vector size="32" baseType="lpstr">
      <vt:lpstr>Plan2</vt:lpstr>
      <vt:lpstr>resumo_mens</vt:lpstr>
      <vt:lpstr>mensalidades</vt:lpstr>
      <vt:lpstr>despesas</vt:lpstr>
      <vt:lpstr>Prato</vt:lpstr>
      <vt:lpstr>Eventos e Doações</vt:lpstr>
      <vt:lpstr>eventos</vt:lpstr>
      <vt:lpstr>Praia</vt:lpstr>
      <vt:lpstr>arrecadações</vt:lpstr>
      <vt:lpstr>banho</vt:lpstr>
      <vt:lpstr>descarrego</vt:lpstr>
      <vt:lpstr>despesas (evento)</vt:lpstr>
      <vt:lpstr>saídas</vt:lpstr>
      <vt:lpstr>despesas (limpeza)</vt:lpstr>
      <vt:lpstr>despesas (descartavel)</vt:lpstr>
      <vt:lpstr>despesas (art religi)</vt:lpstr>
      <vt:lpstr>despesas (extra)</vt:lpstr>
      <vt:lpstr>Ficha do Banho</vt:lpstr>
      <vt:lpstr>Ficha de Art Relig</vt:lpstr>
      <vt:lpstr>Ficha descarrego</vt:lpstr>
      <vt:lpstr>Velas_máscara</vt:lpstr>
      <vt:lpstr>Velas</vt:lpstr>
      <vt:lpstr>Resumovelas</vt:lpstr>
      <vt:lpstr>Relatório_velas</vt:lpstr>
      <vt:lpstr>Velas_pagamento</vt:lpstr>
      <vt:lpstr>Rvelas</vt:lpstr>
      <vt:lpstr>Pedido_velas</vt:lpstr>
      <vt:lpstr>Relação_filhos</vt:lpstr>
      <vt:lpstr>Data_base</vt:lpstr>
      <vt:lpstr>resumo_mens!Area_de_impressao</vt:lpstr>
      <vt:lpstr>qtdsemana</vt:lpstr>
      <vt:lpstr>somacusto</vt:lpstr>
    </vt:vector>
  </TitlesOfParts>
  <Company>RedBull GmbH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Zena</dc:creator>
  <cp:lastModifiedBy>Walisson Sobral</cp:lastModifiedBy>
  <cp:lastPrinted>2019-08-20T16:45:44Z</cp:lastPrinted>
  <dcterms:created xsi:type="dcterms:W3CDTF">2014-06-26T11:37:17Z</dcterms:created>
  <dcterms:modified xsi:type="dcterms:W3CDTF">2019-08-20T17:29:16Z</dcterms:modified>
</cp:coreProperties>
</file>