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DeTrabalho"/>
  <bookViews>
    <workbookView xWindow="-120" yWindow="-120" windowWidth="20730" windowHeight="11160" tabRatio="1000" firstSheet="16" activeTab="22"/>
  </bookViews>
  <sheets>
    <sheet name="Plan2" sheetId="38" r:id="rId1"/>
    <sheet name="mensalidades" sheetId="3" r:id="rId2"/>
    <sheet name="resumo_mens" sheetId="1" r:id="rId3"/>
    <sheet name="despesas" sheetId="2" r:id="rId4"/>
    <sheet name="Prato" sheetId="37" r:id="rId5"/>
    <sheet name="Eventos e Doações" sheetId="4" r:id="rId6"/>
    <sheet name="eventos" sheetId="5" r:id="rId7"/>
    <sheet name="Praia" sheetId="23" r:id="rId8"/>
    <sheet name="arrecadações" sheetId="11" r:id="rId9"/>
    <sheet name="banho" sheetId="9" r:id="rId10"/>
    <sheet name="descarrego" sheetId="8" r:id="rId11"/>
    <sheet name="despesas (evento)" sheetId="10" r:id="rId12"/>
    <sheet name="saídas" sheetId="35" r:id="rId13"/>
    <sheet name="despesas (art religi)" sheetId="14" r:id="rId14"/>
    <sheet name="despesas (limpeza)" sheetId="12" r:id="rId15"/>
    <sheet name="despesas (descartavel)" sheetId="13" r:id="rId16"/>
    <sheet name="despesas (extra)" sheetId="15" r:id="rId17"/>
    <sheet name="Ficha do Banho" sheetId="18" r:id="rId18"/>
    <sheet name="Ficha de Art Relig" sheetId="19" r:id="rId19"/>
    <sheet name="Ficha descarrego" sheetId="21" r:id="rId20"/>
    <sheet name="Velas_máscara" sheetId="24" r:id="rId21"/>
    <sheet name="Velas" sheetId="25" r:id="rId22"/>
    <sheet name="Resumovelas" sheetId="26" r:id="rId23"/>
    <sheet name="Relatório_velas" sheetId="28" r:id="rId24"/>
    <sheet name="Velas_pagamento" sheetId="29" r:id="rId25"/>
    <sheet name="Rvelas" sheetId="30" r:id="rId26"/>
    <sheet name="Pedido_velas" sheetId="31" r:id="rId27"/>
    <sheet name="Relação_filhos" sheetId="33" r:id="rId28"/>
    <sheet name="Data_base" sheetId="39" r:id="rId29"/>
  </sheets>
  <definedNames>
    <definedName name="_xlnm._FilterDatabase" localSheetId="8" hidden="1">arrecadações!$B$2:$E$2</definedName>
    <definedName name="_xlnm._FilterDatabase" localSheetId="9" hidden="1">banho!$B$2:$E$686</definedName>
    <definedName name="_xlnm._FilterDatabase" localSheetId="10" hidden="1">descarrego!$B$2:$E$2</definedName>
    <definedName name="_xlnm._FilterDatabase" localSheetId="3" hidden="1">despesas!$B$2:$H$86</definedName>
    <definedName name="_xlnm._FilterDatabase" localSheetId="13" hidden="1">'despesas (art religi)'!$B$2:$H$32</definedName>
    <definedName name="_xlnm._FilterDatabase" localSheetId="15" hidden="1">'despesas (descartavel)'!$B$2:$H$32</definedName>
    <definedName name="_xlnm._FilterDatabase" localSheetId="11" hidden="1">'despesas (evento)'!$B$2:$H$58</definedName>
    <definedName name="_xlnm._FilterDatabase" localSheetId="16" hidden="1">'despesas (extra)'!$B$2:$H$30</definedName>
    <definedName name="_xlnm._FilterDatabase" localSheetId="14" hidden="1">'despesas (limpeza)'!$B$2:$H$30</definedName>
    <definedName name="_xlnm._FilterDatabase" localSheetId="6" hidden="1">eventos!$B$5:$O$58</definedName>
    <definedName name="_xlnm._FilterDatabase" localSheetId="1" hidden="1">mensalidades!$B$2:$I$2</definedName>
    <definedName name="_xlnm._FilterDatabase" localSheetId="26" hidden="1">Pedido_velas!$A$12:$F$33</definedName>
    <definedName name="_xlnm._FilterDatabase" localSheetId="27" hidden="1">Relação_filhos!$A$1:$AD$28</definedName>
    <definedName name="_xlnm._FilterDatabase" localSheetId="2" hidden="1">resumo_mens!$A$15:$O$66</definedName>
    <definedName name="_xlnm._FilterDatabase" localSheetId="12" hidden="1">saídas!$B$2:$I$95</definedName>
    <definedName name="_xlnm._FilterDatabase" localSheetId="21" hidden="1">Velas!$A$7:$AA$49</definedName>
    <definedName name="_xlnm._FilterDatabase" localSheetId="24" hidden="1">Velas_pagamento!$H$9:$K$73</definedName>
    <definedName name="_xlnm.Print_Area" localSheetId="2">resumo_mens!$B$2:$O$66</definedName>
    <definedName name="qtdsemana">Velas!$C$58</definedName>
    <definedName name="somacusto">Velas!$Y$51</definedName>
  </definedName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31" l="1"/>
  <c r="B33" i="31"/>
  <c r="E33" i="31" s="1"/>
  <c r="B32" i="31"/>
  <c r="B31" i="31"/>
  <c r="B30" i="31"/>
  <c r="B29" i="31"/>
  <c r="B28" i="31"/>
  <c r="B27" i="31"/>
  <c r="B26" i="31"/>
  <c r="B25" i="31"/>
  <c r="B24" i="31"/>
  <c r="B23" i="31"/>
  <c r="B22" i="31"/>
  <c r="B21" i="31"/>
  <c r="B20" i="31"/>
  <c r="B19" i="31"/>
  <c r="B18" i="31"/>
  <c r="B17" i="31"/>
  <c r="E17" i="31" s="1"/>
  <c r="B16" i="31"/>
  <c r="B15" i="31"/>
  <c r="E15" i="31" s="1"/>
  <c r="B14" i="31"/>
  <c r="Z51" i="25" l="1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8" i="25"/>
  <c r="S3" i="25"/>
  <c r="S5" i="25" s="1"/>
  <c r="S3" i="24"/>
  <c r="S4" i="24" s="1"/>
  <c r="L179" i="3" l="1"/>
  <c r="B77" i="37" l="1"/>
  <c r="B76" i="37"/>
  <c r="B7" i="23"/>
  <c r="B6" i="23"/>
  <c r="M56" i="35" l="1"/>
  <c r="B4" i="23" l="1"/>
  <c r="B5" i="23"/>
  <c r="B3" i="23"/>
  <c r="J18" i="4" s="1"/>
  <c r="A7" i="9"/>
  <c r="A6" i="9"/>
  <c r="A5" i="9"/>
  <c r="A4" i="9"/>
  <c r="A3" i="9"/>
  <c r="D16" i="4" l="1"/>
  <c r="K16" i="4"/>
  <c r="M18" i="4"/>
  <c r="C18" i="4"/>
  <c r="F18" i="4"/>
  <c r="N18" i="4"/>
  <c r="K18" i="4"/>
  <c r="G18" i="4"/>
  <c r="D18" i="4"/>
  <c r="H18" i="4"/>
  <c r="L18" i="4"/>
  <c r="E18" i="4"/>
  <c r="I18" i="4"/>
  <c r="L16" i="4"/>
  <c r="E16" i="4"/>
  <c r="I16" i="4"/>
  <c r="M16" i="4"/>
  <c r="H16" i="4"/>
  <c r="F16" i="4"/>
  <c r="J16" i="4"/>
  <c r="N16" i="4"/>
  <c r="C16" i="4"/>
  <c r="G16" i="4"/>
  <c r="M6" i="3"/>
  <c r="A13" i="1"/>
  <c r="B13" i="1" s="1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73" i="3"/>
  <c r="B172" i="3"/>
  <c r="B171" i="3"/>
  <c r="B170" i="3"/>
  <c r="B142" i="3"/>
  <c r="B120" i="3"/>
  <c r="B132" i="3"/>
  <c r="B133" i="3"/>
  <c r="B125" i="3"/>
  <c r="B101" i="3"/>
  <c r="B165" i="3"/>
  <c r="B150" i="3"/>
  <c r="B99" i="3"/>
  <c r="B147" i="3"/>
  <c r="B119" i="3"/>
  <c r="B72" i="3"/>
  <c r="B168" i="3"/>
  <c r="B156" i="3"/>
  <c r="B136" i="3"/>
  <c r="B111" i="3"/>
  <c r="B158" i="3"/>
  <c r="B139" i="3"/>
  <c r="B114" i="3"/>
  <c r="B130" i="3"/>
  <c r="B107" i="3"/>
  <c r="B138" i="3"/>
  <c r="B113" i="3"/>
  <c r="B124" i="3"/>
  <c r="B103" i="3"/>
  <c r="B167" i="3"/>
  <c r="B154" i="3"/>
  <c r="B134" i="3"/>
  <c r="B109" i="3"/>
  <c r="B166" i="3"/>
  <c r="B151" i="3"/>
  <c r="B126" i="3"/>
  <c r="B104" i="3"/>
  <c r="B131" i="3"/>
  <c r="B108" i="3"/>
  <c r="B145" i="3"/>
  <c r="B117" i="3"/>
  <c r="B98" i="3"/>
  <c r="B127" i="3"/>
  <c r="B105" i="3"/>
  <c r="B164" i="3"/>
  <c r="B149" i="3"/>
  <c r="B122" i="3"/>
  <c r="B102" i="3"/>
  <c r="B163" i="3"/>
  <c r="B148" i="3"/>
  <c r="B121" i="3"/>
  <c r="B100" i="3"/>
  <c r="B153" i="3"/>
  <c r="B129" i="3"/>
  <c r="B106" i="3"/>
  <c r="B152" i="3"/>
  <c r="B128" i="3"/>
  <c r="B73" i="3"/>
  <c r="B143" i="3"/>
  <c r="B155" i="3"/>
  <c r="B135" i="3"/>
  <c r="B110" i="3"/>
  <c r="B38" i="37"/>
  <c r="B103" i="37"/>
  <c r="M6" i="23"/>
  <c r="P4" i="3" l="1"/>
  <c r="P7" i="3" s="1"/>
  <c r="M9" i="3"/>
  <c r="O18" i="4"/>
  <c r="B25" i="37"/>
  <c r="B3" i="37"/>
  <c r="B18" i="37"/>
  <c r="B37" i="37"/>
  <c r="B57" i="37"/>
  <c r="B58" i="37"/>
  <c r="B72" i="37"/>
  <c r="B17" i="37"/>
  <c r="B34" i="37"/>
  <c r="B52" i="37"/>
  <c r="B53" i="37"/>
  <c r="B36" i="37"/>
  <c r="B56" i="37"/>
  <c r="B70" i="37"/>
  <c r="B71" i="37"/>
  <c r="B16" i="37"/>
  <c r="B51" i="37"/>
  <c r="B46" i="37"/>
  <c r="B67" i="37"/>
  <c r="B68" i="37"/>
  <c r="B30" i="37"/>
  <c r="B47" i="37"/>
  <c r="B69" i="37"/>
  <c r="B22" i="37"/>
  <c r="B42" i="37"/>
  <c r="B63" i="37"/>
  <c r="B73" i="37"/>
  <c r="B24" i="37"/>
  <c r="B43" i="37"/>
  <c r="B64" i="37"/>
  <c r="B74" i="37"/>
  <c r="B12" i="37"/>
  <c r="B29" i="37"/>
  <c r="B45" i="37"/>
  <c r="B66" i="37"/>
  <c r="B5" i="37"/>
  <c r="B20" i="37"/>
  <c r="B40" i="37"/>
  <c r="B60" i="37"/>
  <c r="B28" i="37"/>
  <c r="B11" i="37"/>
  <c r="B26" i="37"/>
  <c r="B44" i="37"/>
  <c r="B54" i="37"/>
  <c r="B14" i="37"/>
  <c r="B31" i="37"/>
  <c r="B48" i="37"/>
  <c r="B35" i="37"/>
  <c r="B55" i="37"/>
  <c r="B61" i="37"/>
  <c r="B8" i="37"/>
  <c r="B21" i="37"/>
  <c r="B41" i="37"/>
  <c r="B62" i="37"/>
  <c r="B65" i="37"/>
  <c r="B75" i="37"/>
  <c r="B9" i="37"/>
  <c r="B23" i="37"/>
  <c r="B27" i="37"/>
  <c r="B50" i="37"/>
  <c r="B15" i="37"/>
  <c r="B32" i="37"/>
  <c r="B49" i="37"/>
  <c r="B4" i="37"/>
  <c r="B19" i="37"/>
  <c r="B39" i="37"/>
  <c r="B59" i="37"/>
  <c r="B6" i="37"/>
  <c r="B7" i="37"/>
  <c r="B78" i="37"/>
  <c r="B79" i="37"/>
  <c r="B80" i="37"/>
  <c r="B81" i="37"/>
  <c r="B82" i="37"/>
  <c r="B83" i="37"/>
  <c r="B84" i="37"/>
  <c r="B85" i="37"/>
  <c r="B86" i="37"/>
  <c r="B87" i="37"/>
  <c r="B88" i="37"/>
  <c r="B89" i="37"/>
  <c r="B90" i="37"/>
  <c r="B91" i="37"/>
  <c r="B92" i="37"/>
  <c r="B93" i="37"/>
  <c r="B94" i="37"/>
  <c r="B95" i="37"/>
  <c r="B96" i="37"/>
  <c r="B97" i="37"/>
  <c r="B98" i="37"/>
  <c r="B99" i="37"/>
  <c r="B100" i="37"/>
  <c r="B101" i="37"/>
  <c r="B102" i="37"/>
  <c r="B10" i="37"/>
  <c r="B4" i="3"/>
  <c r="B5" i="3"/>
  <c r="B7" i="3"/>
  <c r="B6" i="3"/>
  <c r="B9" i="3"/>
  <c r="B8" i="3"/>
  <c r="B10" i="3"/>
  <c r="B11" i="3"/>
  <c r="B12" i="3"/>
  <c r="B13" i="3"/>
  <c r="B19" i="3"/>
  <c r="B18" i="3"/>
  <c r="B15" i="3"/>
  <c r="B16" i="3"/>
  <c r="B21" i="3"/>
  <c r="B22" i="3"/>
  <c r="B24" i="3"/>
  <c r="B26" i="3"/>
  <c r="B32" i="3"/>
  <c r="B33" i="3"/>
  <c r="B27" i="3"/>
  <c r="B29" i="3"/>
  <c r="B30" i="3"/>
  <c r="B31" i="3"/>
  <c r="B25" i="3"/>
  <c r="B28" i="3"/>
  <c r="B23" i="3"/>
  <c r="B39" i="3"/>
  <c r="B36" i="3"/>
  <c r="B37" i="3"/>
  <c r="B38" i="3"/>
  <c r="B45" i="3"/>
  <c r="B42" i="3"/>
  <c r="B43" i="3"/>
  <c r="B41" i="3"/>
  <c r="B40" i="3"/>
  <c r="B44" i="3"/>
  <c r="B52" i="3"/>
  <c r="B54" i="3"/>
  <c r="B48" i="3"/>
  <c r="B53" i="3"/>
  <c r="B55" i="3"/>
  <c r="B57" i="3"/>
  <c r="B56" i="3"/>
  <c r="B58" i="3"/>
  <c r="B59" i="3"/>
  <c r="B17" i="3"/>
  <c r="B20" i="3"/>
  <c r="B14" i="3"/>
  <c r="B35" i="3"/>
  <c r="B34" i="3"/>
  <c r="B87" i="3"/>
  <c r="B85" i="3"/>
  <c r="B83" i="3"/>
  <c r="B49" i="3"/>
  <c r="B51" i="3"/>
  <c r="B46" i="3"/>
  <c r="B47" i="3"/>
  <c r="B50" i="3"/>
  <c r="B64" i="3"/>
  <c r="B63" i="3"/>
  <c r="B62" i="3"/>
  <c r="B60" i="3"/>
  <c r="B61" i="3"/>
  <c r="B65" i="3"/>
  <c r="B67" i="3"/>
  <c r="B70" i="3"/>
  <c r="B69" i="3"/>
  <c r="B68" i="3"/>
  <c r="B66" i="3"/>
  <c r="B78" i="3"/>
  <c r="B81" i="3"/>
  <c r="B79" i="3"/>
  <c r="B82" i="3"/>
  <c r="B80" i="3"/>
  <c r="B92" i="3"/>
  <c r="B86" i="3"/>
  <c r="B84" i="3"/>
  <c r="B74" i="3"/>
  <c r="B77" i="3"/>
  <c r="B75" i="3"/>
  <c r="B88" i="3"/>
  <c r="B89" i="3"/>
  <c r="B90" i="3"/>
  <c r="B91" i="3"/>
  <c r="B93" i="3"/>
  <c r="B94" i="3"/>
  <c r="B76" i="3"/>
  <c r="B96" i="3"/>
  <c r="B95" i="3"/>
  <c r="B3" i="3"/>
  <c r="N17" i="1" l="1"/>
  <c r="N17" i="4"/>
  <c r="J17" i="4"/>
  <c r="F17" i="4"/>
  <c r="E17" i="4"/>
  <c r="L17" i="4"/>
  <c r="D17" i="4"/>
  <c r="K17" i="4"/>
  <c r="M17" i="4"/>
  <c r="I17" i="4"/>
  <c r="H17" i="4"/>
  <c r="G17" i="4"/>
  <c r="C17" i="4"/>
  <c r="N55" i="1"/>
  <c r="J43" i="1"/>
  <c r="L43" i="1"/>
  <c r="L54" i="1"/>
  <c r="H55" i="1"/>
  <c r="M17" i="1"/>
  <c r="I56" i="1"/>
  <c r="C17" i="1"/>
  <c r="J42" i="1"/>
  <c r="M43" i="1"/>
  <c r="H43" i="1"/>
  <c r="J54" i="1"/>
  <c r="H54" i="1"/>
  <c r="J55" i="1"/>
  <c r="E55" i="1"/>
  <c r="D55" i="1"/>
  <c r="F43" i="1"/>
  <c r="J56" i="1"/>
  <c r="I17" i="1"/>
  <c r="E56" i="1"/>
  <c r="D17" i="1"/>
  <c r="D43" i="1"/>
  <c r="K56" i="1"/>
  <c r="C54" i="1"/>
  <c r="C55" i="1"/>
  <c r="H17" i="1"/>
  <c r="F42" i="1"/>
  <c r="I43" i="1"/>
  <c r="K43" i="1"/>
  <c r="M54" i="1"/>
  <c r="K54" i="1"/>
  <c r="F55" i="1"/>
  <c r="E54" i="1"/>
  <c r="K55" i="1"/>
  <c r="J17" i="1"/>
  <c r="F56" i="1"/>
  <c r="E17" i="1"/>
  <c r="D54" i="1"/>
  <c r="L56" i="1"/>
  <c r="K17" i="1"/>
  <c r="G56" i="1"/>
  <c r="N54" i="1"/>
  <c r="C43" i="1"/>
  <c r="I55" i="1"/>
  <c r="N56" i="1"/>
  <c r="D56" i="1"/>
  <c r="E43" i="1"/>
  <c r="G43" i="1"/>
  <c r="I54" i="1"/>
  <c r="G54" i="1"/>
  <c r="M55" i="1"/>
  <c r="L55" i="1"/>
  <c r="G55" i="1"/>
  <c r="F17" i="1"/>
  <c r="F54" i="1"/>
  <c r="M56" i="1"/>
  <c r="L17" i="1"/>
  <c r="H56" i="1"/>
  <c r="G17" i="1"/>
  <c r="C56" i="1"/>
  <c r="N43" i="1"/>
  <c r="C42" i="1"/>
  <c r="M42" i="1"/>
  <c r="H42" i="1"/>
  <c r="D42" i="1"/>
  <c r="L42" i="1"/>
  <c r="I42" i="1"/>
  <c r="K42" i="1"/>
  <c r="N42" i="1"/>
  <c r="E42" i="1"/>
  <c r="G42" i="1"/>
  <c r="K20" i="1"/>
  <c r="L20" i="1"/>
  <c r="F20" i="1"/>
  <c r="M20" i="1"/>
  <c r="H20" i="1"/>
  <c r="C20" i="1"/>
  <c r="I20" i="1"/>
  <c r="D20" i="1"/>
  <c r="N20" i="1"/>
  <c r="E20" i="1"/>
  <c r="J20" i="1"/>
  <c r="G20" i="1"/>
  <c r="F28" i="1"/>
  <c r="J28" i="1"/>
  <c r="N28" i="1"/>
  <c r="F29" i="1"/>
  <c r="J29" i="1"/>
  <c r="N29" i="1"/>
  <c r="F30" i="1"/>
  <c r="J30" i="1"/>
  <c r="N30" i="1"/>
  <c r="F31" i="1"/>
  <c r="J31" i="1"/>
  <c r="N31" i="1"/>
  <c r="F32" i="1"/>
  <c r="J32" i="1"/>
  <c r="N32" i="1"/>
  <c r="F33" i="1"/>
  <c r="J33" i="1"/>
  <c r="N33" i="1"/>
  <c r="F34" i="1"/>
  <c r="J34" i="1"/>
  <c r="N34" i="1"/>
  <c r="F35" i="1"/>
  <c r="J35" i="1"/>
  <c r="N35" i="1"/>
  <c r="F36" i="1"/>
  <c r="J36" i="1"/>
  <c r="N36" i="1"/>
  <c r="F37" i="1"/>
  <c r="J37" i="1"/>
  <c r="N37" i="1"/>
  <c r="F38" i="1"/>
  <c r="J38" i="1"/>
  <c r="N38" i="1"/>
  <c r="F39" i="1"/>
  <c r="J39" i="1"/>
  <c r="N39" i="1"/>
  <c r="F40" i="1"/>
  <c r="J40" i="1"/>
  <c r="N40" i="1"/>
  <c r="F41" i="1"/>
  <c r="J41" i="1"/>
  <c r="N41" i="1"/>
  <c r="F44" i="1"/>
  <c r="J44" i="1"/>
  <c r="N44" i="1"/>
  <c r="F45" i="1"/>
  <c r="J45" i="1"/>
  <c r="N45" i="1"/>
  <c r="F46" i="1"/>
  <c r="J46" i="1"/>
  <c r="N46" i="1"/>
  <c r="F47" i="1"/>
  <c r="J47" i="1"/>
  <c r="N47" i="1"/>
  <c r="F48" i="1"/>
  <c r="J48" i="1"/>
  <c r="N48" i="1"/>
  <c r="F49" i="1"/>
  <c r="J49" i="1"/>
  <c r="N49" i="1"/>
  <c r="F50" i="1"/>
  <c r="J50" i="1"/>
  <c r="N50" i="1"/>
  <c r="F51" i="1"/>
  <c r="J51" i="1"/>
  <c r="N51" i="1"/>
  <c r="F52" i="1"/>
  <c r="J52" i="1"/>
  <c r="N52" i="1"/>
  <c r="F53" i="1"/>
  <c r="J53" i="1"/>
  <c r="N53" i="1"/>
  <c r="F57" i="1"/>
  <c r="J57" i="1"/>
  <c r="N57" i="1"/>
  <c r="F58" i="1"/>
  <c r="J58" i="1"/>
  <c r="N58" i="1"/>
  <c r="F59" i="1"/>
  <c r="J59" i="1"/>
  <c r="N59" i="1"/>
  <c r="F60" i="1"/>
  <c r="J60" i="1"/>
  <c r="N60" i="1"/>
  <c r="F61" i="1"/>
  <c r="C28" i="1"/>
  <c r="G28" i="1"/>
  <c r="K28" i="1"/>
  <c r="C29" i="1"/>
  <c r="G29" i="1"/>
  <c r="K29" i="1"/>
  <c r="C30" i="1"/>
  <c r="G30" i="1"/>
  <c r="K30" i="1"/>
  <c r="C31" i="1"/>
  <c r="G31" i="1"/>
  <c r="K31" i="1"/>
  <c r="C32" i="1"/>
  <c r="G32" i="1"/>
  <c r="K32" i="1"/>
  <c r="C33" i="1"/>
  <c r="G33" i="1"/>
  <c r="K33" i="1"/>
  <c r="C34" i="1"/>
  <c r="G34" i="1"/>
  <c r="K34" i="1"/>
  <c r="C35" i="1"/>
  <c r="G35" i="1"/>
  <c r="K35" i="1"/>
  <c r="C36" i="1"/>
  <c r="G36" i="1"/>
  <c r="K36" i="1"/>
  <c r="C37" i="1"/>
  <c r="G37" i="1"/>
  <c r="K37" i="1"/>
  <c r="C38" i="1"/>
  <c r="G38" i="1"/>
  <c r="K38" i="1"/>
  <c r="C39" i="1"/>
  <c r="G39" i="1"/>
  <c r="K39" i="1"/>
  <c r="C40" i="1"/>
  <c r="G40" i="1"/>
  <c r="K40" i="1"/>
  <c r="C41" i="1"/>
  <c r="G41" i="1"/>
  <c r="K41" i="1"/>
  <c r="C44" i="1"/>
  <c r="G44" i="1"/>
  <c r="K44" i="1"/>
  <c r="C45" i="1"/>
  <c r="G45" i="1"/>
  <c r="K45" i="1"/>
  <c r="C46" i="1"/>
  <c r="G46" i="1"/>
  <c r="K46" i="1"/>
  <c r="C47" i="1"/>
  <c r="G47" i="1"/>
  <c r="K47" i="1"/>
  <c r="C48" i="1"/>
  <c r="G48" i="1"/>
  <c r="K48" i="1"/>
  <c r="C49" i="1"/>
  <c r="G49" i="1"/>
  <c r="K49" i="1"/>
  <c r="C50" i="1"/>
  <c r="G50" i="1"/>
  <c r="K50" i="1"/>
  <c r="C51" i="1"/>
  <c r="G51" i="1"/>
  <c r="K51" i="1"/>
  <c r="C52" i="1"/>
  <c r="G52" i="1"/>
  <c r="D28" i="1"/>
  <c r="H28" i="1"/>
  <c r="L28" i="1"/>
  <c r="D29" i="1"/>
  <c r="H29" i="1"/>
  <c r="L29" i="1"/>
  <c r="D30" i="1"/>
  <c r="H30" i="1"/>
  <c r="L30" i="1"/>
  <c r="D31" i="1"/>
  <c r="H31" i="1"/>
  <c r="L31" i="1"/>
  <c r="D32" i="1"/>
  <c r="H32" i="1"/>
  <c r="L32" i="1"/>
  <c r="D33" i="1"/>
  <c r="H33" i="1"/>
  <c r="L33" i="1"/>
  <c r="D34" i="1"/>
  <c r="H34" i="1"/>
  <c r="L34" i="1"/>
  <c r="D35" i="1"/>
  <c r="H35" i="1"/>
  <c r="L35" i="1"/>
  <c r="D36" i="1"/>
  <c r="H36" i="1"/>
  <c r="L36" i="1"/>
  <c r="D37" i="1"/>
  <c r="H37" i="1"/>
  <c r="L37" i="1"/>
  <c r="D38" i="1"/>
  <c r="H38" i="1"/>
  <c r="L38" i="1"/>
  <c r="D39" i="1"/>
  <c r="H39" i="1"/>
  <c r="L39" i="1"/>
  <c r="D40" i="1"/>
  <c r="H40" i="1"/>
  <c r="L40" i="1"/>
  <c r="D41" i="1"/>
  <c r="H41" i="1"/>
  <c r="L41" i="1"/>
  <c r="D44" i="1"/>
  <c r="H44" i="1"/>
  <c r="L44" i="1"/>
  <c r="D45" i="1"/>
  <c r="H45" i="1"/>
  <c r="L45" i="1"/>
  <c r="D46" i="1"/>
  <c r="H46" i="1"/>
  <c r="L46" i="1"/>
  <c r="D47" i="1"/>
  <c r="H47" i="1"/>
  <c r="L47" i="1"/>
  <c r="D48" i="1"/>
  <c r="H48" i="1"/>
  <c r="L48" i="1"/>
  <c r="D49" i="1"/>
  <c r="H49" i="1"/>
  <c r="L49" i="1"/>
  <c r="D50" i="1"/>
  <c r="H50" i="1"/>
  <c r="L50" i="1"/>
  <c r="D51" i="1"/>
  <c r="H51" i="1"/>
  <c r="L51" i="1"/>
  <c r="D52" i="1"/>
  <c r="H52" i="1"/>
  <c r="L52" i="1"/>
  <c r="D53" i="1"/>
  <c r="H53" i="1"/>
  <c r="L53" i="1"/>
  <c r="D57" i="1"/>
  <c r="H57" i="1"/>
  <c r="L57" i="1"/>
  <c r="D58" i="1"/>
  <c r="H58" i="1"/>
  <c r="L58" i="1"/>
  <c r="D59" i="1"/>
  <c r="H59" i="1"/>
  <c r="L59" i="1"/>
  <c r="D60" i="1"/>
  <c r="H60" i="1"/>
  <c r="L60" i="1"/>
  <c r="D61" i="1"/>
  <c r="E29" i="1"/>
  <c r="I30" i="1"/>
  <c r="M31" i="1"/>
  <c r="E33" i="1"/>
  <c r="I34" i="1"/>
  <c r="M35" i="1"/>
  <c r="E37" i="1"/>
  <c r="I38" i="1"/>
  <c r="M39" i="1"/>
  <c r="E41" i="1"/>
  <c r="I44" i="1"/>
  <c r="M45" i="1"/>
  <c r="E47" i="1"/>
  <c r="I48" i="1"/>
  <c r="M49" i="1"/>
  <c r="E51" i="1"/>
  <c r="I52" i="1"/>
  <c r="E53" i="1"/>
  <c r="M53" i="1"/>
  <c r="I57" i="1"/>
  <c r="E58" i="1"/>
  <c r="M58" i="1"/>
  <c r="I59" i="1"/>
  <c r="E60" i="1"/>
  <c r="M60" i="1"/>
  <c r="H61" i="1"/>
  <c r="L61" i="1"/>
  <c r="D62" i="1"/>
  <c r="H62" i="1"/>
  <c r="L62" i="1"/>
  <c r="D63" i="1"/>
  <c r="H63" i="1"/>
  <c r="L63" i="1"/>
  <c r="D64" i="1"/>
  <c r="H64" i="1"/>
  <c r="L64" i="1"/>
  <c r="D65" i="1"/>
  <c r="H65" i="1"/>
  <c r="L65" i="1"/>
  <c r="D66" i="1"/>
  <c r="H66" i="1"/>
  <c r="L66" i="1"/>
  <c r="D18" i="1"/>
  <c r="H18" i="1"/>
  <c r="L18" i="1"/>
  <c r="D19" i="1"/>
  <c r="H19" i="1"/>
  <c r="L19" i="1"/>
  <c r="D21" i="1"/>
  <c r="H21" i="1"/>
  <c r="L21" i="1"/>
  <c r="D22" i="1"/>
  <c r="H22" i="1"/>
  <c r="L22" i="1"/>
  <c r="D23" i="1"/>
  <c r="H23" i="1"/>
  <c r="L23" i="1"/>
  <c r="D24" i="1"/>
  <c r="H24" i="1"/>
  <c r="L24" i="1"/>
  <c r="D25" i="1"/>
  <c r="H25" i="1"/>
  <c r="L25" i="1"/>
  <c r="D26" i="1"/>
  <c r="H26" i="1"/>
  <c r="L26" i="1"/>
  <c r="D27" i="1"/>
  <c r="H27" i="1"/>
  <c r="L27" i="1"/>
  <c r="M16" i="1"/>
  <c r="I16" i="1"/>
  <c r="E16" i="1"/>
  <c r="G64" i="1"/>
  <c r="G65" i="1"/>
  <c r="G66" i="1"/>
  <c r="G18" i="1"/>
  <c r="G19" i="1"/>
  <c r="C21" i="1"/>
  <c r="C22" i="1"/>
  <c r="E28" i="1"/>
  <c r="I29" i="1"/>
  <c r="M30" i="1"/>
  <c r="E32" i="1"/>
  <c r="I33" i="1"/>
  <c r="M34" i="1"/>
  <c r="E36" i="1"/>
  <c r="I37" i="1"/>
  <c r="M38" i="1"/>
  <c r="E40" i="1"/>
  <c r="I41" i="1"/>
  <c r="M44" i="1"/>
  <c r="E46" i="1"/>
  <c r="I47" i="1"/>
  <c r="M48" i="1"/>
  <c r="E50" i="1"/>
  <c r="I51" i="1"/>
  <c r="K52" i="1"/>
  <c r="G53" i="1"/>
  <c r="C57" i="1"/>
  <c r="K57" i="1"/>
  <c r="G58" i="1"/>
  <c r="C59" i="1"/>
  <c r="K59" i="1"/>
  <c r="G60" i="1"/>
  <c r="C61" i="1"/>
  <c r="I61" i="1"/>
  <c r="M61" i="1"/>
  <c r="E62" i="1"/>
  <c r="I62" i="1"/>
  <c r="M62" i="1"/>
  <c r="E63" i="1"/>
  <c r="I63" i="1"/>
  <c r="M63" i="1"/>
  <c r="E64" i="1"/>
  <c r="I64" i="1"/>
  <c r="M64" i="1"/>
  <c r="E65" i="1"/>
  <c r="I65" i="1"/>
  <c r="M65" i="1"/>
  <c r="E66" i="1"/>
  <c r="I66" i="1"/>
  <c r="M66" i="1"/>
  <c r="E18" i="1"/>
  <c r="I18" i="1"/>
  <c r="M18" i="1"/>
  <c r="E19" i="1"/>
  <c r="I19" i="1"/>
  <c r="M19" i="1"/>
  <c r="E21" i="1"/>
  <c r="I21" i="1"/>
  <c r="M21" i="1"/>
  <c r="E22" i="1"/>
  <c r="I22" i="1"/>
  <c r="M22" i="1"/>
  <c r="E23" i="1"/>
  <c r="I23" i="1"/>
  <c r="M23" i="1"/>
  <c r="E24" i="1"/>
  <c r="I24" i="1"/>
  <c r="M24" i="1"/>
  <c r="E25" i="1"/>
  <c r="I25" i="1"/>
  <c r="M25" i="1"/>
  <c r="E26" i="1"/>
  <c r="I26" i="1"/>
  <c r="M26" i="1"/>
  <c r="E27" i="1"/>
  <c r="I27" i="1"/>
  <c r="M27" i="1"/>
  <c r="L16" i="1"/>
  <c r="H16" i="1"/>
  <c r="D16" i="1"/>
  <c r="G57" i="1"/>
  <c r="G59" i="1"/>
  <c r="K60" i="1"/>
  <c r="K61" i="1"/>
  <c r="G62" i="1"/>
  <c r="C63" i="1"/>
  <c r="K63" i="1"/>
  <c r="K64" i="1"/>
  <c r="C66" i="1"/>
  <c r="C18" i="1"/>
  <c r="C19" i="1"/>
  <c r="G21" i="1"/>
  <c r="I28" i="1"/>
  <c r="M29" i="1"/>
  <c r="E31" i="1"/>
  <c r="I32" i="1"/>
  <c r="M33" i="1"/>
  <c r="E35" i="1"/>
  <c r="I36" i="1"/>
  <c r="M37" i="1"/>
  <c r="E39" i="1"/>
  <c r="I40" i="1"/>
  <c r="M41" i="1"/>
  <c r="E45" i="1"/>
  <c r="I46" i="1"/>
  <c r="M47" i="1"/>
  <c r="E49" i="1"/>
  <c r="I50" i="1"/>
  <c r="M51" i="1"/>
  <c r="M52" i="1"/>
  <c r="I53" i="1"/>
  <c r="E57" i="1"/>
  <c r="M57" i="1"/>
  <c r="I58" i="1"/>
  <c r="E59" i="1"/>
  <c r="M59" i="1"/>
  <c r="I60" i="1"/>
  <c r="E61" i="1"/>
  <c r="J61" i="1"/>
  <c r="N61" i="1"/>
  <c r="F62" i="1"/>
  <c r="J62" i="1"/>
  <c r="N62" i="1"/>
  <c r="F63" i="1"/>
  <c r="J63" i="1"/>
  <c r="N63" i="1"/>
  <c r="F64" i="1"/>
  <c r="J64" i="1"/>
  <c r="N64" i="1"/>
  <c r="F65" i="1"/>
  <c r="J65" i="1"/>
  <c r="N65" i="1"/>
  <c r="F66" i="1"/>
  <c r="J66" i="1"/>
  <c r="N66" i="1"/>
  <c r="F18" i="1"/>
  <c r="J18" i="1"/>
  <c r="N18" i="1"/>
  <c r="F19" i="1"/>
  <c r="J19" i="1"/>
  <c r="N19" i="1"/>
  <c r="F21" i="1"/>
  <c r="J21" i="1"/>
  <c r="N21" i="1"/>
  <c r="F22" i="1"/>
  <c r="J22" i="1"/>
  <c r="N22" i="1"/>
  <c r="F23" i="1"/>
  <c r="J23" i="1"/>
  <c r="N23" i="1"/>
  <c r="F24" i="1"/>
  <c r="J24" i="1"/>
  <c r="N24" i="1"/>
  <c r="F25" i="1"/>
  <c r="J25" i="1"/>
  <c r="N25" i="1"/>
  <c r="F26" i="1"/>
  <c r="J26" i="1"/>
  <c r="N26" i="1"/>
  <c r="F27" i="1"/>
  <c r="J27" i="1"/>
  <c r="N27" i="1"/>
  <c r="K16" i="1"/>
  <c r="G16" i="1"/>
  <c r="C16" i="1"/>
  <c r="M28" i="1"/>
  <c r="E30" i="1"/>
  <c r="I31" i="1"/>
  <c r="M32" i="1"/>
  <c r="E34" i="1"/>
  <c r="I35" i="1"/>
  <c r="M36" i="1"/>
  <c r="E38" i="1"/>
  <c r="I39" i="1"/>
  <c r="M40" i="1"/>
  <c r="E44" i="1"/>
  <c r="I45" i="1"/>
  <c r="M46" i="1"/>
  <c r="E48" i="1"/>
  <c r="I49" i="1"/>
  <c r="M50" i="1"/>
  <c r="E52" i="1"/>
  <c r="C53" i="1"/>
  <c r="K53" i="1"/>
  <c r="C58" i="1"/>
  <c r="K58" i="1"/>
  <c r="C60" i="1"/>
  <c r="G61" i="1"/>
  <c r="C62" i="1"/>
  <c r="K62" i="1"/>
  <c r="G63" i="1"/>
  <c r="C64" i="1"/>
  <c r="C65" i="1"/>
  <c r="K65" i="1"/>
  <c r="K66" i="1"/>
  <c r="K18" i="1"/>
  <c r="K19" i="1"/>
  <c r="K21" i="1"/>
  <c r="G23" i="1"/>
  <c r="K24" i="1"/>
  <c r="C26" i="1"/>
  <c r="G27" i="1"/>
  <c r="F16" i="1"/>
  <c r="K27" i="1"/>
  <c r="G22" i="1"/>
  <c r="K23" i="1"/>
  <c r="C25" i="1"/>
  <c r="G26" i="1"/>
  <c r="K22" i="1"/>
  <c r="C24" i="1"/>
  <c r="G25" i="1"/>
  <c r="K26" i="1"/>
  <c r="N16" i="1"/>
  <c r="C23" i="1"/>
  <c r="G24" i="1"/>
  <c r="K25" i="1"/>
  <c r="C27" i="1"/>
  <c r="J16" i="1"/>
  <c r="K56" i="35"/>
  <c r="Y49" i="24"/>
  <c r="X49" i="24"/>
  <c r="M3" i="23"/>
  <c r="M3" i="35"/>
  <c r="K3" i="35"/>
  <c r="B13" i="31"/>
  <c r="E39" i="31"/>
  <c r="E40" i="31" s="1"/>
  <c r="L51" i="29"/>
  <c r="L50" i="29"/>
  <c r="L49" i="29"/>
  <c r="L48" i="29"/>
  <c r="M47" i="29"/>
  <c r="L47" i="29"/>
  <c r="L46" i="29"/>
  <c r="L45" i="29"/>
  <c r="L44" i="29"/>
  <c r="L43" i="29"/>
  <c r="L42" i="29"/>
  <c r="L41" i="29"/>
  <c r="L40" i="29"/>
  <c r="L39" i="29"/>
  <c r="L38" i="29"/>
  <c r="M37" i="29"/>
  <c r="L37" i="29"/>
  <c r="L36" i="29"/>
  <c r="L35" i="29"/>
  <c r="L34" i="29"/>
  <c r="L33" i="29"/>
  <c r="L32" i="29"/>
  <c r="L31" i="29"/>
  <c r="D14" i="28" a="1"/>
  <c r="D14" i="28" s="1"/>
  <c r="D17" i="28" a="1"/>
  <c r="D17" i="28" s="1"/>
  <c r="D13" i="28" a="1"/>
  <c r="D13" i="28" s="1"/>
  <c r="D9" i="28" a="1"/>
  <c r="D9" i="28" s="1"/>
  <c r="D16" i="28" a="1"/>
  <c r="D16" i="28" s="1"/>
  <c r="D20" i="28" a="1"/>
  <c r="D20" i="28" s="1"/>
  <c r="D8" i="28" a="1"/>
  <c r="D8" i="28" s="1"/>
  <c r="D10" i="28" a="1"/>
  <c r="D10" i="28" s="1"/>
  <c r="D19" i="28" a="1"/>
  <c r="D19" i="28" s="1"/>
  <c r="D11" i="28" a="1"/>
  <c r="D11" i="28" s="1"/>
  <c r="D12" i="28" a="1"/>
  <c r="D12" i="28" s="1"/>
  <c r="D7" i="28" a="1"/>
  <c r="D7" i="28" s="1"/>
  <c r="D18" i="28" a="1"/>
  <c r="D18" i="28" s="1"/>
  <c r="D15" i="28" a="1"/>
  <c r="D15" i="28" s="1"/>
  <c r="D58" i="25"/>
  <c r="C58" i="25" s="1"/>
  <c r="F37" i="25" s="1"/>
  <c r="Y50" i="24"/>
  <c r="X50" i="24"/>
  <c r="Y48" i="24"/>
  <c r="X48" i="24"/>
  <c r="Y47" i="24"/>
  <c r="X47" i="24"/>
  <c r="Y46" i="24"/>
  <c r="X46" i="24"/>
  <c r="Y45" i="24"/>
  <c r="X45" i="24"/>
  <c r="Y44" i="24"/>
  <c r="X44" i="24"/>
  <c r="Y43" i="24"/>
  <c r="X43" i="24"/>
  <c r="Y42" i="24"/>
  <c r="X42" i="24"/>
  <c r="Y41" i="24"/>
  <c r="X41" i="24"/>
  <c r="Y40" i="24"/>
  <c r="X40" i="24"/>
  <c r="Y39" i="24"/>
  <c r="X39" i="24"/>
  <c r="Y38" i="24"/>
  <c r="X38" i="24"/>
  <c r="Y37" i="24"/>
  <c r="X37" i="24"/>
  <c r="Y36" i="24"/>
  <c r="X36" i="24"/>
  <c r="Y35" i="24"/>
  <c r="X35" i="24"/>
  <c r="Y34" i="24"/>
  <c r="X34" i="24"/>
  <c r="Y33" i="24"/>
  <c r="X33" i="24"/>
  <c r="Y32" i="24"/>
  <c r="X32" i="24"/>
  <c r="Y31" i="24"/>
  <c r="X31" i="24"/>
  <c r="Y30" i="24"/>
  <c r="X30" i="24"/>
  <c r="Y29" i="24"/>
  <c r="X29" i="24"/>
  <c r="Y28" i="24"/>
  <c r="X28" i="24"/>
  <c r="Y27" i="24"/>
  <c r="X27" i="24"/>
  <c r="Y26" i="24"/>
  <c r="X26" i="24"/>
  <c r="Y25" i="24"/>
  <c r="X25" i="24"/>
  <c r="Y24" i="24"/>
  <c r="X24" i="24"/>
  <c r="Y23" i="24"/>
  <c r="X23" i="24"/>
  <c r="Y22" i="24"/>
  <c r="X22" i="24"/>
  <c r="Y21" i="24"/>
  <c r="X21" i="24"/>
  <c r="Y20" i="24"/>
  <c r="X20" i="24"/>
  <c r="Y19" i="24"/>
  <c r="X19" i="24"/>
  <c r="Y18" i="24"/>
  <c r="X18" i="24"/>
  <c r="Y17" i="24"/>
  <c r="X17" i="24"/>
  <c r="Y16" i="24"/>
  <c r="X16" i="24"/>
  <c r="Y15" i="24"/>
  <c r="X15" i="24"/>
  <c r="Y14" i="24"/>
  <c r="X14" i="24"/>
  <c r="Y13" i="24"/>
  <c r="X13" i="24"/>
  <c r="Y12" i="24"/>
  <c r="X12" i="24"/>
  <c r="Y11" i="24"/>
  <c r="X11" i="24"/>
  <c r="Y10" i="24"/>
  <c r="X10" i="24"/>
  <c r="Y9" i="24"/>
  <c r="X9" i="24"/>
  <c r="Y8" i="24"/>
  <c r="X8" i="24"/>
  <c r="W3" i="24"/>
  <c r="W4" i="24" s="1"/>
  <c r="V3" i="24"/>
  <c r="V4" i="24" s="1"/>
  <c r="U3" i="24"/>
  <c r="U4" i="24" s="1"/>
  <c r="T3" i="24"/>
  <c r="T4" i="24" s="1"/>
  <c r="R3" i="24"/>
  <c r="R4" i="24" s="1"/>
  <c r="Q3" i="24"/>
  <c r="Q4" i="24" s="1"/>
  <c r="P3" i="24"/>
  <c r="P4" i="24" s="1"/>
  <c r="O3" i="24"/>
  <c r="O4" i="24" s="1"/>
  <c r="N3" i="24"/>
  <c r="N4" i="24" s="1"/>
  <c r="M3" i="24"/>
  <c r="M4" i="24" s="1"/>
  <c r="L3" i="24"/>
  <c r="L4" i="24" s="1"/>
  <c r="K3" i="24"/>
  <c r="K4" i="24" s="1"/>
  <c r="J3" i="24"/>
  <c r="J4" i="24" s="1"/>
  <c r="I3" i="24"/>
  <c r="I4" i="24" s="1"/>
  <c r="H3" i="24"/>
  <c r="H4" i="24" s="1"/>
  <c r="G3" i="24"/>
  <c r="G4" i="24" s="1"/>
  <c r="F3" i="24"/>
  <c r="F4" i="24" s="1"/>
  <c r="E3" i="24"/>
  <c r="E4" i="24" s="1"/>
  <c r="D3" i="24"/>
  <c r="D4" i="24" s="1"/>
  <c r="C3" i="24"/>
  <c r="C4" i="24" s="1"/>
  <c r="E9" i="25"/>
  <c r="C50" i="25"/>
  <c r="T28" i="25"/>
  <c r="G21" i="25"/>
  <c r="T16" i="25"/>
  <c r="W40" i="25"/>
  <c r="H34" i="25"/>
  <c r="N29" i="25"/>
  <c r="P45" i="25"/>
  <c r="D36" i="25"/>
  <c r="P26" i="25"/>
  <c r="D21" i="25"/>
  <c r="P15" i="25"/>
  <c r="W34" i="25"/>
  <c r="I26" i="25"/>
  <c r="Q20" i="25"/>
  <c r="G15" i="25"/>
  <c r="J36" i="25"/>
  <c r="M31" i="25"/>
  <c r="I27" i="25"/>
  <c r="J24" i="25"/>
  <c r="Q21" i="25"/>
  <c r="R18" i="25"/>
  <c r="W15" i="25"/>
  <c r="F9" i="25"/>
  <c r="J11" i="25"/>
  <c r="N13" i="25"/>
  <c r="R19" i="25"/>
  <c r="P32" i="25"/>
  <c r="O8" i="25"/>
  <c r="G10" i="25"/>
  <c r="T11" i="25"/>
  <c r="K13" i="25"/>
  <c r="U16" i="25"/>
  <c r="J25" i="25"/>
  <c r="J42" i="25"/>
  <c r="D6" i="2"/>
  <c r="B16" i="2"/>
  <c r="B23" i="2" s="1"/>
  <c r="B30" i="2" s="1"/>
  <c r="B37" i="2" s="1"/>
  <c r="B44" i="2" s="1"/>
  <c r="B51" i="2" s="1"/>
  <c r="B58" i="2" s="1"/>
  <c r="B65" i="2" s="1"/>
  <c r="B72" i="2" s="1"/>
  <c r="B79" i="2" s="1"/>
  <c r="B86" i="2" s="1"/>
  <c r="B15" i="2"/>
  <c r="B22" i="2" s="1"/>
  <c r="B29" i="2" s="1"/>
  <c r="B36" i="2" s="1"/>
  <c r="B43" i="2" s="1"/>
  <c r="B50" i="2" s="1"/>
  <c r="B57" i="2" s="1"/>
  <c r="B64" i="2" s="1"/>
  <c r="B71" i="2" s="1"/>
  <c r="B78" i="2" s="1"/>
  <c r="B85" i="2" s="1"/>
  <c r="B14" i="2"/>
  <c r="B21" i="2" s="1"/>
  <c r="B28" i="2" s="1"/>
  <c r="B35" i="2" s="1"/>
  <c r="B42" i="2" s="1"/>
  <c r="B49" i="2" s="1"/>
  <c r="B56" i="2" s="1"/>
  <c r="B63" i="2" s="1"/>
  <c r="B70" i="2" s="1"/>
  <c r="B77" i="2" s="1"/>
  <c r="B84" i="2" s="1"/>
  <c r="B13" i="2"/>
  <c r="B20" i="2" s="1"/>
  <c r="B27" i="2" s="1"/>
  <c r="B34" i="2" s="1"/>
  <c r="B41" i="2" s="1"/>
  <c r="B48" i="2" s="1"/>
  <c r="B55" i="2" s="1"/>
  <c r="B62" i="2" s="1"/>
  <c r="B69" i="2" s="1"/>
  <c r="B76" i="2" s="1"/>
  <c r="B83" i="2" s="1"/>
  <c r="B12" i="2"/>
  <c r="B11" i="2"/>
  <c r="B18" i="2" s="1"/>
  <c r="B25" i="2" s="1"/>
  <c r="B32" i="2" s="1"/>
  <c r="B39" i="2" s="1"/>
  <c r="B46" i="2" s="1"/>
  <c r="B53" i="2" s="1"/>
  <c r="B60" i="2" s="1"/>
  <c r="B67" i="2" s="1"/>
  <c r="B74" i="2" s="1"/>
  <c r="B81" i="2" s="1"/>
  <c r="B10" i="2"/>
  <c r="L4" i="4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F3" i="4"/>
  <c r="J3" i="4"/>
  <c r="N3" i="4"/>
  <c r="G3" i="4"/>
  <c r="K3" i="4"/>
  <c r="E3" i="4"/>
  <c r="M3" i="4"/>
  <c r="C3" i="4"/>
  <c r="D3" i="4"/>
  <c r="H3" i="4"/>
  <c r="L3" i="4"/>
  <c r="I3" i="4"/>
  <c r="D7" i="4"/>
  <c r="H7" i="4"/>
  <c r="L7" i="4"/>
  <c r="E7" i="4"/>
  <c r="I7" i="4"/>
  <c r="M7" i="4"/>
  <c r="F7" i="4"/>
  <c r="J7" i="4"/>
  <c r="N7" i="4"/>
  <c r="G7" i="4"/>
  <c r="K7" i="4"/>
  <c r="C7" i="4"/>
  <c r="G6" i="4"/>
  <c r="K6" i="4"/>
  <c r="D6" i="4"/>
  <c r="H6" i="4"/>
  <c r="L6" i="4"/>
  <c r="C6" i="4"/>
  <c r="E6" i="4"/>
  <c r="I6" i="4"/>
  <c r="M6" i="4"/>
  <c r="F6" i="4"/>
  <c r="J6" i="4"/>
  <c r="N6" i="4"/>
  <c r="D15" i="4"/>
  <c r="H15" i="4"/>
  <c r="L15" i="4"/>
  <c r="G15" i="4"/>
  <c r="E15" i="4"/>
  <c r="I15" i="4"/>
  <c r="M15" i="4"/>
  <c r="C15" i="4"/>
  <c r="F15" i="4"/>
  <c r="J15" i="4"/>
  <c r="N15" i="4"/>
  <c r="K15" i="4"/>
  <c r="N4" i="5"/>
  <c r="N14" i="4" s="1"/>
  <c r="M4" i="5"/>
  <c r="M14" i="4" s="1"/>
  <c r="L4" i="5"/>
  <c r="L14" i="4" s="1"/>
  <c r="K4" i="5"/>
  <c r="K14" i="4" s="1"/>
  <c r="J4" i="5"/>
  <c r="J14" i="4" s="1"/>
  <c r="I4" i="5"/>
  <c r="I14" i="4" s="1"/>
  <c r="H4" i="5"/>
  <c r="H14" i="4" s="1"/>
  <c r="G4" i="5"/>
  <c r="G14" i="4" s="1"/>
  <c r="F4" i="5"/>
  <c r="F14" i="4" s="1"/>
  <c r="E4" i="5"/>
  <c r="E14" i="4" s="1"/>
  <c r="D4" i="5"/>
  <c r="D14" i="4" s="1"/>
  <c r="C4" i="5"/>
  <c r="C14" i="4" s="1"/>
  <c r="E5" i="4"/>
  <c r="G4" i="4"/>
  <c r="H4" i="4"/>
  <c r="D5" i="4"/>
  <c r="C5" i="4"/>
  <c r="J5" i="4"/>
  <c r="F4" i="4"/>
  <c r="F5" i="4"/>
  <c r="N4" i="4"/>
  <c r="C4" i="4"/>
  <c r="M4" i="4"/>
  <c r="L5" i="4"/>
  <c r="I4" i="4"/>
  <c r="I5" i="4"/>
  <c r="D4" i="4"/>
  <c r="J4" i="4"/>
  <c r="G5" i="4"/>
  <c r="M5" i="4"/>
  <c r="H5" i="4"/>
  <c r="K5" i="4"/>
  <c r="E4" i="4"/>
  <c r="K4" i="4"/>
  <c r="N5" i="4"/>
  <c r="E21" i="25" l="1"/>
  <c r="O12" i="25"/>
  <c r="K9" i="25"/>
  <c r="F26" i="25"/>
  <c r="J12" i="25"/>
  <c r="F8" i="25"/>
  <c r="E20" i="25"/>
  <c r="W25" i="25"/>
  <c r="P33" i="25"/>
  <c r="R17" i="25"/>
  <c r="L30" i="25"/>
  <c r="E18" i="25"/>
  <c r="V30" i="25"/>
  <c r="N27" i="25"/>
  <c r="W36" i="25"/>
  <c r="G23" i="25"/>
  <c r="U48" i="25"/>
  <c r="L31" i="25"/>
  <c r="I14" i="25"/>
  <c r="C11" i="25"/>
  <c r="R46" i="25"/>
  <c r="W14" i="25"/>
  <c r="J10" i="25"/>
  <c r="L17" i="25"/>
  <c r="D23" i="25"/>
  <c r="E29" i="25"/>
  <c r="U40" i="25"/>
  <c r="J23" i="25"/>
  <c r="J44" i="25"/>
  <c r="W23" i="25"/>
  <c r="R44" i="25"/>
  <c r="R31" i="25"/>
  <c r="F46" i="25"/>
  <c r="C19" i="25"/>
  <c r="W39" i="25"/>
  <c r="M46" i="25"/>
  <c r="U29" i="25"/>
  <c r="D20" i="25"/>
  <c r="C14" i="25"/>
  <c r="K12" i="25"/>
  <c r="T10" i="25"/>
  <c r="G9" i="25"/>
  <c r="W38" i="25"/>
  <c r="D24" i="25"/>
  <c r="N14" i="25"/>
  <c r="F12" i="25"/>
  <c r="W9" i="25"/>
  <c r="F15" i="25"/>
  <c r="Q17" i="25"/>
  <c r="P20" i="25"/>
  <c r="I23" i="25"/>
  <c r="H26" i="25"/>
  <c r="V29" i="25"/>
  <c r="G34" i="25"/>
  <c r="L42" i="25"/>
  <c r="D18" i="25"/>
  <c r="V23" i="25"/>
  <c r="U30" i="25"/>
  <c r="W45" i="25"/>
  <c r="P18" i="25"/>
  <c r="H24" i="25"/>
  <c r="I31" i="25"/>
  <c r="W47" i="25"/>
  <c r="R27" i="25"/>
  <c r="W31" i="25"/>
  <c r="H38" i="25"/>
  <c r="N46" i="25"/>
  <c r="G19" i="25"/>
  <c r="O25" i="25"/>
  <c r="O42" i="25"/>
  <c r="M19" i="25"/>
  <c r="W37" i="25"/>
  <c r="L41" i="25"/>
  <c r="R48" i="25"/>
  <c r="D48" i="25"/>
  <c r="P12" i="25"/>
  <c r="H30" i="25"/>
  <c r="U13" i="25"/>
  <c r="V9" i="25"/>
  <c r="E13" i="25"/>
  <c r="R23" i="25"/>
  <c r="E50" i="25"/>
  <c r="Q45" i="25"/>
  <c r="M42" i="25"/>
  <c r="Q38" i="25"/>
  <c r="M34" i="25"/>
  <c r="G49" i="25"/>
  <c r="C45" i="25"/>
  <c r="G41" i="25"/>
  <c r="L45" i="25"/>
  <c r="U38" i="25"/>
  <c r="J34" i="25"/>
  <c r="T31" i="25"/>
  <c r="C30" i="25"/>
  <c r="K28" i="25"/>
  <c r="T26" i="25"/>
  <c r="G25" i="25"/>
  <c r="C24" i="25"/>
  <c r="C23" i="25"/>
  <c r="C22" i="25"/>
  <c r="T20" i="25"/>
  <c r="T19" i="25"/>
  <c r="T18" i="25"/>
  <c r="O17" i="25"/>
  <c r="O16" i="25"/>
  <c r="N49" i="25"/>
  <c r="J45" i="25"/>
  <c r="J43" i="25"/>
  <c r="N40" i="25"/>
  <c r="T38" i="25"/>
  <c r="P36" i="25"/>
  <c r="J35" i="25"/>
  <c r="R33" i="25"/>
  <c r="N32" i="25"/>
  <c r="N31" i="25"/>
  <c r="J30" i="25"/>
  <c r="J29" i="25"/>
  <c r="J28" i="25"/>
  <c r="P50" i="25"/>
  <c r="H47" i="25"/>
  <c r="H45" i="25"/>
  <c r="U42" i="25"/>
  <c r="F43" i="25"/>
  <c r="H39" i="25"/>
  <c r="C35" i="25"/>
  <c r="M32" i="25"/>
  <c r="M30" i="25"/>
  <c r="V27" i="25"/>
  <c r="J26" i="25"/>
  <c r="D25" i="25"/>
  <c r="L23" i="25"/>
  <c r="E22" i="25"/>
  <c r="R20" i="25"/>
  <c r="F19" i="25"/>
  <c r="U17" i="25"/>
  <c r="M16" i="25"/>
  <c r="H15" i="25"/>
  <c r="H14" i="25"/>
  <c r="R42" i="25"/>
  <c r="F38" i="25"/>
  <c r="K34" i="25"/>
  <c r="D32" i="25"/>
  <c r="P29" i="25"/>
  <c r="L27" i="25"/>
  <c r="D26" i="25"/>
  <c r="L24" i="25"/>
  <c r="E23" i="25"/>
  <c r="R21" i="25"/>
  <c r="F20" i="25"/>
  <c r="U18" i="25"/>
  <c r="M17" i="25"/>
  <c r="C16" i="25"/>
  <c r="C15" i="25"/>
  <c r="R49" i="25"/>
  <c r="H37" i="25"/>
  <c r="T41" i="25"/>
  <c r="Q48" i="25"/>
  <c r="L12" i="25"/>
  <c r="J14" i="25"/>
  <c r="P13" i="25"/>
  <c r="D28" i="25"/>
  <c r="Q10" i="25"/>
  <c r="V13" i="25"/>
  <c r="L28" i="25"/>
  <c r="I49" i="25"/>
  <c r="V44" i="25"/>
  <c r="E41" i="25"/>
  <c r="V36" i="25"/>
  <c r="Q33" i="25"/>
  <c r="K47" i="25"/>
  <c r="G44" i="25"/>
  <c r="K40" i="25"/>
  <c r="U43" i="25"/>
  <c r="R36" i="25"/>
  <c r="N33" i="25"/>
  <c r="K31" i="25"/>
  <c r="O29" i="25"/>
  <c r="C28" i="25"/>
  <c r="K26" i="25"/>
  <c r="T24" i="25"/>
  <c r="T23" i="25"/>
  <c r="T22" i="25"/>
  <c r="O21" i="25"/>
  <c r="O20" i="25"/>
  <c r="O19" i="25"/>
  <c r="K18" i="25"/>
  <c r="K17" i="25"/>
  <c r="K16" i="25"/>
  <c r="W46" i="25"/>
  <c r="W44" i="25"/>
  <c r="W42" i="25"/>
  <c r="U39" i="25"/>
  <c r="N38" i="25"/>
  <c r="K36" i="25"/>
  <c r="T34" i="25"/>
  <c r="L33" i="25"/>
  <c r="J32" i="25"/>
  <c r="F31" i="25"/>
  <c r="F30" i="25"/>
  <c r="F29" i="25"/>
  <c r="W27" i="25"/>
  <c r="H50" i="25"/>
  <c r="U46" i="25"/>
  <c r="L44" i="25"/>
  <c r="N50" i="25"/>
  <c r="D42" i="25"/>
  <c r="G38" i="25"/>
  <c r="L34" i="25"/>
  <c r="E32" i="25"/>
  <c r="Q29" i="25"/>
  <c r="M27" i="25"/>
  <c r="E26" i="25"/>
  <c r="M24" i="25"/>
  <c r="F23" i="25"/>
  <c r="U21" i="25"/>
  <c r="H20" i="25"/>
  <c r="V18" i="25"/>
  <c r="N17" i="25"/>
  <c r="D16" i="25"/>
  <c r="D15" i="25"/>
  <c r="F50" i="25"/>
  <c r="J40" i="25"/>
  <c r="N36" i="25"/>
  <c r="U33" i="25"/>
  <c r="H31" i="25"/>
  <c r="H29" i="25"/>
  <c r="E27" i="25"/>
  <c r="M25" i="25"/>
  <c r="F24" i="25"/>
  <c r="U22" i="25"/>
  <c r="H21" i="25"/>
  <c r="V19" i="25"/>
  <c r="N18" i="25"/>
  <c r="W16" i="25"/>
  <c r="T15" i="25"/>
  <c r="T14" i="25"/>
  <c r="W43" i="25"/>
  <c r="T48" i="25"/>
  <c r="I8" i="25"/>
  <c r="I40" i="25"/>
  <c r="K43" i="25"/>
  <c r="G29" i="25"/>
  <c r="O23" i="25"/>
  <c r="C37" i="25"/>
  <c r="I47" i="25"/>
  <c r="U10" i="25"/>
  <c r="C40" i="25"/>
  <c r="M11" i="25"/>
  <c r="F34" i="25"/>
  <c r="E44" i="25"/>
  <c r="E36" i="25"/>
  <c r="O46" i="25"/>
  <c r="D50" i="25"/>
  <c r="P35" i="25"/>
  <c r="T30" i="25"/>
  <c r="O27" i="25"/>
  <c r="O24" i="25"/>
  <c r="K22" i="25"/>
  <c r="K20" i="25"/>
  <c r="G18" i="25"/>
  <c r="J50" i="25"/>
  <c r="N44" i="25"/>
  <c r="O39" i="25"/>
  <c r="U35" i="25"/>
  <c r="G33" i="25"/>
  <c r="W30" i="25"/>
  <c r="R28" i="25"/>
  <c r="U49" i="25"/>
  <c r="D44" i="25"/>
  <c r="L40" i="25"/>
  <c r="W33" i="25"/>
  <c r="I29" i="25"/>
  <c r="N25" i="25"/>
  <c r="V22" i="25"/>
  <c r="W19" i="25"/>
  <c r="D17" i="25"/>
  <c r="U14" i="25"/>
  <c r="R39" i="25"/>
  <c r="U32" i="25"/>
  <c r="P28" i="25"/>
  <c r="H25" i="25"/>
  <c r="I22" i="25"/>
  <c r="P19" i="25"/>
  <c r="Q16" i="25"/>
  <c r="K14" i="25"/>
  <c r="N39" i="25"/>
  <c r="T35" i="25"/>
  <c r="F33" i="25"/>
  <c r="Q30" i="25"/>
  <c r="V28" i="25"/>
  <c r="D27" i="25"/>
  <c r="L25" i="25"/>
  <c r="E24" i="25"/>
  <c r="R22" i="25"/>
  <c r="F21" i="25"/>
  <c r="U19" i="25"/>
  <c r="M18" i="25"/>
  <c r="V16" i="25"/>
  <c r="R15" i="25"/>
  <c r="J8" i="25"/>
  <c r="N9" i="25"/>
  <c r="N10" i="25"/>
  <c r="N11" i="25"/>
  <c r="R12" i="25"/>
  <c r="R13" i="25"/>
  <c r="Q15" i="25"/>
  <c r="V21" i="25"/>
  <c r="H27" i="25"/>
  <c r="P34" i="25"/>
  <c r="C8" i="25"/>
  <c r="T8" i="25"/>
  <c r="O9" i="25"/>
  <c r="K10" i="25"/>
  <c r="G11" i="25"/>
  <c r="C12" i="25"/>
  <c r="T12" i="25"/>
  <c r="O13" i="25"/>
  <c r="Q14" i="25"/>
  <c r="V17" i="25"/>
  <c r="F22" i="25"/>
  <c r="L26" i="25"/>
  <c r="D33" i="25"/>
  <c r="J49" i="25"/>
  <c r="M15" i="25"/>
  <c r="C33" i="25"/>
  <c r="T37" i="25"/>
  <c r="M41" i="25"/>
  <c r="P11" i="25"/>
  <c r="P10" i="25"/>
  <c r="I12" i="25"/>
  <c r="V50" i="25"/>
  <c r="I43" i="25"/>
  <c r="I35" i="25"/>
  <c r="T45" i="25"/>
  <c r="L47" i="25"/>
  <c r="F35" i="25"/>
  <c r="K30" i="25"/>
  <c r="G27" i="25"/>
  <c r="K24" i="25"/>
  <c r="G22" i="25"/>
  <c r="C20" i="25"/>
  <c r="C18" i="25"/>
  <c r="W49" i="25"/>
  <c r="R43" i="25"/>
  <c r="J39" i="25"/>
  <c r="O35" i="25"/>
  <c r="R32" i="25"/>
  <c r="R30" i="25"/>
  <c r="N28" i="25"/>
  <c r="D49" i="25"/>
  <c r="P43" i="25"/>
  <c r="T39" i="25"/>
  <c r="V32" i="25"/>
  <c r="Q28" i="25"/>
  <c r="I25" i="25"/>
  <c r="J22" i="25"/>
  <c r="Q19" i="25"/>
  <c r="R16" i="25"/>
  <c r="L14" i="25"/>
  <c r="G39" i="25"/>
  <c r="L32" i="25"/>
  <c r="U27" i="25"/>
  <c r="W24" i="25"/>
  <c r="D22" i="25"/>
  <c r="E19" i="25"/>
  <c r="L16" i="25"/>
  <c r="G14" i="25"/>
  <c r="C39" i="25"/>
  <c r="H35" i="25"/>
  <c r="I32" i="25"/>
  <c r="I30" i="25"/>
  <c r="M28" i="25"/>
  <c r="M26" i="25"/>
  <c r="F25" i="25"/>
  <c r="U23" i="25"/>
  <c r="H22" i="25"/>
  <c r="V20" i="25"/>
  <c r="N19" i="25"/>
  <c r="W17" i="25"/>
  <c r="P16" i="25"/>
  <c r="N15" i="25"/>
  <c r="R8" i="25"/>
  <c r="R9" i="25"/>
  <c r="R10" i="25"/>
  <c r="W11" i="25"/>
  <c r="W12" i="25"/>
  <c r="W13" i="25"/>
  <c r="P17" i="25"/>
  <c r="W22" i="25"/>
  <c r="U28" i="25"/>
  <c r="T36" i="25"/>
  <c r="G8" i="25"/>
  <c r="C9" i="25"/>
  <c r="T9" i="25"/>
  <c r="O10" i="25"/>
  <c r="K11" i="25"/>
  <c r="G12" i="25"/>
  <c r="C13" i="25"/>
  <c r="T13" i="25"/>
  <c r="E15" i="25"/>
  <c r="W18" i="25"/>
  <c r="H23" i="25"/>
  <c r="P27" i="25"/>
  <c r="G35" i="25"/>
  <c r="P41" i="25"/>
  <c r="H11" i="25"/>
  <c r="M47" i="25"/>
  <c r="T50" i="25"/>
  <c r="H42" i="25"/>
  <c r="C26" i="25"/>
  <c r="M19" i="4"/>
  <c r="F19" i="4"/>
  <c r="L39" i="25"/>
  <c r="I24" i="25"/>
  <c r="V15" i="25"/>
  <c r="G13" i="25"/>
  <c r="O11" i="25"/>
  <c r="C10" i="25"/>
  <c r="K8" i="25"/>
  <c r="D31" i="25"/>
  <c r="Q18" i="25"/>
  <c r="F13" i="25"/>
  <c r="F11" i="25"/>
  <c r="W8" i="25"/>
  <c r="J16" i="25"/>
  <c r="D19" i="25"/>
  <c r="W21" i="25"/>
  <c r="V24" i="25"/>
  <c r="Q27" i="25"/>
  <c r="V31" i="25"/>
  <c r="L38" i="25"/>
  <c r="O15" i="25"/>
  <c r="W20" i="25"/>
  <c r="N26" i="25"/>
  <c r="C36" i="25"/>
  <c r="U15" i="25"/>
  <c r="I21" i="25"/>
  <c r="F27" i="25"/>
  <c r="O36" i="25"/>
  <c r="D46" i="25"/>
  <c r="W29" i="25"/>
  <c r="N34" i="25"/>
  <c r="F42" i="25"/>
  <c r="G17" i="25"/>
  <c r="K21" i="25"/>
  <c r="K32" i="25"/>
  <c r="M39" i="25"/>
  <c r="L9" i="25"/>
  <c r="O17" i="4"/>
  <c r="L5" i="35"/>
  <c r="AA8" i="24"/>
  <c r="AB11" i="24" s="1"/>
  <c r="K13" i="1"/>
  <c r="O7" i="4"/>
  <c r="K19" i="4"/>
  <c r="K12" i="4" s="1"/>
  <c r="K8" i="4"/>
  <c r="K7" i="1" s="1"/>
  <c r="L8" i="4"/>
  <c r="L7" i="1" s="1"/>
  <c r="D8" i="4"/>
  <c r="D7" i="1" s="1"/>
  <c r="H8" i="4"/>
  <c r="H7" i="1" s="1"/>
  <c r="O4" i="4"/>
  <c r="O15" i="4"/>
  <c r="F8" i="4"/>
  <c r="F7" i="1" s="1"/>
  <c r="C8" i="4"/>
  <c r="C7" i="1" s="1"/>
  <c r="M8" i="4"/>
  <c r="M7" i="1" s="1"/>
  <c r="G14" i="1"/>
  <c r="G13" i="1"/>
  <c r="F13" i="1"/>
  <c r="F14" i="1"/>
  <c r="K14" i="1"/>
  <c r="H13" i="1"/>
  <c r="H14" i="1"/>
  <c r="I14" i="1"/>
  <c r="I13" i="1"/>
  <c r="L13" i="1"/>
  <c r="L14" i="1"/>
  <c r="M13" i="1"/>
  <c r="M14" i="1"/>
  <c r="J13" i="1"/>
  <c r="J14" i="1"/>
  <c r="N13" i="1"/>
  <c r="N14" i="1"/>
  <c r="C13" i="1"/>
  <c r="D13" i="1"/>
  <c r="D14" i="1"/>
  <c r="E14" i="1"/>
  <c r="E13" i="1"/>
  <c r="O56" i="1"/>
  <c r="O54" i="1"/>
  <c r="O55" i="1"/>
  <c r="O17" i="1"/>
  <c r="O43" i="1"/>
  <c r="O42" i="1"/>
  <c r="O20" i="1"/>
  <c r="O16" i="4"/>
  <c r="O58" i="1"/>
  <c r="O53" i="1"/>
  <c r="O22" i="1"/>
  <c r="O30" i="1"/>
  <c r="O37" i="1"/>
  <c r="O46" i="1"/>
  <c r="O49" i="1"/>
  <c r="O62" i="1"/>
  <c r="O28" i="1"/>
  <c r="I19" i="4"/>
  <c r="D19" i="4"/>
  <c r="I8" i="4"/>
  <c r="I7" i="1" s="1"/>
  <c r="J19" i="4"/>
  <c r="J12" i="4" s="1"/>
  <c r="I12" i="4"/>
  <c r="M12" i="4"/>
  <c r="O6" i="4"/>
  <c r="E8" i="4"/>
  <c r="E7" i="1" s="1"/>
  <c r="B19" i="2"/>
  <c r="B26" i="2" s="1"/>
  <c r="B33" i="2" s="1"/>
  <c r="B40" i="2" s="1"/>
  <c r="B47" i="2" s="1"/>
  <c r="B54" i="2" s="1"/>
  <c r="B61" i="2" s="1"/>
  <c r="B68" i="2" s="1"/>
  <c r="B75" i="2" s="1"/>
  <c r="B82" i="2" s="1"/>
  <c r="J8" i="4"/>
  <c r="J7" i="1" s="1"/>
  <c r="O3" i="4"/>
  <c r="G19" i="4"/>
  <c r="G12" i="4" s="1"/>
  <c r="E19" i="4"/>
  <c r="E12" i="4" s="1"/>
  <c r="L19" i="4"/>
  <c r="L12" i="4" s="1"/>
  <c r="N19" i="4"/>
  <c r="N12" i="4" s="1"/>
  <c r="C19" i="4"/>
  <c r="H19" i="4"/>
  <c r="H12" i="4" s="1"/>
  <c r="F12" i="4"/>
  <c r="B17" i="2"/>
  <c r="O63" i="1"/>
  <c r="O45" i="1"/>
  <c r="O66" i="1"/>
  <c r="N8" i="4"/>
  <c r="N7" i="1" s="1"/>
  <c r="G8" i="4"/>
  <c r="G7" i="1" s="1"/>
  <c r="D12" i="4"/>
  <c r="G37" i="25"/>
  <c r="W41" i="25"/>
  <c r="J37" i="25"/>
  <c r="L37" i="25"/>
  <c r="E37" i="25"/>
  <c r="N37" i="25"/>
  <c r="Q41" i="25"/>
  <c r="F47" i="25"/>
  <c r="O41" i="25"/>
  <c r="N41" i="25"/>
  <c r="N48" i="25"/>
  <c r="M48" i="25"/>
  <c r="K48" i="25"/>
  <c r="P48" i="25"/>
  <c r="O48" i="25"/>
  <c r="H13" i="25"/>
  <c r="D14" i="25"/>
  <c r="E16" i="25"/>
  <c r="J21" i="25"/>
  <c r="P25" i="25"/>
  <c r="D12" i="25"/>
  <c r="D11" i="25"/>
  <c r="U8" i="25"/>
  <c r="F18" i="25"/>
  <c r="H8" i="25"/>
  <c r="L11" i="25"/>
  <c r="I15" i="25"/>
  <c r="O33" i="25"/>
  <c r="M8" i="25"/>
  <c r="I9" i="25"/>
  <c r="E10" i="25"/>
  <c r="V10" i="25"/>
  <c r="Q11" i="25"/>
  <c r="M12" i="25"/>
  <c r="I13" i="25"/>
  <c r="E14" i="25"/>
  <c r="I16" i="25"/>
  <c r="N20" i="25"/>
  <c r="U24" i="25"/>
  <c r="D29" i="25"/>
  <c r="H36" i="25"/>
  <c r="Q50" i="25"/>
  <c r="V49" i="25"/>
  <c r="E49" i="25"/>
  <c r="E47" i="25"/>
  <c r="I46" i="25"/>
  <c r="M45" i="25"/>
  <c r="Q44" i="25"/>
  <c r="V43" i="25"/>
  <c r="E43" i="25"/>
  <c r="I42" i="25"/>
  <c r="V40" i="25"/>
  <c r="E40" i="25"/>
  <c r="I39" i="25"/>
  <c r="M38" i="25"/>
  <c r="Q36" i="25"/>
  <c r="V35" i="25"/>
  <c r="E35" i="25"/>
  <c r="I34" i="25"/>
  <c r="M33" i="25"/>
  <c r="O50" i="25"/>
  <c r="T49" i="25"/>
  <c r="C49" i="25"/>
  <c r="G47" i="25"/>
  <c r="K46" i="25"/>
  <c r="O45" i="25"/>
  <c r="T44" i="25"/>
  <c r="C44" i="25"/>
  <c r="G43" i="25"/>
  <c r="K42" i="25"/>
  <c r="C41" i="25"/>
  <c r="G40" i="25"/>
  <c r="P49" i="25"/>
  <c r="P46" i="25"/>
  <c r="D45" i="25"/>
  <c r="L43" i="25"/>
  <c r="D41" i="25"/>
  <c r="P39" i="25"/>
  <c r="O38" i="25"/>
  <c r="L36" i="25"/>
  <c r="W50" i="25"/>
  <c r="O37" i="25"/>
  <c r="Q37" i="25"/>
  <c r="D37" i="25"/>
  <c r="U37" i="25"/>
  <c r="R41" i="25"/>
  <c r="K41" i="25"/>
  <c r="P47" i="25"/>
  <c r="U41" i="25"/>
  <c r="J47" i="25"/>
  <c r="W48" i="25"/>
  <c r="F48" i="25"/>
  <c r="E48" i="25"/>
  <c r="V48" i="25"/>
  <c r="H48" i="25"/>
  <c r="D10" i="25"/>
  <c r="I20" i="25"/>
  <c r="L8" i="25"/>
  <c r="P8" i="25"/>
  <c r="U11" i="25"/>
  <c r="P9" i="25"/>
  <c r="L22" i="25"/>
  <c r="E17" i="25"/>
  <c r="U12" i="25"/>
  <c r="U31" i="25"/>
  <c r="U9" i="25"/>
  <c r="D13" i="25"/>
  <c r="M23" i="25"/>
  <c r="E8" i="25"/>
  <c r="V8" i="25"/>
  <c r="Q9" i="25"/>
  <c r="M10" i="25"/>
  <c r="I11" i="25"/>
  <c r="E12" i="25"/>
  <c r="V12" i="25"/>
  <c r="Q13" i="25"/>
  <c r="V14" i="25"/>
  <c r="L18" i="25"/>
  <c r="Q22" i="25"/>
  <c r="W26" i="25"/>
  <c r="H32" i="25"/>
  <c r="R40" i="25"/>
  <c r="I50" i="25"/>
  <c r="M49" i="25"/>
  <c r="Q47" i="25"/>
  <c r="Q46" i="25"/>
  <c r="V45" i="25"/>
  <c r="E45" i="25"/>
  <c r="I44" i="25"/>
  <c r="M43" i="25"/>
  <c r="Q42" i="25"/>
  <c r="I41" i="25"/>
  <c r="M40" i="25"/>
  <c r="Q39" i="25"/>
  <c r="V38" i="25"/>
  <c r="E38" i="25"/>
  <c r="I36" i="25"/>
  <c r="M35" i="25"/>
  <c r="Q34" i="25"/>
  <c r="V33" i="25"/>
  <c r="E33" i="25"/>
  <c r="G50" i="25"/>
  <c r="K49" i="25"/>
  <c r="O47" i="25"/>
  <c r="T46" i="25"/>
  <c r="C46" i="25"/>
  <c r="G45" i="25"/>
  <c r="K44" i="25"/>
  <c r="O43" i="25"/>
  <c r="T42" i="25"/>
  <c r="C42" i="25"/>
  <c r="O40" i="25"/>
  <c r="L50" i="25"/>
  <c r="U47" i="25"/>
  <c r="U45" i="25"/>
  <c r="H44" i="25"/>
  <c r="P42" i="25"/>
  <c r="H40" i="25"/>
  <c r="F39" i="25"/>
  <c r="D38" i="25"/>
  <c r="W35" i="25"/>
  <c r="U34" i="25"/>
  <c r="T33" i="25"/>
  <c r="T32" i="25"/>
  <c r="C32" i="25"/>
  <c r="G31" i="25"/>
  <c r="L29" i="25"/>
  <c r="E25" i="25"/>
  <c r="U20" i="25"/>
  <c r="N16" i="25"/>
  <c r="F14" i="25"/>
  <c r="J13" i="25"/>
  <c r="N12" i="25"/>
  <c r="R11" i="25"/>
  <c r="W10" i="25"/>
  <c r="F10" i="25"/>
  <c r="J9" i="25"/>
  <c r="N8" i="25"/>
  <c r="J15" i="25"/>
  <c r="F16" i="25"/>
  <c r="F17" i="25"/>
  <c r="H18" i="25"/>
  <c r="I19" i="25"/>
  <c r="J20" i="25"/>
  <c r="L21" i="25"/>
  <c r="M22" i="25"/>
  <c r="N23" i="25"/>
  <c r="P24" i="25"/>
  <c r="Q25" i="25"/>
  <c r="R26" i="25"/>
  <c r="E28" i="25"/>
  <c r="M29" i="25"/>
  <c r="E31" i="25"/>
  <c r="Q32" i="25"/>
  <c r="R34" i="25"/>
  <c r="U36" i="25"/>
  <c r="D40" i="25"/>
  <c r="N45" i="25"/>
  <c r="O14" i="25"/>
  <c r="K15" i="25"/>
  <c r="G16" i="25"/>
  <c r="H17" i="25"/>
  <c r="I18" i="25"/>
  <c r="J19" i="25"/>
  <c r="L20" i="25"/>
  <c r="M21" i="25"/>
  <c r="N22" i="25"/>
  <c r="P23" i="25"/>
  <c r="Q24" i="25"/>
  <c r="R25" i="25"/>
  <c r="U26" i="25"/>
  <c r="H28" i="25"/>
  <c r="D30" i="25"/>
  <c r="P31" i="25"/>
  <c r="J33" i="25"/>
  <c r="L35" i="25"/>
  <c r="P38" i="25"/>
  <c r="F41" i="25"/>
  <c r="N47" i="25"/>
  <c r="P14" i="25"/>
  <c r="L15" i="25"/>
  <c r="H16" i="25"/>
  <c r="I17" i="25"/>
  <c r="J18" i="25"/>
  <c r="L19" i="25"/>
  <c r="M20" i="25"/>
  <c r="N21" i="25"/>
  <c r="P22" i="25"/>
  <c r="Q23" i="25"/>
  <c r="R24" i="25"/>
  <c r="U25" i="25"/>
  <c r="V26" i="25"/>
  <c r="I28" i="25"/>
  <c r="E30" i="25"/>
  <c r="Q31" i="25"/>
  <c r="K33" i="25"/>
  <c r="N35" i="25"/>
  <c r="R38" i="25"/>
  <c r="H41" i="25"/>
  <c r="J46" i="25"/>
  <c r="H43" i="25"/>
  <c r="U44" i="25"/>
  <c r="L46" i="25"/>
  <c r="L49" i="25"/>
  <c r="J27" i="25"/>
  <c r="F28" i="25"/>
  <c r="W28" i="25"/>
  <c r="R29" i="25"/>
  <c r="N30" i="25"/>
  <c r="J31" i="25"/>
  <c r="F32" i="25"/>
  <c r="W32" i="25"/>
  <c r="C34" i="25"/>
  <c r="D35" i="25"/>
  <c r="F36" i="25"/>
  <c r="C38" i="25"/>
  <c r="D39" i="25"/>
  <c r="F40" i="25"/>
  <c r="N42" i="25"/>
  <c r="F44" i="25"/>
  <c r="R45" i="25"/>
  <c r="F49" i="25"/>
  <c r="R50" i="25"/>
  <c r="C17" i="25"/>
  <c r="T17" i="25"/>
  <c r="O18" i="25"/>
  <c r="K19" i="25"/>
  <c r="G20" i="25"/>
  <c r="C21" i="25"/>
  <c r="T21" i="25"/>
  <c r="O22" i="25"/>
  <c r="K23" i="25"/>
  <c r="G24" i="25"/>
  <c r="C25" i="25"/>
  <c r="T25" i="25"/>
  <c r="O26" i="25"/>
  <c r="K27" i="25"/>
  <c r="G28" i="25"/>
  <c r="C29" i="25"/>
  <c r="T29" i="25"/>
  <c r="O30" i="25"/>
  <c r="O31" i="25"/>
  <c r="O32" i="25"/>
  <c r="D34" i="25"/>
  <c r="K35" i="25"/>
  <c r="J38" i="25"/>
  <c r="P40" i="25"/>
  <c r="P44" i="25"/>
  <c r="H49" i="25"/>
  <c r="T40" i="25"/>
  <c r="C43" i="25"/>
  <c r="O44" i="25"/>
  <c r="G46" i="25"/>
  <c r="T47" i="25"/>
  <c r="K50" i="25"/>
  <c r="E34" i="25"/>
  <c r="Q35" i="25"/>
  <c r="I38" i="25"/>
  <c r="V39" i="25"/>
  <c r="E42" i="25"/>
  <c r="Q43" i="25"/>
  <c r="I45" i="25"/>
  <c r="V46" i="25"/>
  <c r="Q49" i="25"/>
  <c r="K38" i="25"/>
  <c r="V25" i="25"/>
  <c r="J17" i="25"/>
  <c r="M13" i="25"/>
  <c r="V11" i="25"/>
  <c r="I10" i="25"/>
  <c r="Q8" i="25"/>
  <c r="H19" i="25"/>
  <c r="D9" i="25"/>
  <c r="L10" i="25"/>
  <c r="R14" i="25"/>
  <c r="H10" i="25"/>
  <c r="N24" i="25"/>
  <c r="G48" i="25"/>
  <c r="C48" i="25"/>
  <c r="J48" i="25"/>
  <c r="V41" i="25"/>
  <c r="D47" i="25"/>
  <c r="M37" i="25"/>
  <c r="R37" i="25"/>
  <c r="K37" i="25"/>
  <c r="K25" i="25"/>
  <c r="G26" i="25"/>
  <c r="C27" i="25"/>
  <c r="T27" i="25"/>
  <c r="O28" i="25"/>
  <c r="K29" i="25"/>
  <c r="G30" i="25"/>
  <c r="C31" i="25"/>
  <c r="G32" i="25"/>
  <c r="H33" i="25"/>
  <c r="O34" i="25"/>
  <c r="G36" i="25"/>
  <c r="K39" i="25"/>
  <c r="D43" i="25"/>
  <c r="H46" i="25"/>
  <c r="U50" i="25"/>
  <c r="G42" i="25"/>
  <c r="T43" i="25"/>
  <c r="K45" i="25"/>
  <c r="C47" i="25"/>
  <c r="O49" i="25"/>
  <c r="I33" i="25"/>
  <c r="V34" i="25"/>
  <c r="M36" i="25"/>
  <c r="E39" i="25"/>
  <c r="Q40" i="25"/>
  <c r="V42" i="25"/>
  <c r="M44" i="25"/>
  <c r="E46" i="25"/>
  <c r="V47" i="25"/>
  <c r="M50" i="25"/>
  <c r="P30" i="25"/>
  <c r="P21" i="25"/>
  <c r="M14" i="25"/>
  <c r="Q12" i="25"/>
  <c r="E11" i="25"/>
  <c r="M9" i="25"/>
  <c r="N43" i="25"/>
  <c r="H12" i="25"/>
  <c r="Q26" i="25"/>
  <c r="L13" i="25"/>
  <c r="D8" i="25"/>
  <c r="R35" i="25"/>
  <c r="H9" i="25"/>
  <c r="L48" i="25"/>
  <c r="I48" i="25"/>
  <c r="F45" i="25"/>
  <c r="R47" i="25"/>
  <c r="V37" i="25"/>
  <c r="P37" i="25"/>
  <c r="I37" i="25"/>
  <c r="O4" i="5"/>
  <c r="O14" i="4"/>
  <c r="C12" i="4"/>
  <c r="O50" i="1"/>
  <c r="O51" i="1"/>
  <c r="O57" i="1"/>
  <c r="O59" i="1"/>
  <c r="O60" i="1"/>
  <c r="O61" i="1"/>
  <c r="O33" i="1"/>
  <c r="O35" i="1"/>
  <c r="O38" i="1"/>
  <c r="O39" i="1"/>
  <c r="O40" i="1"/>
  <c r="O41" i="1"/>
  <c r="O44" i="1"/>
  <c r="O47" i="1"/>
  <c r="O48" i="1"/>
  <c r="O26" i="1"/>
  <c r="O18" i="1"/>
  <c r="O23" i="1"/>
  <c r="O27" i="1"/>
  <c r="O52" i="1"/>
  <c r="O34" i="1"/>
  <c r="O64" i="1"/>
  <c r="O24" i="1"/>
  <c r="O25" i="1"/>
  <c r="O29" i="1"/>
  <c r="O31" i="1"/>
  <c r="O19" i="1"/>
  <c r="O21" i="1"/>
  <c r="O36" i="1"/>
  <c r="O65" i="1"/>
  <c r="O32" i="1"/>
  <c r="O16" i="1"/>
  <c r="C14" i="1"/>
  <c r="O5" i="4"/>
  <c r="O8" i="4" l="1"/>
  <c r="Z31" i="25"/>
  <c r="Z27" i="25"/>
  <c r="Z50" i="25"/>
  <c r="Z17" i="25"/>
  <c r="Z38" i="25"/>
  <c r="Z44" i="25"/>
  <c r="Z36" i="25"/>
  <c r="Z12" i="25"/>
  <c r="Z40" i="25"/>
  <c r="Z23" i="25"/>
  <c r="Z14" i="25"/>
  <c r="Z48" i="25"/>
  <c r="Z43" i="25"/>
  <c r="Z29" i="25"/>
  <c r="Z42" i="25"/>
  <c r="Z41" i="25"/>
  <c r="Z49" i="25"/>
  <c r="Z10" i="25"/>
  <c r="Z26" i="25"/>
  <c r="Z13" i="25"/>
  <c r="Z18" i="25"/>
  <c r="Z8" i="25"/>
  <c r="Z28" i="25"/>
  <c r="Z24" i="25"/>
  <c r="Z30" i="25"/>
  <c r="Z19" i="25"/>
  <c r="Z25" i="25"/>
  <c r="Z46" i="25"/>
  <c r="Z9" i="25"/>
  <c r="Z20" i="25"/>
  <c r="Z33" i="25"/>
  <c r="Z15" i="25"/>
  <c r="Z35" i="25"/>
  <c r="Z47" i="25"/>
  <c r="Z21" i="25"/>
  <c r="Z34" i="25"/>
  <c r="Z32" i="25"/>
  <c r="Z39" i="25"/>
  <c r="Z37" i="25"/>
  <c r="Z16" i="25"/>
  <c r="Z22" i="25"/>
  <c r="Z45" i="25"/>
  <c r="Z11" i="25"/>
  <c r="L3" i="25"/>
  <c r="E22" i="31" s="1"/>
  <c r="X26" i="25"/>
  <c r="I46" i="29"/>
  <c r="J3" i="25"/>
  <c r="E20" i="31" s="1"/>
  <c r="X19" i="25"/>
  <c r="K3" i="25"/>
  <c r="K5" i="25" s="1"/>
  <c r="X10" i="25"/>
  <c r="X18" i="25"/>
  <c r="T3" i="25"/>
  <c r="E29" i="31" s="1"/>
  <c r="Y24" i="25"/>
  <c r="I37" i="29"/>
  <c r="O3" i="25"/>
  <c r="O5" i="25" s="1"/>
  <c r="R3" i="25"/>
  <c r="E28" i="31" s="1"/>
  <c r="O7" i="1"/>
  <c r="O19" i="4"/>
  <c r="C10" i="4"/>
  <c r="D10" i="4" s="1"/>
  <c r="E10" i="4" s="1"/>
  <c r="F10" i="4" s="1"/>
  <c r="G10" i="4" s="1"/>
  <c r="H10" i="4" s="1"/>
  <c r="I10" i="4" s="1"/>
  <c r="J10" i="4" s="1"/>
  <c r="K10" i="4" s="1"/>
  <c r="L10" i="4" s="1"/>
  <c r="M10" i="4" s="1"/>
  <c r="N10" i="4" s="1"/>
  <c r="Y8" i="25"/>
  <c r="X8" i="25"/>
  <c r="X48" i="25"/>
  <c r="Y48" i="25"/>
  <c r="Y13" i="25"/>
  <c r="X13" i="25"/>
  <c r="Y41" i="25"/>
  <c r="I31" i="29"/>
  <c r="X41" i="25"/>
  <c r="O12" i="4"/>
  <c r="I3" i="25"/>
  <c r="I42" i="29"/>
  <c r="X25" i="25"/>
  <c r="Y25" i="25"/>
  <c r="Y35" i="25"/>
  <c r="I39" i="29"/>
  <c r="X35" i="25"/>
  <c r="Y46" i="25"/>
  <c r="X46" i="25"/>
  <c r="I35" i="29"/>
  <c r="X50" i="25"/>
  <c r="Y50" i="25"/>
  <c r="X22" i="25"/>
  <c r="X11" i="25"/>
  <c r="Y11" i="25"/>
  <c r="Y16" i="25"/>
  <c r="X16" i="25"/>
  <c r="B24" i="2"/>
  <c r="C3" i="25"/>
  <c r="Y26" i="25"/>
  <c r="X29" i="25"/>
  <c r="Y29" i="25"/>
  <c r="Y36" i="25"/>
  <c r="X36" i="25"/>
  <c r="Y45" i="25"/>
  <c r="X49" i="25"/>
  <c r="I51" i="29"/>
  <c r="Y49" i="25"/>
  <c r="E3" i="25"/>
  <c r="I48" i="29"/>
  <c r="X47" i="25"/>
  <c r="Y47" i="25"/>
  <c r="X31" i="25"/>
  <c r="Y31" i="25"/>
  <c r="Y9" i="25"/>
  <c r="X9" i="25"/>
  <c r="G3" i="25"/>
  <c r="X21" i="25"/>
  <c r="Y21" i="25"/>
  <c r="Y39" i="25"/>
  <c r="X39" i="25"/>
  <c r="I45" i="29"/>
  <c r="Y34" i="25"/>
  <c r="X34" i="25"/>
  <c r="X30" i="25"/>
  <c r="Y30" i="25"/>
  <c r="I36" i="29"/>
  <c r="Y40" i="25"/>
  <c r="X40" i="25"/>
  <c r="N3" i="25"/>
  <c r="X32" i="25"/>
  <c r="I38" i="29"/>
  <c r="Y32" i="25"/>
  <c r="I43" i="29"/>
  <c r="Y33" i="25"/>
  <c r="X33" i="25"/>
  <c r="I47" i="29"/>
  <c r="X12" i="25"/>
  <c r="Y12" i="25"/>
  <c r="X14" i="25"/>
  <c r="Y43" i="25"/>
  <c r="X43" i="25"/>
  <c r="X28" i="25"/>
  <c r="I33" i="29"/>
  <c r="Y28" i="25"/>
  <c r="H12" i="28" s="1"/>
  <c r="W3" i="25"/>
  <c r="X42" i="25"/>
  <c r="I34" i="29"/>
  <c r="Y42" i="25"/>
  <c r="X15" i="25"/>
  <c r="Y15" i="25"/>
  <c r="Q3" i="25"/>
  <c r="Y27" i="25"/>
  <c r="X27" i="25"/>
  <c r="H3" i="25"/>
  <c r="Y19" i="25"/>
  <c r="I41" i="29"/>
  <c r="Y23" i="25"/>
  <c r="X23" i="25"/>
  <c r="I44" i="29"/>
  <c r="Y20" i="25"/>
  <c r="X20" i="25"/>
  <c r="Y17" i="25"/>
  <c r="X17" i="25"/>
  <c r="X38" i="25"/>
  <c r="Y38" i="25"/>
  <c r="P3" i="25"/>
  <c r="F3" i="25"/>
  <c r="M3" i="25"/>
  <c r="U3" i="25"/>
  <c r="D3" i="25"/>
  <c r="Y10" i="25"/>
  <c r="Y37" i="25"/>
  <c r="X37" i="25"/>
  <c r="I32" i="29"/>
  <c r="Y44" i="25"/>
  <c r="V3" i="25"/>
  <c r="Y18" i="25"/>
  <c r="I40" i="29"/>
  <c r="X24" i="25"/>
  <c r="Y22" i="25"/>
  <c r="Y14" i="25"/>
  <c r="O14" i="1"/>
  <c r="O10" i="4" l="1"/>
  <c r="Y53" i="25"/>
  <c r="Z53" i="25"/>
  <c r="L5" i="25"/>
  <c r="F12" i="28"/>
  <c r="J5" i="25"/>
  <c r="E21" i="31"/>
  <c r="T5" i="25"/>
  <c r="E25" i="31"/>
  <c r="R5" i="25"/>
  <c r="W5" i="25"/>
  <c r="E32" i="31"/>
  <c r="C5" i="25"/>
  <c r="E13" i="31"/>
  <c r="Y51" i="25"/>
  <c r="F5" i="25"/>
  <c r="E16" i="31"/>
  <c r="E18" i="31"/>
  <c r="H5" i="25"/>
  <c r="Q5" i="25"/>
  <c r="E27" i="31"/>
  <c r="E5" i="25"/>
  <c r="E23" i="31"/>
  <c r="M5" i="25"/>
  <c r="D5" i="25"/>
  <c r="E14" i="31"/>
  <c r="P5" i="25"/>
  <c r="E26" i="31"/>
  <c r="I5" i="25"/>
  <c r="E19" i="31"/>
  <c r="V5" i="25"/>
  <c r="E31" i="31"/>
  <c r="U5" i="25"/>
  <c r="E30" i="31"/>
  <c r="N5" i="25"/>
  <c r="E24" i="31"/>
  <c r="G5" i="25"/>
  <c r="B31" i="2"/>
  <c r="X45" i="25"/>
  <c r="AB9" i="25" l="1"/>
  <c r="AC12" i="25" s="1"/>
  <c r="E35" i="31"/>
  <c r="B38" i="2"/>
  <c r="B45" i="2" l="1"/>
  <c r="B52" i="2" l="1"/>
  <c r="B59" i="2" l="1"/>
  <c r="B66" i="2" l="1"/>
  <c r="B73" i="2" l="1"/>
  <c r="B80" i="2" l="1"/>
  <c r="M5" i="1"/>
  <c r="I3" i="1"/>
  <c r="L5" i="1"/>
  <c r="M3" i="1"/>
  <c r="L3" i="1"/>
  <c r="N3" i="1"/>
  <c r="J3" i="1"/>
  <c r="N5" i="1"/>
  <c r="K3" i="1"/>
  <c r="K5" i="1"/>
  <c r="J5" i="1" l="1"/>
  <c r="K6" i="1"/>
  <c r="J6" i="1"/>
  <c r="M8" i="1"/>
  <c r="N6" i="1"/>
  <c r="L6" i="1"/>
  <c r="E6" i="1"/>
  <c r="J8" i="1"/>
  <c r="M6" i="1"/>
  <c r="C6" i="1"/>
  <c r="H6" i="1"/>
  <c r="N8" i="1"/>
  <c r="I8" i="1"/>
  <c r="D6" i="1"/>
  <c r="F8" i="1"/>
  <c r="G8" i="1"/>
  <c r="G6" i="1"/>
  <c r="F6" i="1"/>
  <c r="C8" i="1"/>
  <c r="E8" i="1"/>
  <c r="H8" i="1"/>
  <c r="K8" i="1"/>
  <c r="D8" i="1"/>
  <c r="L8" i="1"/>
  <c r="I6" i="1"/>
  <c r="C3" i="1"/>
  <c r="G3" i="1"/>
  <c r="G5" i="1"/>
  <c r="C5" i="1"/>
  <c r="E3" i="1"/>
  <c r="H4" i="1"/>
  <c r="D4" i="1"/>
  <c r="H3" i="1"/>
  <c r="L4" i="1"/>
  <c r="L9" i="1" s="1"/>
  <c r="D5" i="1"/>
  <c r="I4" i="1"/>
  <c r="C4" i="1"/>
  <c r="K4" i="1"/>
  <c r="K9" i="1" s="1"/>
  <c r="E5" i="1"/>
  <c r="M4" i="1"/>
  <c r="M9" i="1" s="1"/>
  <c r="F3" i="1"/>
  <c r="E4" i="1"/>
  <c r="N4" i="1"/>
  <c r="N9" i="1" s="1"/>
  <c r="F4" i="1"/>
  <c r="F5" i="1"/>
  <c r="G4" i="1"/>
  <c r="I5" i="1"/>
  <c r="J4" i="1"/>
  <c r="J9" i="1" s="1"/>
  <c r="D3" i="1"/>
  <c r="H5" i="1"/>
  <c r="I10" i="1" l="1"/>
  <c r="D9" i="1"/>
  <c r="D10" i="1"/>
  <c r="E10" i="1"/>
  <c r="C10" i="1"/>
  <c r="K10" i="1"/>
  <c r="F10" i="1"/>
  <c r="H9" i="1"/>
  <c r="H10" i="1"/>
  <c r="I9" i="1"/>
  <c r="M10" i="1"/>
  <c r="J10" i="1"/>
  <c r="G10" i="1"/>
  <c r="L10" i="1"/>
  <c r="N10" i="1"/>
  <c r="E9" i="1"/>
  <c r="C9" i="1"/>
  <c r="C12" i="1" s="1"/>
  <c r="F9" i="1"/>
  <c r="G9" i="1"/>
  <c r="O6" i="1"/>
  <c r="O8" i="1"/>
  <c r="O4" i="1"/>
  <c r="O5" i="1"/>
  <c r="O3" i="1"/>
  <c r="D12" i="1" l="1"/>
  <c r="E12" i="1" s="1"/>
  <c r="F12" i="1" s="1"/>
  <c r="G12" i="1" s="1"/>
  <c r="H12" i="1" s="1"/>
  <c r="I12" i="1" s="1"/>
  <c r="J12" i="1" s="1"/>
  <c r="O9" i="1"/>
  <c r="O10" i="1"/>
  <c r="K12" i="1" l="1"/>
  <c r="L12" i="1" s="1"/>
  <c r="M12" i="1" s="1"/>
  <c r="N12" i="1" s="1"/>
  <c r="O12" i="1" l="1"/>
</calcChain>
</file>

<file path=xl/sharedStrings.xml><?xml version="1.0" encoding="utf-8"?>
<sst xmlns="http://schemas.openxmlformats.org/spreadsheetml/2006/main" count="2753" uniqueCount="559">
  <si>
    <t>Relatório</t>
  </si>
  <si>
    <t>&gt; Colaboradores pagantes e não pagantes da mensalidade</t>
  </si>
  <si>
    <t>&gt; Colaboradores pagantes e não pagantes do prato</t>
  </si>
  <si>
    <t>&gt; Colaboradores pagantes e não pagantes do banho</t>
  </si>
  <si>
    <t>&gt; Colaboradores pagantes e não pagantes das velas</t>
  </si>
  <si>
    <t>&gt; Gerar relatório por colaborador, para discrimar o que está devendo</t>
  </si>
  <si>
    <t>&gt; Script para deixar somente os cadastros ativos</t>
  </si>
  <si>
    <t>x</t>
  </si>
  <si>
    <t>mês</t>
  </si>
  <si>
    <t>colaborador</t>
  </si>
  <si>
    <t>mensalidade</t>
  </si>
  <si>
    <t>forma</t>
  </si>
  <si>
    <t>data</t>
  </si>
  <si>
    <t>Observações</t>
  </si>
  <si>
    <t>janeiro</t>
  </si>
  <si>
    <t>saldo 2018</t>
  </si>
  <si>
    <t>Dinheiro</t>
  </si>
  <si>
    <t>Paulo Vitor (Thabata)</t>
  </si>
  <si>
    <t>Custos</t>
  </si>
  <si>
    <t>Qtd pagantes</t>
  </si>
  <si>
    <t>Rita</t>
  </si>
  <si>
    <t>Bradesco</t>
  </si>
  <si>
    <t>Qtd pagantes atual</t>
  </si>
  <si>
    <t>Dona Geni</t>
  </si>
  <si>
    <t>-----------------------------------</t>
  </si>
  <si>
    <t>Otília</t>
  </si>
  <si>
    <t>Diferença</t>
  </si>
  <si>
    <t>Daniele</t>
  </si>
  <si>
    <t>Dificuldade Fin.</t>
  </si>
  <si>
    <t>Renato</t>
  </si>
  <si>
    <t>Sandro</t>
  </si>
  <si>
    <t>Fernando</t>
  </si>
  <si>
    <t>Marina</t>
  </si>
  <si>
    <t>fevereiro</t>
  </si>
  <si>
    <t>Carmen</t>
  </si>
  <si>
    <t>Freire</t>
  </si>
  <si>
    <t>TED</t>
  </si>
  <si>
    <t>Loana</t>
  </si>
  <si>
    <t>Marcela</t>
  </si>
  <si>
    <t>Moura</t>
  </si>
  <si>
    <t>Pai Willian</t>
  </si>
  <si>
    <t>Bco do Brasil</t>
  </si>
  <si>
    <t>Silvio</t>
  </si>
  <si>
    <t>Valquiria (Moura)</t>
  </si>
  <si>
    <t>Thays (Marina)</t>
  </si>
  <si>
    <t>Ubiratan</t>
  </si>
  <si>
    <t>Gustavo (Thabata)</t>
  </si>
  <si>
    <t>Patricia</t>
  </si>
  <si>
    <t>Roberto</t>
  </si>
  <si>
    <t>Rodrigo (Thabata)</t>
  </si>
  <si>
    <t>Thabata</t>
  </si>
  <si>
    <t>Viviane</t>
  </si>
  <si>
    <t>Maira</t>
  </si>
  <si>
    <t>Celso</t>
  </si>
  <si>
    <t>Eduardo</t>
  </si>
  <si>
    <t>março</t>
  </si>
  <si>
    <t>+15,00</t>
  </si>
  <si>
    <t>Leonardo (Loana)</t>
  </si>
  <si>
    <t>Roseni (Loana)</t>
  </si>
  <si>
    <t>abril</t>
  </si>
  <si>
    <t>Marivalda</t>
  </si>
  <si>
    <t>Nubank</t>
  </si>
  <si>
    <t>Santander</t>
  </si>
  <si>
    <t>Viviani Araujo</t>
  </si>
  <si>
    <t>maio</t>
  </si>
  <si>
    <t>Maio</t>
  </si>
  <si>
    <t>junho</t>
  </si>
  <si>
    <t>Katia</t>
  </si>
  <si>
    <t>Nanci</t>
  </si>
  <si>
    <t>Ryan</t>
  </si>
  <si>
    <t>julho</t>
  </si>
  <si>
    <t>Ajuda</t>
  </si>
  <si>
    <t>Pagamento da Carol</t>
  </si>
  <si>
    <t>Bruno</t>
  </si>
  <si>
    <t>Monique</t>
  </si>
  <si>
    <t>agosto</t>
  </si>
  <si>
    <t>Agosto</t>
  </si>
  <si>
    <t>Deixou na loja com a Mara</t>
  </si>
  <si>
    <t xml:space="preserve"> </t>
  </si>
  <si>
    <t>Doação</t>
  </si>
  <si>
    <t>Sobra da praia</t>
  </si>
  <si>
    <t>setembro</t>
  </si>
  <si>
    <t>outubro</t>
  </si>
  <si>
    <t>novembro</t>
  </si>
  <si>
    <t>dezembro</t>
  </si>
  <si>
    <t>aluguel</t>
  </si>
  <si>
    <t>agua e luz</t>
  </si>
  <si>
    <t>IPTU</t>
  </si>
  <si>
    <t>velas</t>
  </si>
  <si>
    <t>outras despesas</t>
  </si>
  <si>
    <t>outros</t>
  </si>
  <si>
    <t>SUB TOTAL</t>
  </si>
  <si>
    <t>Saldo do Mês</t>
  </si>
  <si>
    <t>Andreia (Arnaldo)</t>
  </si>
  <si>
    <t>Andy</t>
  </si>
  <si>
    <t>Arnaldo</t>
  </si>
  <si>
    <t>Carol</t>
  </si>
  <si>
    <t>Daiane</t>
  </si>
  <si>
    <t>Dora</t>
  </si>
  <si>
    <t>-</t>
  </si>
  <si>
    <t>Kaio</t>
  </si>
  <si>
    <t>Kalley</t>
  </si>
  <si>
    <t>Mara (Dora)</t>
  </si>
  <si>
    <t>Uesley</t>
  </si>
  <si>
    <t>Walisson</t>
  </si>
  <si>
    <t>valor</t>
  </si>
  <si>
    <t>motivo</t>
  </si>
  <si>
    <t>obs</t>
  </si>
  <si>
    <t>responsável</t>
  </si>
  <si>
    <t>aluguel casa</t>
  </si>
  <si>
    <t>IPTU (1/10)</t>
  </si>
  <si>
    <t>Seguro incendio</t>
  </si>
  <si>
    <t>conta de LUZ</t>
  </si>
  <si>
    <t>conta de AGUA</t>
  </si>
  <si>
    <t>Velas conga</t>
  </si>
  <si>
    <t>Gás</t>
  </si>
  <si>
    <t>IPTU (X/10)</t>
  </si>
  <si>
    <t>Tutoip</t>
  </si>
  <si>
    <t>Loja</t>
  </si>
  <si>
    <t>Velas - Loja</t>
  </si>
  <si>
    <t>Março</t>
  </si>
  <si>
    <t>TUTOIP</t>
  </si>
  <si>
    <t>internet</t>
  </si>
  <si>
    <t>340 será pago pela mãe, devido a um valor devedor</t>
  </si>
  <si>
    <t>Loja 7 saias</t>
  </si>
  <si>
    <t>Prato</t>
  </si>
  <si>
    <t>Fran</t>
  </si>
  <si>
    <t>Geni</t>
  </si>
  <si>
    <t>Roseni</t>
  </si>
  <si>
    <t>Junho</t>
  </si>
  <si>
    <t>Valquíria (Moura)</t>
  </si>
  <si>
    <t>Lançar as velas da Patrícia</t>
  </si>
  <si>
    <t>Lançar os custos do alguidares</t>
  </si>
  <si>
    <t>Lançar valores dos copos vendidos</t>
  </si>
  <si>
    <t>Lancar os valores recebidos da mão</t>
  </si>
  <si>
    <t>despesas</t>
  </si>
  <si>
    <t>evento</t>
  </si>
  <si>
    <t>limpeza</t>
  </si>
  <si>
    <t>descartável</t>
  </si>
  <si>
    <t>artigos religiosos</t>
  </si>
  <si>
    <t>extra</t>
  </si>
  <si>
    <t>arrecadação</t>
  </si>
  <si>
    <t>doações</t>
  </si>
  <si>
    <t>banho</t>
  </si>
  <si>
    <t>prato</t>
  </si>
  <si>
    <t>praia</t>
  </si>
  <si>
    <t>descarrego</t>
  </si>
  <si>
    <t>Oxossi</t>
  </si>
  <si>
    <t>Sacudimento</t>
  </si>
  <si>
    <t>Ogun</t>
  </si>
  <si>
    <t>P. Velho</t>
  </si>
  <si>
    <t>Xangô</t>
  </si>
  <si>
    <t>Pombo Gira</t>
  </si>
  <si>
    <t>Exú/ Omulu / Oxumarê</t>
  </si>
  <si>
    <t>Exu do Oro</t>
  </si>
  <si>
    <t>Yansã/ Iemanjá</t>
  </si>
  <si>
    <t>Exú</t>
  </si>
  <si>
    <t>Cosme Damião</t>
  </si>
  <si>
    <t>TOTAL</t>
  </si>
  <si>
    <t>Valor arrecadar</t>
  </si>
  <si>
    <t>Qtd necessária</t>
  </si>
  <si>
    <t>Comida</t>
  </si>
  <si>
    <t>Valor arrecadado</t>
  </si>
  <si>
    <t>Arrecadação</t>
  </si>
  <si>
    <t>dia</t>
  </si>
  <si>
    <t>Descarrego</t>
  </si>
  <si>
    <t>despesas de eventos</t>
  </si>
  <si>
    <t>Tenda no Vale</t>
  </si>
  <si>
    <t>+50 foi pago pela Dora</t>
  </si>
  <si>
    <t>Toque de Omulu e Oxumarê</t>
  </si>
  <si>
    <t>Entregue para Mara</t>
  </si>
  <si>
    <t>despesas de empréstimo - Walisson</t>
  </si>
  <si>
    <t>Conta</t>
  </si>
  <si>
    <t>tipo</t>
  </si>
  <si>
    <t>Total</t>
  </si>
  <si>
    <t>Pago</t>
  </si>
  <si>
    <t>Recuperação de crédito - conta Santander</t>
  </si>
  <si>
    <t>saída</t>
  </si>
  <si>
    <t>pago</t>
  </si>
  <si>
    <t>Auxiliar no pagamento dos bichos</t>
  </si>
  <si>
    <t>devedor</t>
  </si>
  <si>
    <t>Bichos da Kelly</t>
  </si>
  <si>
    <t>Ferramenta da Dama da noite</t>
  </si>
  <si>
    <t>Padaria Utinga - pães</t>
  </si>
  <si>
    <t>Mercado Bem barato</t>
  </si>
  <si>
    <t>Pizza</t>
  </si>
  <si>
    <t>Ração do gato</t>
  </si>
  <si>
    <t>santander</t>
  </si>
  <si>
    <t>Pães</t>
  </si>
  <si>
    <t>Acordo Santander</t>
  </si>
  <si>
    <t>Gasolina da moto</t>
  </si>
  <si>
    <t>Recarga celular Thays</t>
  </si>
  <si>
    <t>Thays</t>
  </si>
  <si>
    <t>Emprestado para mozão</t>
  </si>
  <si>
    <t>Compras Bem barato</t>
  </si>
  <si>
    <t>Troca de óleo moto</t>
  </si>
  <si>
    <t>DAP</t>
  </si>
  <si>
    <t>Telhadinho</t>
  </si>
  <si>
    <t>nubank</t>
  </si>
  <si>
    <t>Mc Donalds</t>
  </si>
  <si>
    <t>Ração Gato</t>
  </si>
  <si>
    <t>Bichos Ogum, Oxoguian, Oxum</t>
  </si>
  <si>
    <t>Troca do freio da moto</t>
  </si>
  <si>
    <t>Óleo de riscino</t>
  </si>
  <si>
    <t>Cinemark</t>
  </si>
  <si>
    <t>estacionamento analia</t>
  </si>
  <si>
    <t>Padaria flor da cunha</t>
  </si>
  <si>
    <t>Cicero rodrigues</t>
  </si>
  <si>
    <t>Assai - churrasco na loana</t>
  </si>
  <si>
    <t>Pagamento faculdade Thays</t>
  </si>
  <si>
    <t>doce na USJT</t>
  </si>
  <si>
    <t>mercado</t>
  </si>
  <si>
    <t>Uber da marina</t>
  </si>
  <si>
    <t>dinheiro</t>
  </si>
  <si>
    <t>Lanches</t>
  </si>
  <si>
    <t>Drogaria</t>
  </si>
  <si>
    <t>Padaria</t>
  </si>
  <si>
    <t>mercearia</t>
  </si>
  <si>
    <t>Não especificado</t>
  </si>
  <si>
    <t>farmácia</t>
  </si>
  <si>
    <t>Óleo da moto + buzina</t>
  </si>
  <si>
    <t>Fast food</t>
  </si>
  <si>
    <t>cebola - quitanda</t>
  </si>
  <si>
    <t>Descanso</t>
  </si>
  <si>
    <t>Crédito celular</t>
  </si>
  <si>
    <t>Extra - São caetano</t>
  </si>
  <si>
    <t>despesas de limpeza</t>
  </si>
  <si>
    <t>despesas de descartavel</t>
  </si>
  <si>
    <t>despesas de artigos religiosos</t>
  </si>
  <si>
    <t>despesas extras</t>
  </si>
  <si>
    <t>BANHOS</t>
  </si>
  <si>
    <t>FILHOS</t>
  </si>
  <si>
    <t>n° ficha</t>
  </si>
  <si>
    <t>DATA</t>
  </si>
  <si>
    <t>O QUE?</t>
  </si>
  <si>
    <t>VALOR</t>
  </si>
  <si>
    <t>QUEM?</t>
  </si>
  <si>
    <t>VISTO</t>
  </si>
  <si>
    <t>NOME</t>
  </si>
  <si>
    <t>MOTIVO/INDICAÇÃO</t>
  </si>
  <si>
    <t>Quantidade semanal</t>
  </si>
  <si>
    <t>7 linhas</t>
  </si>
  <si>
    <t xml:space="preserve">Amarela </t>
  </si>
  <si>
    <t>Am. Vermelha</t>
  </si>
  <si>
    <t>Azul claro</t>
  </si>
  <si>
    <t>Azul e preta</t>
  </si>
  <si>
    <t>Azul e Rosa</t>
  </si>
  <si>
    <t>Azul escuro</t>
  </si>
  <si>
    <t>Branca</t>
  </si>
  <si>
    <t>Branca e preta</t>
  </si>
  <si>
    <t>Branca e vermelha</t>
  </si>
  <si>
    <t>Dourada</t>
  </si>
  <si>
    <t>Laranja</t>
  </si>
  <si>
    <t>Marrom</t>
  </si>
  <si>
    <t>Preta</t>
  </si>
  <si>
    <t>Preta e verde</t>
  </si>
  <si>
    <t>Preta e vermelha</t>
  </si>
  <si>
    <t>Roxo claro</t>
  </si>
  <si>
    <t>Roxo escuro</t>
  </si>
  <si>
    <t>Verde</t>
  </si>
  <si>
    <t>Vermelha</t>
  </si>
  <si>
    <t>QTD_un</t>
  </si>
  <si>
    <t>Valor_Total</t>
  </si>
  <si>
    <t>Pedido mínimo</t>
  </si>
  <si>
    <t>Andreia</t>
  </si>
  <si>
    <t>Bruno (kelly)</t>
  </si>
  <si>
    <t>Congá</t>
  </si>
  <si>
    <t>Dani</t>
  </si>
  <si>
    <t>Gustavo</t>
  </si>
  <si>
    <t>Júnior (Fran)</t>
  </si>
  <si>
    <t>Kelly</t>
  </si>
  <si>
    <t>Mari</t>
  </si>
  <si>
    <t>Patrícia</t>
  </si>
  <si>
    <t>Paulo Vitor</t>
  </si>
  <si>
    <t>Rodrigo</t>
  </si>
  <si>
    <t>Valquíria</t>
  </si>
  <si>
    <t>Wesley Freire</t>
  </si>
  <si>
    <t>Léo</t>
  </si>
  <si>
    <t>l</t>
  </si>
  <si>
    <t/>
  </si>
  <si>
    <t>Quantidade_mensal</t>
  </si>
  <si>
    <t>Preta e Verde</t>
  </si>
  <si>
    <t>Total_custo</t>
  </si>
  <si>
    <t>Total_compra</t>
  </si>
  <si>
    <t>OK</t>
  </si>
  <si>
    <t>Data</t>
  </si>
  <si>
    <t>Semanas</t>
  </si>
  <si>
    <t>Vela</t>
  </si>
  <si>
    <t>Quantidade</t>
  </si>
  <si>
    <t>Quantidade de Velas</t>
  </si>
  <si>
    <t>Valor</t>
  </si>
  <si>
    <t>\</t>
  </si>
  <si>
    <t>LANÇAMENTOS</t>
  </si>
  <si>
    <t>Colaborador</t>
  </si>
  <si>
    <t>Referência</t>
  </si>
  <si>
    <t>Data de pagamento</t>
  </si>
  <si>
    <t>Efetuar o pedido, me entregaram o dinheiro</t>
  </si>
  <si>
    <t>VALOR TOTAL</t>
  </si>
  <si>
    <t>,</t>
  </si>
  <si>
    <t>Descrição</t>
  </si>
  <si>
    <t>Carimbo de data/hora</t>
  </si>
  <si>
    <t>Nome Completo</t>
  </si>
  <si>
    <t>Data de Nascimento</t>
  </si>
  <si>
    <t>Endereço</t>
  </si>
  <si>
    <t>Número de telefone</t>
  </si>
  <si>
    <t>Telefone emergencial</t>
  </si>
  <si>
    <t>Estado Civil</t>
  </si>
  <si>
    <t>Bairro</t>
  </si>
  <si>
    <t>Cidade</t>
  </si>
  <si>
    <t>UF</t>
  </si>
  <si>
    <t>Meio de transporte até o TUTOIP</t>
  </si>
  <si>
    <t>Possui alergias ? Se sim, quais ?</t>
  </si>
  <si>
    <t>Possui problemas de saúde ? Se sim, qual (is) ?</t>
  </si>
  <si>
    <t>Utiliza algum medicamento diariamente ? Se sim, qual (is) ?</t>
  </si>
  <si>
    <t>Mãe de cabeça</t>
  </si>
  <si>
    <t>Pai de Cabeça</t>
  </si>
  <si>
    <t>Adjuntó</t>
  </si>
  <si>
    <t>Mentor Espiritual</t>
  </si>
  <si>
    <t>Baiano (a)</t>
  </si>
  <si>
    <t>Boiadeiro (a)</t>
  </si>
  <si>
    <t>Caboclo (a)</t>
  </si>
  <si>
    <t>Preto-velho (a)</t>
  </si>
  <si>
    <t>Marinheiro (a)</t>
  </si>
  <si>
    <t>Erê</t>
  </si>
  <si>
    <t>Cigano (a)</t>
  </si>
  <si>
    <t>Exú mirim</t>
  </si>
  <si>
    <t>Pomba-gira mirim</t>
  </si>
  <si>
    <t>Pomba-gira</t>
  </si>
  <si>
    <t>Você é batizado na Umbanda ?</t>
  </si>
  <si>
    <t>status</t>
  </si>
  <si>
    <t>MAIRA KELLY VERENGUE MOYA</t>
  </si>
  <si>
    <t>Rua Madri, 390
112. Utinga.</t>
  </si>
  <si>
    <t>12 36425194</t>
  </si>
  <si>
    <t>SOLTEIRO</t>
  </si>
  <si>
    <t>Utinga</t>
  </si>
  <si>
    <t>Santo André</t>
  </si>
  <si>
    <t>SP</t>
  </si>
  <si>
    <t>CARRO, ANDANDO</t>
  </si>
  <si>
    <t>Não</t>
  </si>
  <si>
    <t>Sim. Depressão crônica</t>
  </si>
  <si>
    <t>Sim. Venlafaxina</t>
  </si>
  <si>
    <t>Yemanjá</t>
  </si>
  <si>
    <t>Ogum</t>
  </si>
  <si>
    <t>Iansã</t>
  </si>
  <si>
    <t>Não sei</t>
  </si>
  <si>
    <t>Ainda não sei</t>
  </si>
  <si>
    <t>Não, mas tenho interesse</t>
  </si>
  <si>
    <t>ativo</t>
  </si>
  <si>
    <t>Rua Dom Benito Feijó 494</t>
  </si>
  <si>
    <t>Solteiro</t>
  </si>
  <si>
    <t>Conjunto promorar rio claro</t>
  </si>
  <si>
    <t>São Paulo</t>
  </si>
  <si>
    <t>ÔNIBUS, ANDANDO</t>
  </si>
  <si>
    <t>Sim dipirona</t>
  </si>
  <si>
    <t>Oxum Opará</t>
  </si>
  <si>
    <t>Omulu</t>
  </si>
  <si>
    <t>Zé do Coco</t>
  </si>
  <si>
    <t>Zé do laço Dourado</t>
  </si>
  <si>
    <t>7 Flechas</t>
  </si>
  <si>
    <t>Pai Joaquim de Angola</t>
  </si>
  <si>
    <t>Pipoquinha</t>
  </si>
  <si>
    <t>Tranquinha</t>
  </si>
  <si>
    <t>Tranca Ruas das Almas</t>
  </si>
  <si>
    <t>Maria Padilha das Almas</t>
  </si>
  <si>
    <t>Fernando Nathan da Silva Fontes</t>
  </si>
  <si>
    <t>Rua 19 de novembro 53 / Blc 3 Ap 31</t>
  </si>
  <si>
    <t>11 984609137</t>
  </si>
  <si>
    <t>Cidade Nova Heliópolis</t>
  </si>
  <si>
    <t>CARRO, METRÔ / TREM</t>
  </si>
  <si>
    <t>Oxaguian</t>
  </si>
  <si>
    <t>Oxóssi</t>
  </si>
  <si>
    <t>Caboclo Gira Mundo</t>
  </si>
  <si>
    <t>Exu Mirim Pimentinha</t>
  </si>
  <si>
    <t>Exu Capa Preta</t>
  </si>
  <si>
    <t>Maria Padilha Rainha das Sete Encruzilhadas</t>
  </si>
  <si>
    <t>Renato Benedetti</t>
  </si>
  <si>
    <t>Rua João Luso 168 apto 09</t>
  </si>
  <si>
    <t>11 988383518</t>
  </si>
  <si>
    <t>11 4451 8391</t>
  </si>
  <si>
    <t>Casado</t>
  </si>
  <si>
    <t>Vila Tibiriça</t>
  </si>
  <si>
    <t>CARRO</t>
  </si>
  <si>
    <t>Vitaminas e complexo B</t>
  </si>
  <si>
    <t>Oxum</t>
  </si>
  <si>
    <t>Sete Montanhas</t>
  </si>
  <si>
    <t>Corcunda</t>
  </si>
  <si>
    <t>Roseni Aparecida Trevizan</t>
  </si>
  <si>
    <t>Rua Rosário do Catete
409</t>
  </si>
  <si>
    <t>Vila Alpina</t>
  </si>
  <si>
    <t>Pressão alta</t>
  </si>
  <si>
    <t>Losartana 50</t>
  </si>
  <si>
    <t>Rodrigo Ribeiro Da Silva Alves</t>
  </si>
  <si>
    <t>Rua Giovanni nasco ,55</t>
  </si>
  <si>
    <t>(11)949626938</t>
  </si>
  <si>
    <t>(11)985497545</t>
  </si>
  <si>
    <t>Teotonio vilela</t>
  </si>
  <si>
    <t>Sp</t>
  </si>
  <si>
    <t>Capa Preta</t>
  </si>
  <si>
    <t>Thábata Dantas da Silva</t>
  </si>
  <si>
    <t>Rua Giovanni Nasci, 55 Apto 53-B</t>
  </si>
  <si>
    <t>Casada</t>
  </si>
  <si>
    <t>Teotonio Vilela</t>
  </si>
  <si>
    <t>Viviane Teixeira Andrade</t>
  </si>
  <si>
    <t>Rua Alvares Maciel, 93</t>
  </si>
  <si>
    <t>11 930167428</t>
  </si>
  <si>
    <t>Assuncao</t>
  </si>
  <si>
    <t>SAO BERNARDO DO CAMPO</t>
  </si>
  <si>
    <t>ÔNIBUS</t>
  </si>
  <si>
    <t>Nao</t>
  </si>
  <si>
    <t>Sim</t>
  </si>
  <si>
    <t>Paulo Vitor Dantas da Silva</t>
  </si>
  <si>
    <t>Rua Benedito Jacinto Mendes - Nº 234</t>
  </si>
  <si>
    <t>Jardim Grimaldi</t>
  </si>
  <si>
    <t>ÔNIBUS, CARRO</t>
  </si>
  <si>
    <t>Reniti</t>
  </si>
  <si>
    <t>Aráribóia</t>
  </si>
  <si>
    <t>Joãozinho</t>
  </si>
  <si>
    <t>Exu Tiriri da Calunga e Exu caveira</t>
  </si>
  <si>
    <t>Rosa caveira</t>
  </si>
  <si>
    <t>Marcella Ockner Diglio</t>
  </si>
  <si>
    <t>Rua Rosário do Cateté 409</t>
  </si>
  <si>
    <t>Solteira</t>
  </si>
  <si>
    <t>Picada de insetos</t>
  </si>
  <si>
    <t>Gastrite, esofagite e varizes nas pernas.</t>
  </si>
  <si>
    <t>Pantoprazol</t>
  </si>
  <si>
    <t>Maria Padilha</t>
  </si>
  <si>
    <t>Marivalda Cristina Toledo de Souza</t>
  </si>
  <si>
    <t>Rua manhufe 33 - vila Tolstoy</t>
  </si>
  <si>
    <t>11-965941697</t>
  </si>
  <si>
    <t>Viúva</t>
  </si>
  <si>
    <t>Sapopemba</t>
  </si>
  <si>
    <t>Sim, remédio lodipino, tempero sasom, e algumas pimentas</t>
  </si>
  <si>
    <t>Hipertensão arterial</t>
  </si>
  <si>
    <t>Renitec, ablok e hidroclorotiazida</t>
  </si>
  <si>
    <t>Oxóssi, Oxum</t>
  </si>
  <si>
    <t>Sr Zé Baiano da Bahia</t>
  </si>
  <si>
    <t>Pena Roxa</t>
  </si>
  <si>
    <t>Vovó Maria Conga e pai Joaquim de Angola</t>
  </si>
  <si>
    <t>Esmeralda</t>
  </si>
  <si>
    <t>Toquinho do Inferno</t>
  </si>
  <si>
    <t>Dama da Noite</t>
  </si>
  <si>
    <t>Eduardo Freire Poiato</t>
  </si>
  <si>
    <t>Rua Estela, 33</t>
  </si>
  <si>
    <t>(11) 99455-6608</t>
  </si>
  <si>
    <t>(11) 99683-2221</t>
  </si>
  <si>
    <t>Camarão e frutos do mar</t>
  </si>
  <si>
    <t>2 hérnias de disco e sem nenhuma cartilagem nos joelhos</t>
  </si>
  <si>
    <t>Diovan 80 + 12,5 hct (pressão)</t>
  </si>
  <si>
    <t>Ogum, Oxóssi, Iansã, Yemanjá</t>
  </si>
  <si>
    <t>Pai Justino e Vovó Maria</t>
  </si>
  <si>
    <t>Pinguinho</t>
  </si>
  <si>
    <t>Pomba Gira Cigana e 7 Saias</t>
  </si>
  <si>
    <t>Patricia Munglou Neri</t>
  </si>
  <si>
    <t>Rua Archinto Ferrari, 140 - apto 104</t>
  </si>
  <si>
    <t>955771888 (Roberto - Marido)</t>
  </si>
  <si>
    <t>Santo Antonio</t>
  </si>
  <si>
    <t>Sao Caetano do Sul</t>
  </si>
  <si>
    <t>Marisco, alguns medicamentos</t>
  </si>
  <si>
    <t>Hipertensao Arterial</t>
  </si>
  <si>
    <t>Micard HCT</t>
  </si>
  <si>
    <t>Maria Baiana do Pelourinho</t>
  </si>
  <si>
    <t>Ze do Laço</t>
  </si>
  <si>
    <t>Iracema</t>
  </si>
  <si>
    <t>Vovo Joaquina</t>
  </si>
  <si>
    <t>Ze das Aguas</t>
  </si>
  <si>
    <t>Joaninha</t>
  </si>
  <si>
    <t>Maria Encarnacion</t>
  </si>
  <si>
    <t>Exu Caveirinha</t>
  </si>
  <si>
    <t>Nao Sei</t>
  </si>
  <si>
    <t>Sete Encruzilhada das Almas</t>
  </si>
  <si>
    <t>Pomba Gira das Sete Encruzilhadas</t>
  </si>
  <si>
    <t>Kaio Toledo De Souza</t>
  </si>
  <si>
    <t>Rua manhufe 33</t>
  </si>
  <si>
    <t>Vila tolstoi</t>
  </si>
  <si>
    <t>Sao Paulo</t>
  </si>
  <si>
    <t>Sim. Pericardite e diabetes</t>
  </si>
  <si>
    <t>Andreia luciana da silva</t>
  </si>
  <si>
    <t>Rua francesco usper 103</t>
  </si>
  <si>
    <t>Jd sapopemba</t>
  </si>
  <si>
    <t>Renit sinusit</t>
  </si>
  <si>
    <t>Maria bonita (maria navalha)</t>
  </si>
  <si>
    <t>7 laços</t>
  </si>
  <si>
    <t>Vovô joaquim/ vovó nao sei</t>
  </si>
  <si>
    <t>Mariazinha</t>
  </si>
  <si>
    <t>Sr lodo</t>
  </si>
  <si>
    <t>Maria navalha</t>
  </si>
  <si>
    <t>Sandro Zena Alves</t>
  </si>
  <si>
    <t>Rua Taquari, 956 - apto 232</t>
  </si>
  <si>
    <t>Móoca</t>
  </si>
  <si>
    <t>Hérnia de disco - lombar</t>
  </si>
  <si>
    <t>Marina de Agostino</t>
  </si>
  <si>
    <t>Rua Traviata número 74</t>
  </si>
  <si>
    <t>953814246(Jefferson marido)</t>
  </si>
  <si>
    <t>Vila independência</t>
  </si>
  <si>
    <t>ÔNIBUS, CARRO, METRÔ / TREM</t>
  </si>
  <si>
    <t>Pinicilina</t>
  </si>
  <si>
    <t>Pressão alta, costas e joelhos</t>
  </si>
  <si>
    <t>Hidroclorotiazida, Losartana, alodipino</t>
  </si>
  <si>
    <t>Maria das Candeias</t>
  </si>
  <si>
    <t>Zé do laço</t>
  </si>
  <si>
    <t>Jacira</t>
  </si>
  <si>
    <t>Benedita de aruanda</t>
  </si>
  <si>
    <t>Catarina</t>
  </si>
  <si>
    <t>Dolores</t>
  </si>
  <si>
    <t>Lodinho</t>
  </si>
  <si>
    <t>Exu do lodo</t>
  </si>
  <si>
    <t>Maria mulambo</t>
  </si>
  <si>
    <t>Maria Carmem Marques Benatti</t>
  </si>
  <si>
    <t>Rua Torquato Tasso 155 casa 30</t>
  </si>
  <si>
    <t>Viuva</t>
  </si>
  <si>
    <t>Vila Prudente</t>
  </si>
  <si>
    <t>Sim, quimio oral</t>
  </si>
  <si>
    <t>Rita de Cassia Benedetti</t>
  </si>
  <si>
    <t>Rua Maestro João Evangelista, 286</t>
  </si>
  <si>
    <t>Vila Cunha Bueno</t>
  </si>
  <si>
    <t>Sim, amoxilina</t>
  </si>
  <si>
    <t>Sim, pressao alta</t>
  </si>
  <si>
    <t>Sim, enalapril 20, velacfarina 37.5, atenolol 50. Hidrocortiazida 25, zolpiden</t>
  </si>
  <si>
    <t>7 montanhas</t>
  </si>
  <si>
    <t>Dana da noite</t>
  </si>
  <si>
    <t>Loana Tayre Trevizan Soares Pinto</t>
  </si>
  <si>
    <t>Rua rosario do catete 409</t>
  </si>
  <si>
    <t>Vila alpina</t>
  </si>
  <si>
    <t>Gustavo Henrique Dantas Da Silva</t>
  </si>
  <si>
    <t>Rua Benedito Jacinto Mendes, 234</t>
  </si>
  <si>
    <t>Geni Mai Benedetti</t>
  </si>
  <si>
    <t>Rua Maestro João evangelista, 286</t>
  </si>
  <si>
    <t>Sim, daflon 1000, novanlo 2,5 , benicar hct 40 mg, omeoprazol, breziflex.</t>
  </si>
  <si>
    <t>Ubiratan Ribeiro Figueiredo Filho</t>
  </si>
  <si>
    <t>Rua Adriatico, 151, BL10 AP82, Jd do Estadio, Santo Andre, SP</t>
  </si>
  <si>
    <t>Jardim do Estadio</t>
  </si>
  <si>
    <t>Santo Andre</t>
  </si>
  <si>
    <t>CARRO, MOTO</t>
  </si>
  <si>
    <t>Hernia de diasco na coluna(L3 e L5)</t>
  </si>
  <si>
    <t>Treme Terra</t>
  </si>
  <si>
    <t>Bruno alexandre</t>
  </si>
  <si>
    <t>Rua Francesco Usper
103</t>
  </si>
  <si>
    <t>Mizael</t>
  </si>
  <si>
    <t>Marabo</t>
  </si>
  <si>
    <t>Roberto Gava</t>
  </si>
  <si>
    <t>Rua Archinto Ferrari 140</t>
  </si>
  <si>
    <t>Ato Antonio</t>
  </si>
  <si>
    <t>SCS</t>
  </si>
  <si>
    <t>Viviani Ursulina de Araujo</t>
  </si>
  <si>
    <t>Rua Viena, 95 -Utinga- Santo Andre</t>
  </si>
  <si>
    <t>Brasil</t>
  </si>
  <si>
    <t>ANDANDO</t>
  </si>
  <si>
    <t>Mercúrio , ampicilina e dipirona</t>
  </si>
  <si>
    <t>Rinite alérgica e pressão baixa</t>
  </si>
  <si>
    <t>Harmonet e sertralina</t>
  </si>
  <si>
    <t>inativo</t>
  </si>
  <si>
    <t>Código</t>
  </si>
  <si>
    <t>Nome</t>
  </si>
  <si>
    <t>Leonardo</t>
  </si>
  <si>
    <t>SUB-TOTAL</t>
  </si>
  <si>
    <t>Rosa claro</t>
  </si>
  <si>
    <t>243,00</t>
  </si>
  <si>
    <t>gira</t>
  </si>
  <si>
    <t>Alfazema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</si>
</sst>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R$&quot;#,##0.00;\-&quot;R$&quot;#,##0.00"/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[$-416]d\-mmm;@"/>
    <numFmt numFmtId="165" formatCode="#,##0.00_ ;[Red]\-#,##0.00\ "/>
    <numFmt numFmtId="166" formatCode="_(&quot;R$&quot;* #,##0.00_);_(&quot;R$&quot;* \(#,##0.00\);_(&quot;R$&quot;* &quot;-&quot;??_);_(@_)"/>
    <numFmt numFmtId="167" formatCode="mmmm"/>
    <numFmt numFmtId="168" formatCode="0.0"/>
    <numFmt numFmtId="169" formatCode="_-* #,##0_-;\-* #,##0_-;_-* &quot;-&quot;??_-;_-@_-"/>
    <numFmt numFmtId="170" formatCode="_-&quot;R$&quot;* #,##0_-;\-&quot;R$&quot;* #,##0_-;_-&quot;R$&quot;* &quot;-&quot;??_-;_-@_-"/>
  </numFmts>
  <fonts count="27">
    <font>
      <sz val="11"/>
      <color theme="1"/>
      <name val="Futura Com Book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Futura Com Book"/>
    </font>
    <font>
      <b/>
      <sz val="11"/>
      <color theme="1"/>
      <name val="Futura Com Book"/>
      <family val="2"/>
      <scheme val="minor"/>
    </font>
    <font>
      <sz val="11"/>
      <color theme="0"/>
      <name val="Futura Com Book"/>
      <family val="2"/>
      <scheme val="minor"/>
    </font>
    <font>
      <sz val="11"/>
      <color theme="0"/>
      <name val="Futura Com Book"/>
    </font>
    <font>
      <sz val="11"/>
      <name val="Futura Com Book"/>
      <family val="2"/>
      <scheme val="minor"/>
    </font>
    <font>
      <b/>
      <sz val="11"/>
      <name val="Futura Com Book"/>
      <family val="2"/>
      <scheme val="minor"/>
    </font>
    <font>
      <sz val="11"/>
      <color theme="1"/>
      <name val="Futura Com Book"/>
      <scheme val="minor"/>
    </font>
    <font>
      <b/>
      <sz val="11"/>
      <color theme="0"/>
      <name val="Futura Com Book"/>
      <scheme val="minor"/>
    </font>
    <font>
      <b/>
      <sz val="11"/>
      <color theme="1"/>
      <name val="Futura Com Book"/>
    </font>
    <font>
      <b/>
      <sz val="11"/>
      <color theme="1"/>
      <name val="Futura Com Book"/>
      <scheme val="minor"/>
    </font>
    <font>
      <sz val="11"/>
      <color rgb="FFFF0000"/>
      <name val="Futura Com Book"/>
      <family val="2"/>
      <scheme val="minor"/>
    </font>
    <font>
      <sz val="11"/>
      <color rgb="FF00B050"/>
      <name val="Futura Com Book"/>
      <family val="2"/>
      <scheme val="minor"/>
    </font>
    <font>
      <sz val="11"/>
      <color rgb="FFFF0000"/>
      <name val="Futura Com Book"/>
    </font>
    <font>
      <sz val="11"/>
      <color theme="1"/>
      <name val="Futura Com Book"/>
      <family val="2"/>
      <scheme val="minor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Futura Com Book"/>
      <family val="2"/>
      <scheme val="minor"/>
    </font>
    <font>
      <b/>
      <sz val="11"/>
      <color rgb="FFFA7D00"/>
      <name val="Futura Com Book"/>
      <family val="2"/>
      <scheme val="minor"/>
    </font>
    <font>
      <b/>
      <sz val="12"/>
      <color theme="1"/>
      <name val="Futura Com Book"/>
      <family val="2"/>
      <scheme val="minor"/>
    </font>
    <font>
      <b/>
      <sz val="20"/>
      <color theme="0"/>
      <name val="Arial"/>
      <family val="2"/>
    </font>
    <font>
      <sz val="11"/>
      <color rgb="FF9C0006"/>
      <name val="Arial"/>
      <family val="2"/>
    </font>
    <font>
      <i/>
      <sz val="11"/>
      <color theme="1"/>
      <name val="Futura Com Book"/>
      <scheme val="minor"/>
    </font>
    <font>
      <sz val="11"/>
      <color theme="0"/>
      <name val="Futura Com Book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theme="4" tint="-0.249977111117893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</fills>
  <borders count="16">
    <border>
      <left/>
      <right/>
      <top/>
      <bottom/>
      <diagonal/>
    </border>
    <border>
      <left/>
      <right/>
      <top style="thin">
        <color theme="4" tint="-0.249977111117893"/>
      </top>
      <bottom style="thin">
        <color theme="4" tint="0.79998168889431442"/>
      </bottom>
      <diagonal/>
    </border>
    <border>
      <left/>
      <right/>
      <top style="thin">
        <color theme="4" tint="-0.249977111117893"/>
      </top>
      <bottom style="thin">
        <color theme="4" tint="0.59999389629810485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theme="4" tint="-0.249977111117893"/>
      </top>
      <bottom style="double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/>
      <right/>
      <top/>
      <bottom style="thin">
        <color theme="4" tint="0.5999938962981048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4" tint="0.79998168889431442"/>
      </top>
      <bottom/>
      <diagonal/>
    </border>
  </borders>
  <cellStyleXfs count="4">
    <xf numFmtId="0" fontId="0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7" fillId="0" borderId="11" applyNumberFormat="0" applyFill="0" applyAlignment="0" applyProtection="0"/>
  </cellStyleXfs>
  <cellXfs count="161">
    <xf numFmtId="0" fontId="0" fillId="0" borderId="0" xfId="0"/>
    <xf numFmtId="0" fontId="3" fillId="0" borderId="0" xfId="0" applyFont="1"/>
    <xf numFmtId="0" fontId="5" fillId="2" borderId="1" xfId="0" applyFont="1" applyFill="1" applyBorder="1"/>
    <xf numFmtId="4" fontId="5" fillId="2" borderId="2" xfId="0" applyNumberFormat="1" applyFont="1" applyFill="1" applyBorder="1" applyAlignment="1">
      <alignment horizontal="center" vertical="center"/>
    </xf>
    <xf numFmtId="0" fontId="0" fillId="0" borderId="3" xfId="0" applyFont="1" applyBorder="1" applyAlignment="1">
      <alignment horizontal="left"/>
    </xf>
    <xf numFmtId="4" fontId="0" fillId="0" borderId="3" xfId="0" applyNumberFormat="1" applyFont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5" fillId="2" borderId="7" xfId="0" applyFont="1" applyFill="1" applyBorder="1"/>
    <xf numFmtId="4" fontId="5" fillId="2" borderId="8" xfId="0" applyNumberFormat="1" applyFont="1" applyFill="1" applyBorder="1" applyAlignment="1">
      <alignment horizontal="center" vertical="center"/>
    </xf>
    <xf numFmtId="1" fontId="5" fillId="2" borderId="8" xfId="0" applyNumberFormat="1" applyFont="1" applyFill="1" applyBorder="1" applyAlignment="1">
      <alignment horizontal="center" vertical="center"/>
    </xf>
    <xf numFmtId="0" fontId="4" fillId="0" borderId="6" xfId="0" applyFont="1" applyBorder="1" applyAlignment="1">
      <alignment horizontal="left"/>
    </xf>
    <xf numFmtId="4" fontId="4" fillId="0" borderId="6" xfId="0" applyNumberFormat="1" applyFont="1" applyBorder="1" applyAlignment="1">
      <alignment horizontal="center" vertical="center"/>
    </xf>
    <xf numFmtId="4" fontId="3" fillId="0" borderId="0" xfId="0" applyNumberFormat="1" applyFont="1"/>
    <xf numFmtId="0" fontId="6" fillId="3" borderId="0" xfId="0" applyFont="1" applyFill="1" applyAlignment="1">
      <alignment horizontal="center" vertical="center"/>
    </xf>
    <xf numFmtId="4" fontId="6" fillId="3" borderId="0" xfId="0" applyNumberFormat="1" applyFont="1" applyFill="1" applyAlignment="1">
      <alignment horizontal="center" vertical="center"/>
    </xf>
    <xf numFmtId="164" fontId="6" fillId="3" borderId="0" xfId="0" applyNumberFormat="1" applyFont="1" applyFill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/>
    </xf>
    <xf numFmtId="0" fontId="0" fillId="0" borderId="3" xfId="0" applyFont="1" applyBorder="1" applyAlignment="1">
      <alignment horizontal="right"/>
    </xf>
    <xf numFmtId="4" fontId="0" fillId="0" borderId="3" xfId="0" applyNumberFormat="1" applyFont="1" applyBorder="1" applyAlignment="1">
      <alignment horizontal="left" vertical="center"/>
    </xf>
    <xf numFmtId="4" fontId="0" fillId="0" borderId="3" xfId="0" applyNumberFormat="1" applyFont="1" applyBorder="1" applyAlignment="1">
      <alignment horizontal="right" vertical="center"/>
    </xf>
    <xf numFmtId="0" fontId="0" fillId="4" borderId="0" xfId="0" applyFont="1" applyFill="1" applyBorder="1" applyAlignment="1">
      <alignment horizontal="left"/>
    </xf>
    <xf numFmtId="165" fontId="7" fillId="0" borderId="3" xfId="0" applyNumberFormat="1" applyFont="1" applyBorder="1" applyAlignment="1">
      <alignment horizontal="center" vertical="center"/>
    </xf>
    <xf numFmtId="165" fontId="0" fillId="0" borderId="3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165" fontId="0" fillId="0" borderId="4" xfId="0" applyNumberFormat="1" applyFont="1" applyBorder="1" applyAlignment="1">
      <alignment horizontal="center" vertical="center"/>
    </xf>
    <xf numFmtId="165" fontId="8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4" fontId="0" fillId="0" borderId="3" xfId="0" applyNumberFormat="1" applyFont="1" applyFill="1" applyBorder="1" applyAlignment="1">
      <alignment horizontal="center" vertical="center"/>
    </xf>
    <xf numFmtId="4" fontId="9" fillId="4" borderId="3" xfId="0" applyNumberFormat="1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" xfId="0" applyNumberFormat="1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10" fillId="2" borderId="7" xfId="0" applyFont="1" applyFill="1" applyBorder="1"/>
    <xf numFmtId="0" fontId="10" fillId="2" borderId="1" xfId="0" applyFont="1" applyFill="1" applyBorder="1"/>
    <xf numFmtId="4" fontId="0" fillId="0" borderId="0" xfId="0" applyNumberFormat="1" applyFont="1" applyFill="1" applyBorder="1" applyAlignment="1">
      <alignment horizontal="left" vertical="center"/>
    </xf>
    <xf numFmtId="16" fontId="0" fillId="0" borderId="3" xfId="0" applyNumberFormat="1" applyFont="1" applyBorder="1" applyAlignment="1">
      <alignment horizontal="center"/>
    </xf>
    <xf numFmtId="16" fontId="0" fillId="0" borderId="3" xfId="0" applyNumberFormat="1" applyFont="1" applyBorder="1" applyAlignment="1">
      <alignment horizontal="right"/>
    </xf>
    <xf numFmtId="16" fontId="0" fillId="0" borderId="0" xfId="0" applyNumberFormat="1"/>
    <xf numFmtId="16" fontId="0" fillId="0" borderId="0" xfId="0" applyNumberFormat="1" applyAlignment="1">
      <alignment horizontal="center"/>
    </xf>
    <xf numFmtId="4" fontId="0" fillId="0" borderId="0" xfId="0" applyNumberFormat="1" applyFont="1" applyFill="1" applyBorder="1" applyAlignment="1">
      <alignment horizontal="right" vertical="center"/>
    </xf>
    <xf numFmtId="4" fontId="3" fillId="4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4" fontId="11" fillId="4" borderId="0" xfId="0" applyNumberFormat="1" applyFont="1" applyFill="1" applyAlignment="1">
      <alignment horizontal="center"/>
    </xf>
    <xf numFmtId="4" fontId="0" fillId="0" borderId="0" xfId="0" applyNumberFormat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4" fillId="0" borderId="9" xfId="0" applyFont="1" applyBorder="1" applyAlignment="1">
      <alignment horizontal="center"/>
    </xf>
    <xf numFmtId="16" fontId="4" fillId="0" borderId="9" xfId="0" applyNumberFormat="1" applyFont="1" applyBorder="1" applyAlignment="1">
      <alignment horizontal="center"/>
    </xf>
    <xf numFmtId="0" fontId="0" fillId="0" borderId="9" xfId="0" applyBorder="1"/>
    <xf numFmtId="0" fontId="4" fillId="0" borderId="0" xfId="0" applyFont="1" applyBorder="1" applyAlignment="1">
      <alignment horizontal="center"/>
    </xf>
    <xf numFmtId="0" fontId="0" fillId="0" borderId="0" xfId="0" applyBorder="1"/>
    <xf numFmtId="2" fontId="0" fillId="0" borderId="0" xfId="0" applyNumberFormat="1"/>
    <xf numFmtId="4" fontId="0" fillId="0" borderId="0" xfId="0" applyNumberFormat="1" applyFont="1" applyFill="1" applyBorder="1" applyAlignment="1">
      <alignment horizontal="center" vertical="center"/>
    </xf>
    <xf numFmtId="17" fontId="0" fillId="0" borderId="3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3" fillId="0" borderId="0" xfId="0" applyNumberFormat="1" applyFont="1" applyAlignment="1">
      <alignment horizontal="center"/>
    </xf>
    <xf numFmtId="0" fontId="0" fillId="0" borderId="0" xfId="0" applyAlignment="1">
      <alignment horizontal="left" vertical="center"/>
    </xf>
    <xf numFmtId="164" fontId="0" fillId="0" borderId="3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quotePrefix="1" applyNumberFormat="1"/>
    <xf numFmtId="0" fontId="0" fillId="5" borderId="0" xfId="0" applyFill="1"/>
    <xf numFmtId="165" fontId="14" fillId="0" borderId="0" xfId="0" quotePrefix="1" applyNumberFormat="1" applyFont="1"/>
    <xf numFmtId="4" fontId="0" fillId="0" borderId="0" xfId="0" applyNumberForma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4" fontId="0" fillId="5" borderId="3" xfId="0" applyNumberFormat="1" applyFont="1" applyFill="1" applyBorder="1" applyAlignment="1">
      <alignment horizontal="center" vertical="center"/>
    </xf>
    <xf numFmtId="164" fontId="0" fillId="5" borderId="3" xfId="0" applyNumberFormat="1" applyFont="1" applyFill="1" applyBorder="1" applyAlignment="1">
      <alignment horizontal="center" vertical="center"/>
    </xf>
    <xf numFmtId="165" fontId="0" fillId="5" borderId="0" xfId="0" quotePrefix="1" applyNumberFormat="1" applyFill="1"/>
    <xf numFmtId="4" fontId="13" fillId="0" borderId="3" xfId="0" applyNumberFormat="1" applyFont="1" applyBorder="1" applyAlignment="1">
      <alignment horizontal="center" vertical="center"/>
    </xf>
    <xf numFmtId="4" fontId="7" fillId="0" borderId="3" xfId="0" applyNumberFormat="1" applyFont="1" applyBorder="1" applyAlignment="1">
      <alignment horizontal="center" vertical="center"/>
    </xf>
    <xf numFmtId="165" fontId="3" fillId="0" borderId="0" xfId="0" applyNumberFormat="1" applyFont="1"/>
    <xf numFmtId="0" fontId="3" fillId="0" borderId="0" xfId="0" applyFont="1" applyFill="1"/>
    <xf numFmtId="4" fontId="3" fillId="0" borderId="0" xfId="0" applyNumberFormat="1" applyFont="1" applyFill="1"/>
    <xf numFmtId="4" fontId="15" fillId="0" borderId="0" xfId="0" applyNumberFormat="1" applyFont="1" applyFill="1"/>
    <xf numFmtId="0" fontId="15" fillId="0" borderId="0" xfId="0" applyFont="1" applyFill="1"/>
    <xf numFmtId="0" fontId="0" fillId="0" borderId="12" xfId="0" applyBorder="1"/>
    <xf numFmtId="0" fontId="0" fillId="7" borderId="0" xfId="0" applyFill="1"/>
    <xf numFmtId="0" fontId="5" fillId="0" borderId="0" xfId="0" applyFont="1"/>
    <xf numFmtId="0" fontId="20" fillId="3" borderId="0" xfId="0" applyFont="1" applyFill="1"/>
    <xf numFmtId="44" fontId="0" fillId="0" borderId="0" xfId="2" applyFont="1"/>
    <xf numFmtId="0" fontId="0" fillId="7" borderId="12" xfId="0" applyFill="1" applyBorder="1"/>
    <xf numFmtId="0" fontId="0" fillId="0" borderId="12" xfId="0" quotePrefix="1" applyBorder="1"/>
    <xf numFmtId="44" fontId="21" fillId="6" borderId="10" xfId="2" applyFont="1" applyFill="1" applyBorder="1"/>
    <xf numFmtId="44" fontId="20" fillId="3" borderId="0" xfId="2" applyFont="1" applyFill="1"/>
    <xf numFmtId="0" fontId="13" fillId="0" borderId="12" xfId="0" applyFont="1" applyBorder="1"/>
    <xf numFmtId="0" fontId="5" fillId="7" borderId="0" xfId="0" applyFont="1" applyFill="1"/>
    <xf numFmtId="0" fontId="5" fillId="0" borderId="0" xfId="0" quotePrefix="1" applyFont="1"/>
    <xf numFmtId="0" fontId="7" fillId="0" borderId="0" xfId="0" applyFont="1"/>
    <xf numFmtId="0" fontId="20" fillId="0" borderId="0" xfId="0" applyFont="1"/>
    <xf numFmtId="44" fontId="21" fillId="0" borderId="10" xfId="2" applyFont="1" applyBorder="1"/>
    <xf numFmtId="0" fontId="7" fillId="0" borderId="12" xfId="0" applyFont="1" applyBorder="1"/>
    <xf numFmtId="0" fontId="7" fillId="0" borderId="12" xfId="0" quotePrefix="1" applyFont="1" applyBorder="1"/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169" fontId="5" fillId="0" borderId="0" xfId="1" applyNumberFormat="1" applyFont="1"/>
    <xf numFmtId="0" fontId="22" fillId="0" borderId="0" xfId="0" applyFont="1"/>
    <xf numFmtId="0" fontId="0" fillId="0" borderId="13" xfId="0" applyBorder="1"/>
    <xf numFmtId="44" fontId="0" fillId="0" borderId="13" xfId="2" applyFont="1" applyBorder="1"/>
    <xf numFmtId="16" fontId="0" fillId="0" borderId="13" xfId="0" applyNumberFormat="1" applyBorder="1"/>
    <xf numFmtId="44" fontId="0" fillId="0" borderId="0" xfId="2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/>
    <xf numFmtId="0" fontId="18" fillId="3" borderId="0" xfId="0" applyFont="1" applyFill="1" applyAlignment="1">
      <alignment horizontal="center" vertical="center"/>
    </xf>
    <xf numFmtId="0" fontId="19" fillId="0" borderId="0" xfId="0" applyFont="1"/>
    <xf numFmtId="4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3" fontId="0" fillId="0" borderId="0" xfId="0" applyNumberFormat="1"/>
    <xf numFmtId="22" fontId="0" fillId="0" borderId="0" xfId="0" applyNumberFormat="1" applyAlignment="1"/>
    <xf numFmtId="44" fontId="24" fillId="8" borderId="0" xfId="2" applyFont="1" applyFill="1" applyAlignment="1">
      <alignment horizontal="center" vertical="center"/>
    </xf>
    <xf numFmtId="0" fontId="10" fillId="3" borderId="0" xfId="0" applyFont="1" applyFill="1"/>
    <xf numFmtId="0" fontId="25" fillId="0" borderId="0" xfId="0" applyFont="1"/>
    <xf numFmtId="0" fontId="1" fillId="0" borderId="0" xfId="0" applyFont="1"/>
    <xf numFmtId="165" fontId="0" fillId="0" borderId="0" xfId="0" quotePrefix="1" applyNumberFormat="1" applyFill="1"/>
    <xf numFmtId="4" fontId="13" fillId="0" borderId="3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0" fontId="0" fillId="0" borderId="0" xfId="2" applyNumberFormat="1" applyFont="1"/>
    <xf numFmtId="1" fontId="0" fillId="0" borderId="0" xfId="0" applyNumberFormat="1" applyAlignment="1">
      <alignment horizontal="center" vertical="center"/>
    </xf>
    <xf numFmtId="1" fontId="13" fillId="0" borderId="0" xfId="1" applyNumberFormat="1" applyFont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0" fillId="0" borderId="0" xfId="0" quotePrefix="1" applyNumberFormat="1" applyAlignment="1">
      <alignment horizontal="center" vertical="center"/>
    </xf>
    <xf numFmtId="0" fontId="0" fillId="0" borderId="15" xfId="0" applyFont="1" applyBorder="1" applyAlignment="1">
      <alignment horizontal="left"/>
    </xf>
    <xf numFmtId="165" fontId="7" fillId="0" borderId="15" xfId="0" applyNumberFormat="1" applyFont="1" applyBorder="1" applyAlignment="1">
      <alignment horizontal="center" vertical="center"/>
    </xf>
    <xf numFmtId="167" fontId="0" fillId="0" borderId="0" xfId="0" applyNumberFormat="1"/>
    <xf numFmtId="167" fontId="6" fillId="3" borderId="0" xfId="0" applyNumberFormat="1" applyFont="1" applyFill="1" applyAlignment="1">
      <alignment horizontal="center" vertical="center"/>
    </xf>
    <xf numFmtId="167" fontId="0" fillId="0" borderId="3" xfId="0" applyNumberFormat="1" applyFont="1" applyBorder="1" applyAlignment="1">
      <alignment horizontal="center" vertical="center"/>
    </xf>
    <xf numFmtId="165" fontId="26" fillId="3" borderId="0" xfId="0" quotePrefix="1" applyNumberFormat="1" applyFont="1" applyFill="1"/>
    <xf numFmtId="0" fontId="0" fillId="0" borderId="0" xfId="0"/>
    <xf numFmtId="4" fontId="3" fillId="4" borderId="0" xfId="0" applyNumberFormat="1" applyFont="1" applyFill="1"/>
    <xf numFmtId="0" fontId="0" fillId="0" borderId="0" xfId="0" quotePrefix="1"/>
    <xf numFmtId="44" fontId="7" fillId="0" borderId="0" xfId="2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3" borderId="0" xfId="0" applyFont="1" applyFill="1" applyAlignment="1">
      <alignment horizontal="center" vertical="center"/>
    </xf>
    <xf numFmtId="0" fontId="13" fillId="0" borderId="3" xfId="0" applyFont="1" applyBorder="1" applyAlignment="1">
      <alignment horizontal="left"/>
    </xf>
    <xf numFmtId="7" fontId="1" fillId="0" borderId="0" xfId="0" applyNumberFormat="1" applyFont="1"/>
    <xf numFmtId="14" fontId="1" fillId="0" borderId="0" xfId="0" applyNumberFormat="1" applyFont="1"/>
    <xf numFmtId="0" fontId="1" fillId="0" borderId="14" xfId="0" applyFont="1" applyBorder="1"/>
    <xf numFmtId="7" fontId="1" fillId="0" borderId="14" xfId="0" applyNumberFormat="1" applyFont="1" applyBorder="1"/>
    <xf numFmtId="14" fontId="1" fillId="0" borderId="14" xfId="0" applyNumberFormat="1" applyFont="1" applyBorder="1"/>
    <xf numFmtId="0" fontId="0" fillId="0" borderId="0" xfId="0" applyAlignment="1">
      <alignment horizontal="center"/>
    </xf>
    <xf numFmtId="165" fontId="7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3" borderId="0" xfId="0" applyFont="1" applyFill="1" applyAlignment="1">
      <alignment horizontal="center"/>
    </xf>
    <xf numFmtId="0" fontId="20" fillId="3" borderId="0" xfId="0" applyFont="1" applyFill="1" applyAlignment="1">
      <alignment horizontal="center" vertical="center"/>
    </xf>
    <xf numFmtId="167" fontId="23" fillId="3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7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166" fontId="17" fillId="0" borderId="11" xfId="3" applyNumberFormat="1" applyAlignment="1">
      <alignment horizontal="center"/>
    </xf>
  </cellXfs>
  <cellStyles count="4">
    <cellStyle name="Célula Vinculada" xfId="3" builtinId="24"/>
    <cellStyle name="Moeda" xfId="2" builtinId="4"/>
    <cellStyle name="Normal" xfId="0" builtinId="0"/>
    <cellStyle name="Vírgula" xfId="1" builtinId="3"/>
  </cellStyles>
  <dxfs count="12"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5</xdr:col>
      <xdr:colOff>520976</xdr:colOff>
      <xdr:row>6</xdr:row>
      <xdr:rowOff>161925</xdr:rowOff>
    </xdr:to>
    <xdr:sp macro="[0]!resumovelas" textlink="">
      <xdr:nvSpPr>
        <xdr:cNvPr id="2" name="Retângulo 1">
          <a:extLst>
            <a:ext uri="{FF2B5EF4-FFF2-40B4-BE49-F238E27FC236}">
              <a16:creationId xmlns:a16="http://schemas.microsoft.com/office/drawing/2014/main" xmlns="" id="{9815F207-A815-46A5-ADC0-08FA8F387071}"/>
            </a:ext>
          </a:extLst>
        </xdr:cNvPr>
        <xdr:cNvSpPr/>
      </xdr:nvSpPr>
      <xdr:spPr>
        <a:xfrm>
          <a:off x="2743200" y="904875"/>
          <a:ext cx="1206776" cy="342900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INSERIR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333375</xdr:colOff>
      <xdr:row>4</xdr:row>
      <xdr:rowOff>28575</xdr:rowOff>
    </xdr:from>
    <xdr:ext cx="2724085" cy="1400175"/>
    <xdr:pic>
      <xdr:nvPicPr>
        <xdr:cNvPr id="4" name="Imagem 3">
          <a:extLst>
            <a:ext uri="{FF2B5EF4-FFF2-40B4-BE49-F238E27FC236}">
              <a16:creationId xmlns:a16="http://schemas.microsoft.com/office/drawing/2014/main" xmlns="" id="{9DEEEA2A-3304-4052-956F-2AF462790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752475"/>
          <a:ext cx="2724085" cy="14001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6</xdr:col>
      <xdr:colOff>209177</xdr:colOff>
      <xdr:row>6</xdr:row>
      <xdr:rowOff>6506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F536E74B-7F1E-474A-B0A7-B41A075F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"/>
          <a:ext cx="2124075" cy="1032031"/>
        </a:xfrm>
        <a:prstGeom prst="rect">
          <a:avLst/>
        </a:prstGeom>
      </xdr:spPr>
    </xdr:pic>
    <xdr:clientData/>
  </xdr:twoCellAnchor>
  <xdr:twoCellAnchor>
    <xdr:from>
      <xdr:col>0</xdr:col>
      <xdr:colOff>238123</xdr:colOff>
      <xdr:row>6</xdr:row>
      <xdr:rowOff>38101</xdr:rowOff>
    </xdr:from>
    <xdr:to>
      <xdr:col>3</xdr:col>
      <xdr:colOff>266698</xdr:colOff>
      <xdr:row>7</xdr:row>
      <xdr:rowOff>142876</xdr:rowOff>
    </xdr:to>
    <xdr:sp macro="[0]!relatoriovelas" textlink="">
      <xdr:nvSpPr>
        <xdr:cNvPr id="4" name="Retângulo 3">
          <a:extLst>
            <a:ext uri="{FF2B5EF4-FFF2-40B4-BE49-F238E27FC236}">
              <a16:creationId xmlns:a16="http://schemas.microsoft.com/office/drawing/2014/main" xmlns="" id="{74980AF4-5CCB-41A2-8BF1-17D4B3F6665A}"/>
            </a:ext>
          </a:extLst>
        </xdr:cNvPr>
        <xdr:cNvSpPr/>
      </xdr:nvSpPr>
      <xdr:spPr>
        <a:xfrm>
          <a:off x="238123" y="1276351"/>
          <a:ext cx="1257300" cy="285750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Gerar</a:t>
          </a:r>
          <a:r>
            <a:rPr lang="pt-BR" sz="1100" b="1" baseline="0"/>
            <a:t> relatório</a:t>
          </a:r>
          <a:endParaRPr lang="pt-B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9528</xdr:rowOff>
    </xdr:from>
    <xdr:to>
      <xdr:col>5</xdr:col>
      <xdr:colOff>371475</xdr:colOff>
      <xdr:row>10</xdr:row>
      <xdr:rowOff>168083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C8CF339-3011-4F83-99A7-A2E0694F7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8"/>
          <a:ext cx="3848099" cy="19968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Red Bull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0F0069"/>
      </a:accent1>
      <a:accent2>
        <a:srgbClr val="CC0033"/>
      </a:accent2>
      <a:accent3>
        <a:srgbClr val="CCCCCC"/>
      </a:accent3>
      <a:accent4>
        <a:srgbClr val="999999"/>
      </a:accent4>
      <a:accent5>
        <a:srgbClr val="666666"/>
      </a:accent5>
      <a:accent6>
        <a:srgbClr val="FFBE00"/>
      </a:accent6>
      <a:hlink>
        <a:srgbClr val="3399FF"/>
      </a:hlink>
      <a:folHlink>
        <a:srgbClr val="B2B2B2"/>
      </a:folHlink>
    </a:clrScheme>
    <a:fontScheme name="Red Bull">
      <a:majorFont>
        <a:latin typeface="Futura Com Book"/>
        <a:ea typeface=""/>
        <a:cs typeface=""/>
      </a:majorFont>
      <a:minorFont>
        <a:latin typeface="Futura Com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8"/>
  <sheetViews>
    <sheetView showGridLines="0" workbookViewId="0">
      <selection activeCell="A8" sqref="A8"/>
    </sheetView>
  </sheetViews>
  <sheetFormatPr defaultRowHeight="14.25"/>
  <sheetData>
    <row r="1" spans="1:1">
      <c r="A1" s="136" t="s">
        <v>0</v>
      </c>
    </row>
    <row r="3" spans="1:1">
      <c r="A3" s="136" t="s">
        <v>1</v>
      </c>
    </row>
    <row r="4" spans="1:1">
      <c r="A4" s="136" t="s">
        <v>2</v>
      </c>
    </row>
    <row r="5" spans="1:1">
      <c r="A5" s="136" t="s">
        <v>3</v>
      </c>
    </row>
    <row r="6" spans="1:1">
      <c r="A6" s="136" t="s">
        <v>4</v>
      </c>
    </row>
    <row r="7" spans="1:1">
      <c r="A7" s="136" t="s">
        <v>5</v>
      </c>
    </row>
    <row r="8" spans="1:1">
      <c r="A8" s="136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67"/>
  <sheetViews>
    <sheetView showGridLines="0" workbookViewId="0">
      <pane ySplit="2" topLeftCell="A174" activePane="bottomLeft" state="frozen"/>
      <selection activeCell="M30" sqref="M30"/>
      <selection pane="bottomLeft" activeCell="C182" sqref="C182"/>
    </sheetView>
  </sheetViews>
  <sheetFormatPr defaultRowHeight="14.25"/>
  <cols>
    <col min="2" max="2" width="6.25" style="61" customWidth="1"/>
    <col min="3" max="3" width="9.875" style="61" customWidth="1"/>
    <col min="4" max="4" width="17.375" style="63" bestFit="1" customWidth="1"/>
    <col min="5" max="6" width="10.875" style="123" customWidth="1"/>
    <col min="7" max="7" width="8.75" style="123"/>
    <col min="8" max="8" width="1.75" style="65" customWidth="1"/>
    <col min="9" max="9" width="18.625" style="121" customWidth="1"/>
    <col min="10" max="11" width="9" style="65"/>
    <col min="12" max="12" width="10.375" style="65" bestFit="1" customWidth="1"/>
    <col min="13" max="13" width="12" style="65" bestFit="1" customWidth="1"/>
    <col min="14" max="14" width="2.375" style="65" customWidth="1"/>
    <col min="15" max="15" width="16.375" style="65" bestFit="1" customWidth="1"/>
    <col min="16" max="16" width="9.375" style="128" customWidth="1"/>
    <col min="17" max="16384" width="9" style="65"/>
  </cols>
  <sheetData>
    <row r="1" spans="2:16" customFormat="1">
      <c r="B1" s="61"/>
      <c r="C1" s="61"/>
      <c r="D1" s="61"/>
      <c r="E1" s="69"/>
      <c r="F1" s="69"/>
      <c r="G1" s="61"/>
      <c r="H1" s="136"/>
      <c r="I1" s="66"/>
      <c r="J1" s="136"/>
      <c r="K1" s="136"/>
      <c r="L1" s="136"/>
      <c r="M1" s="136"/>
      <c r="N1" s="136"/>
      <c r="O1" s="136"/>
      <c r="P1" s="126"/>
    </row>
    <row r="2" spans="2:16" customFormat="1">
      <c r="B2" s="15" t="s">
        <v>7</v>
      </c>
      <c r="C2" s="15" t="s">
        <v>8</v>
      </c>
      <c r="D2" s="16" t="s">
        <v>9</v>
      </c>
      <c r="E2" s="16" t="s">
        <v>10</v>
      </c>
      <c r="F2" s="17" t="s">
        <v>11</v>
      </c>
      <c r="G2" s="16" t="s">
        <v>12</v>
      </c>
      <c r="H2" s="136"/>
      <c r="I2" s="135" t="s">
        <v>13</v>
      </c>
      <c r="J2" s="136"/>
      <c r="K2" s="136"/>
      <c r="L2" s="136"/>
      <c r="M2" s="136"/>
      <c r="N2" s="136"/>
      <c r="O2" s="136"/>
      <c r="P2" s="126"/>
    </row>
    <row r="3" spans="2:16" customFormat="1">
      <c r="B3" s="60">
        <f t="shared" ref="B3:B34" si="0">MONTH(G3)</f>
        <v>1</v>
      </c>
      <c r="C3" s="60" t="s">
        <v>14</v>
      </c>
      <c r="D3" s="20" t="s">
        <v>15</v>
      </c>
      <c r="E3" s="5">
        <v>50</v>
      </c>
      <c r="F3" s="18" t="s">
        <v>16</v>
      </c>
      <c r="G3" s="18">
        <v>43466</v>
      </c>
      <c r="H3" s="136"/>
      <c r="I3" s="66"/>
      <c r="J3" s="136"/>
      <c r="K3" s="136"/>
      <c r="L3" s="136"/>
      <c r="M3" s="136"/>
      <c r="N3" s="136"/>
      <c r="O3" s="136"/>
      <c r="P3" s="126"/>
    </row>
    <row r="4" spans="2:16" customFormat="1">
      <c r="B4" s="60">
        <f t="shared" si="0"/>
        <v>1</v>
      </c>
      <c r="C4" s="60" t="s">
        <v>14</v>
      </c>
      <c r="D4" s="20" t="s">
        <v>17</v>
      </c>
      <c r="E4" s="5">
        <v>100</v>
      </c>
      <c r="F4" s="18" t="s">
        <v>16</v>
      </c>
      <c r="G4" s="18">
        <v>43472</v>
      </c>
      <c r="H4" s="136"/>
      <c r="I4" s="66"/>
      <c r="J4" s="136"/>
      <c r="K4" s="136" t="s">
        <v>18</v>
      </c>
      <c r="L4" s="136"/>
      <c r="M4" s="86">
        <v>2102</v>
      </c>
      <c r="N4" s="136"/>
      <c r="O4" s="136" t="s">
        <v>19</v>
      </c>
      <c r="P4" s="127">
        <f>SUM(M4:M7)/100</f>
        <v>27.513999999999999</v>
      </c>
    </row>
    <row r="5" spans="2:16" customFormat="1">
      <c r="B5" s="60">
        <f t="shared" si="0"/>
        <v>1</v>
      </c>
      <c r="C5" s="60" t="s">
        <v>14</v>
      </c>
      <c r="D5" s="20" t="s">
        <v>20</v>
      </c>
      <c r="E5" s="5">
        <v>100</v>
      </c>
      <c r="F5" s="18" t="s">
        <v>21</v>
      </c>
      <c r="G5" s="18">
        <v>43475</v>
      </c>
      <c r="H5" s="136"/>
      <c r="I5" s="66"/>
      <c r="J5" s="136"/>
      <c r="K5" s="136"/>
      <c r="L5" s="136"/>
      <c r="M5" s="86">
        <v>202.4</v>
      </c>
      <c r="N5" s="136"/>
      <c r="O5" s="136" t="s">
        <v>22</v>
      </c>
      <c r="P5" s="126">
        <v>15</v>
      </c>
    </row>
    <row r="6" spans="2:16" customFormat="1">
      <c r="B6" s="60">
        <f t="shared" si="0"/>
        <v>1</v>
      </c>
      <c r="C6" s="60" t="s">
        <v>14</v>
      </c>
      <c r="D6" s="20" t="s">
        <v>23</v>
      </c>
      <c r="E6" s="5">
        <v>100</v>
      </c>
      <c r="F6" s="18" t="s">
        <v>16</v>
      </c>
      <c r="G6" s="18">
        <v>43477</v>
      </c>
      <c r="H6" s="136"/>
      <c r="I6" s="66"/>
      <c r="J6" s="136"/>
      <c r="K6" s="136"/>
      <c r="L6" s="136"/>
      <c r="M6" s="86">
        <f>217+180</f>
        <v>397</v>
      </c>
      <c r="N6" s="136"/>
      <c r="O6" s="138" t="s">
        <v>24</v>
      </c>
      <c r="P6" s="129"/>
    </row>
    <row r="7" spans="2:16" customFormat="1">
      <c r="B7" s="60">
        <f t="shared" si="0"/>
        <v>1</v>
      </c>
      <c r="C7" s="60" t="s">
        <v>14</v>
      </c>
      <c r="D7" s="20" t="s">
        <v>25</v>
      </c>
      <c r="E7" s="5">
        <v>100</v>
      </c>
      <c r="F7" s="18" t="s">
        <v>16</v>
      </c>
      <c r="G7" s="18">
        <v>43477</v>
      </c>
      <c r="H7" s="136"/>
      <c r="I7" s="66"/>
      <c r="J7" s="136"/>
      <c r="K7" s="136"/>
      <c r="L7" s="136"/>
      <c r="M7" s="86">
        <v>50</v>
      </c>
      <c r="N7" s="136"/>
      <c r="O7" s="136" t="s">
        <v>26</v>
      </c>
      <c r="P7" s="126">
        <f>P4-P5</f>
        <v>12.513999999999999</v>
      </c>
    </row>
    <row r="8" spans="2:16" customFormat="1">
      <c r="B8" s="60">
        <f t="shared" si="0"/>
        <v>1</v>
      </c>
      <c r="C8" s="60" t="s">
        <v>14</v>
      </c>
      <c r="D8" s="20" t="s">
        <v>27</v>
      </c>
      <c r="E8" s="5">
        <v>100</v>
      </c>
      <c r="F8" s="18" t="s">
        <v>21</v>
      </c>
      <c r="G8" s="18">
        <v>43479</v>
      </c>
      <c r="H8" s="136"/>
      <c r="I8" s="66"/>
      <c r="J8" s="136"/>
      <c r="K8" s="136"/>
      <c r="L8" s="136"/>
      <c r="M8" s="86"/>
      <c r="N8" s="136"/>
      <c r="O8" s="136" t="s">
        <v>28</v>
      </c>
      <c r="P8" s="126">
        <v>0</v>
      </c>
    </row>
    <row r="9" spans="2:16" customFormat="1">
      <c r="B9" s="60">
        <f t="shared" si="0"/>
        <v>1</v>
      </c>
      <c r="C9" s="60" t="s">
        <v>14</v>
      </c>
      <c r="D9" s="20" t="s">
        <v>29</v>
      </c>
      <c r="E9" s="5">
        <v>100</v>
      </c>
      <c r="F9" s="18" t="s">
        <v>21</v>
      </c>
      <c r="G9" s="18">
        <v>43479</v>
      </c>
      <c r="H9" s="136"/>
      <c r="I9" s="66"/>
      <c r="J9" s="136"/>
      <c r="K9" s="136"/>
      <c r="L9" s="136"/>
      <c r="M9" s="125">
        <f>SUM(M4:M7)/27.514</f>
        <v>100</v>
      </c>
      <c r="N9" s="136"/>
      <c r="O9" s="136"/>
      <c r="P9" s="126"/>
    </row>
    <row r="10" spans="2:16" customFormat="1">
      <c r="B10" s="60">
        <f t="shared" si="0"/>
        <v>1</v>
      </c>
      <c r="C10" s="60" t="s">
        <v>14</v>
      </c>
      <c r="D10" s="20" t="s">
        <v>30</v>
      </c>
      <c r="E10" s="5">
        <v>100</v>
      </c>
      <c r="F10" s="18" t="s">
        <v>16</v>
      </c>
      <c r="G10" s="18">
        <v>43485</v>
      </c>
      <c r="H10" s="136"/>
      <c r="I10" s="66"/>
      <c r="J10" s="136"/>
      <c r="K10" s="136"/>
      <c r="L10" s="136"/>
      <c r="M10" s="136"/>
      <c r="N10" s="136"/>
      <c r="O10" s="136"/>
      <c r="P10" s="126"/>
    </row>
    <row r="11" spans="2:16" customFormat="1">
      <c r="B11" s="60">
        <f t="shared" si="0"/>
        <v>1</v>
      </c>
      <c r="C11" s="60" t="s">
        <v>14</v>
      </c>
      <c r="D11" s="20" t="s">
        <v>31</v>
      </c>
      <c r="E11" s="5">
        <v>100</v>
      </c>
      <c r="F11" s="18" t="s">
        <v>21</v>
      </c>
      <c r="G11" s="18">
        <v>43496</v>
      </c>
      <c r="H11" s="136"/>
      <c r="I11" s="66"/>
      <c r="J11" s="136"/>
      <c r="K11" s="136"/>
      <c r="L11" s="136"/>
      <c r="M11" s="136"/>
      <c r="N11" s="136"/>
      <c r="O11" s="136"/>
      <c r="P11" s="126"/>
    </row>
    <row r="12" spans="2:16" customFormat="1">
      <c r="B12" s="60">
        <f t="shared" si="0"/>
        <v>1</v>
      </c>
      <c r="C12" s="60" t="s">
        <v>14</v>
      </c>
      <c r="D12" s="20" t="s">
        <v>32</v>
      </c>
      <c r="E12" s="5">
        <v>100</v>
      </c>
      <c r="F12" s="18" t="s">
        <v>21</v>
      </c>
      <c r="G12" s="18">
        <v>43496</v>
      </c>
      <c r="H12" s="136"/>
      <c r="I12" s="66"/>
      <c r="J12" s="136"/>
      <c r="K12" s="136"/>
      <c r="L12" s="136"/>
      <c r="M12" s="136"/>
      <c r="N12" s="136"/>
      <c r="O12" s="136"/>
      <c r="P12" s="126"/>
    </row>
    <row r="13" spans="2:16" customFormat="1">
      <c r="B13" s="60">
        <f t="shared" si="0"/>
        <v>2</v>
      </c>
      <c r="C13" s="60" t="s">
        <v>33</v>
      </c>
      <c r="D13" s="20" t="s">
        <v>34</v>
      </c>
      <c r="E13" s="5">
        <v>100</v>
      </c>
      <c r="F13" s="18" t="s">
        <v>21</v>
      </c>
      <c r="G13" s="18">
        <v>43497</v>
      </c>
      <c r="H13" s="136"/>
      <c r="I13" s="66"/>
      <c r="J13" s="136"/>
      <c r="K13" s="136"/>
      <c r="L13" s="136"/>
      <c r="M13" s="136"/>
      <c r="N13" s="136"/>
      <c r="O13" s="136"/>
      <c r="P13" s="126"/>
    </row>
    <row r="14" spans="2:16" customFormat="1">
      <c r="B14" s="60">
        <f t="shared" si="0"/>
        <v>2</v>
      </c>
      <c r="C14" s="60" t="s">
        <v>33</v>
      </c>
      <c r="D14" s="20" t="s">
        <v>35</v>
      </c>
      <c r="E14" s="5">
        <v>100</v>
      </c>
      <c r="F14" s="18" t="s">
        <v>36</v>
      </c>
      <c r="G14" s="18">
        <v>43501</v>
      </c>
      <c r="H14" s="136"/>
      <c r="I14" s="66"/>
      <c r="J14" s="136"/>
      <c r="K14" s="136"/>
      <c r="L14" s="136"/>
      <c r="M14" s="136"/>
      <c r="N14" s="136"/>
      <c r="O14" s="136"/>
      <c r="P14" s="126"/>
    </row>
    <row r="15" spans="2:16" customFormat="1">
      <c r="B15" s="60">
        <f t="shared" si="0"/>
        <v>2</v>
      </c>
      <c r="C15" s="60" t="s">
        <v>33</v>
      </c>
      <c r="D15" s="20" t="s">
        <v>37</v>
      </c>
      <c r="E15" s="5">
        <v>100</v>
      </c>
      <c r="F15" s="18" t="s">
        <v>21</v>
      </c>
      <c r="G15" s="18">
        <v>43501</v>
      </c>
      <c r="H15" s="136"/>
      <c r="I15" s="66"/>
      <c r="J15" s="136"/>
      <c r="K15" s="136"/>
      <c r="L15" s="136"/>
      <c r="M15" s="136"/>
      <c r="N15" s="136"/>
      <c r="O15" s="136"/>
      <c r="P15" s="126"/>
    </row>
    <row r="16" spans="2:16" customFormat="1">
      <c r="B16" s="60">
        <f t="shared" si="0"/>
        <v>2</v>
      </c>
      <c r="C16" s="60" t="s">
        <v>33</v>
      </c>
      <c r="D16" s="20" t="s">
        <v>38</v>
      </c>
      <c r="E16" s="5">
        <v>100</v>
      </c>
      <c r="F16" s="18" t="s">
        <v>21</v>
      </c>
      <c r="G16" s="18">
        <v>43501</v>
      </c>
      <c r="H16" s="136"/>
      <c r="I16" s="66"/>
      <c r="J16" s="136"/>
      <c r="K16" s="136"/>
      <c r="L16" s="136"/>
      <c r="M16" s="136"/>
      <c r="N16" s="136"/>
      <c r="O16" s="136"/>
      <c r="P16" s="126"/>
    </row>
    <row r="17" spans="2:16" customFormat="1">
      <c r="B17" s="60">
        <f t="shared" si="0"/>
        <v>2</v>
      </c>
      <c r="C17" s="60" t="s">
        <v>33</v>
      </c>
      <c r="D17" s="20" t="s">
        <v>39</v>
      </c>
      <c r="E17" s="5">
        <v>100</v>
      </c>
      <c r="F17" s="18" t="s">
        <v>36</v>
      </c>
      <c r="G17" s="18">
        <v>43501</v>
      </c>
      <c r="H17" s="136"/>
      <c r="I17" s="66"/>
      <c r="J17" s="136"/>
      <c r="K17" s="136"/>
      <c r="L17" s="136"/>
      <c r="M17" s="136"/>
      <c r="N17" s="136"/>
      <c r="O17" s="136"/>
      <c r="P17" s="126"/>
    </row>
    <row r="18" spans="2:16" customFormat="1">
      <c r="B18" s="60">
        <f t="shared" si="0"/>
        <v>2</v>
      </c>
      <c r="C18" s="60" t="s">
        <v>33</v>
      </c>
      <c r="D18" s="20" t="s">
        <v>40</v>
      </c>
      <c r="E18" s="5">
        <v>100</v>
      </c>
      <c r="F18" s="18" t="s">
        <v>41</v>
      </c>
      <c r="G18" s="18">
        <v>43501</v>
      </c>
      <c r="H18" s="136"/>
      <c r="I18" s="66"/>
      <c r="J18" s="136"/>
      <c r="K18" s="136"/>
      <c r="L18" s="136"/>
      <c r="M18" s="136"/>
      <c r="N18" s="136"/>
      <c r="O18" s="136"/>
      <c r="P18" s="126"/>
    </row>
    <row r="19" spans="2:16" customFormat="1">
      <c r="B19" s="60">
        <f t="shared" si="0"/>
        <v>2</v>
      </c>
      <c r="C19" s="60" t="s">
        <v>33</v>
      </c>
      <c r="D19" s="20" t="s">
        <v>42</v>
      </c>
      <c r="E19" s="5">
        <v>100</v>
      </c>
      <c r="F19" s="18" t="s">
        <v>41</v>
      </c>
      <c r="G19" s="18">
        <v>43501</v>
      </c>
      <c r="H19" s="136"/>
      <c r="I19" s="66"/>
      <c r="J19" s="136"/>
      <c r="K19" s="136"/>
      <c r="L19" s="136"/>
      <c r="M19" s="136"/>
      <c r="N19" s="136"/>
      <c r="O19" s="136"/>
      <c r="P19" s="126"/>
    </row>
    <row r="20" spans="2:16" customFormat="1">
      <c r="B20" s="60">
        <f t="shared" si="0"/>
        <v>2</v>
      </c>
      <c r="C20" s="60" t="s">
        <v>33</v>
      </c>
      <c r="D20" s="20" t="s">
        <v>43</v>
      </c>
      <c r="E20" s="5">
        <v>100</v>
      </c>
      <c r="F20" s="18" t="s">
        <v>36</v>
      </c>
      <c r="G20" s="18">
        <v>43501</v>
      </c>
      <c r="H20" s="136"/>
      <c r="I20" s="66"/>
      <c r="J20" s="136"/>
      <c r="K20" s="136"/>
      <c r="L20" s="136"/>
      <c r="M20" s="136"/>
      <c r="N20" s="136"/>
      <c r="O20" s="136"/>
      <c r="P20" s="126"/>
    </row>
    <row r="21" spans="2:16" customFormat="1">
      <c r="B21" s="60">
        <f t="shared" si="0"/>
        <v>2</v>
      </c>
      <c r="C21" s="60" t="s">
        <v>33</v>
      </c>
      <c r="D21" s="20" t="s">
        <v>44</v>
      </c>
      <c r="E21" s="5">
        <v>100</v>
      </c>
      <c r="F21" s="18" t="s">
        <v>21</v>
      </c>
      <c r="G21" s="18">
        <v>43502</v>
      </c>
      <c r="H21" s="136"/>
      <c r="I21" s="66"/>
      <c r="J21" s="136"/>
      <c r="K21" s="136"/>
      <c r="L21" s="136"/>
      <c r="M21" s="136"/>
      <c r="N21" s="136"/>
      <c r="O21" s="136"/>
      <c r="P21" s="126"/>
    </row>
    <row r="22" spans="2:16" customFormat="1">
      <c r="B22" s="60">
        <f t="shared" si="0"/>
        <v>2</v>
      </c>
      <c r="C22" s="60" t="s">
        <v>33</v>
      </c>
      <c r="D22" s="20" t="s">
        <v>45</v>
      </c>
      <c r="E22" s="5">
        <v>100</v>
      </c>
      <c r="F22" s="18" t="s">
        <v>21</v>
      </c>
      <c r="G22" s="18">
        <v>43504</v>
      </c>
      <c r="H22" s="136"/>
      <c r="I22" s="66"/>
      <c r="J22" s="136"/>
      <c r="K22" s="136"/>
      <c r="L22" s="136"/>
      <c r="M22" s="136"/>
      <c r="N22" s="136"/>
      <c r="O22" s="136"/>
      <c r="P22" s="126"/>
    </row>
    <row r="23" spans="2:16" customFormat="1">
      <c r="B23" s="60">
        <f t="shared" si="0"/>
        <v>2</v>
      </c>
      <c r="C23" s="60" t="s">
        <v>33</v>
      </c>
      <c r="D23" s="20" t="s">
        <v>23</v>
      </c>
      <c r="E23" s="5">
        <v>100</v>
      </c>
      <c r="F23" s="18" t="s">
        <v>16</v>
      </c>
      <c r="G23" s="18">
        <v>43505</v>
      </c>
      <c r="H23" s="136"/>
      <c r="I23" s="66"/>
      <c r="J23" s="136"/>
      <c r="K23" s="136"/>
      <c r="L23" s="136"/>
      <c r="M23" s="136"/>
      <c r="N23" s="136"/>
      <c r="O23" s="136"/>
      <c r="P23" s="126"/>
    </row>
    <row r="24" spans="2:16" customFormat="1">
      <c r="B24" s="60">
        <f t="shared" si="0"/>
        <v>2</v>
      </c>
      <c r="C24" s="60" t="s">
        <v>33</v>
      </c>
      <c r="D24" s="20" t="s">
        <v>35</v>
      </c>
      <c r="E24" s="5">
        <v>100</v>
      </c>
      <c r="F24" s="18" t="s">
        <v>16</v>
      </c>
      <c r="G24" s="18">
        <v>43505</v>
      </c>
      <c r="H24" s="136"/>
      <c r="I24" s="66"/>
      <c r="J24" s="136"/>
      <c r="K24" s="136"/>
      <c r="L24" s="136"/>
      <c r="M24" s="136"/>
      <c r="N24" s="136"/>
      <c r="O24" s="136"/>
      <c r="P24" s="126"/>
    </row>
    <row r="25" spans="2:16" customFormat="1">
      <c r="B25" s="60">
        <f t="shared" si="0"/>
        <v>2</v>
      </c>
      <c r="C25" s="60" t="s">
        <v>33</v>
      </c>
      <c r="D25" s="20" t="s">
        <v>46</v>
      </c>
      <c r="E25" s="5">
        <v>80</v>
      </c>
      <c r="F25" s="18" t="s">
        <v>16</v>
      </c>
      <c r="G25" s="18">
        <v>43505</v>
      </c>
      <c r="H25" s="136"/>
      <c r="I25" s="66"/>
      <c r="J25" s="136"/>
      <c r="K25" s="136"/>
      <c r="L25" s="136"/>
      <c r="M25" s="136"/>
      <c r="N25" s="136"/>
      <c r="O25" s="136"/>
      <c r="P25" s="126"/>
    </row>
    <row r="26" spans="2:16" customFormat="1">
      <c r="B26" s="60">
        <f t="shared" si="0"/>
        <v>2</v>
      </c>
      <c r="C26" s="60" t="s">
        <v>33</v>
      </c>
      <c r="D26" s="20" t="s">
        <v>39</v>
      </c>
      <c r="E26" s="5">
        <v>100</v>
      </c>
      <c r="F26" s="18" t="s">
        <v>16</v>
      </c>
      <c r="G26" s="18">
        <v>43505</v>
      </c>
      <c r="H26" s="136"/>
      <c r="I26" s="66"/>
      <c r="J26" s="136"/>
      <c r="K26" s="136"/>
      <c r="L26" s="136"/>
      <c r="M26" s="136"/>
      <c r="N26" s="136"/>
      <c r="O26" s="136"/>
      <c r="P26" s="126"/>
    </row>
    <row r="27" spans="2:16" customFormat="1">
      <c r="B27" s="60">
        <f t="shared" si="0"/>
        <v>2</v>
      </c>
      <c r="C27" s="60" t="s">
        <v>33</v>
      </c>
      <c r="D27" s="20" t="s">
        <v>47</v>
      </c>
      <c r="E27" s="5">
        <v>100</v>
      </c>
      <c r="F27" s="18" t="s">
        <v>16</v>
      </c>
      <c r="G27" s="18">
        <v>43505</v>
      </c>
      <c r="H27" s="136"/>
      <c r="I27" s="66"/>
      <c r="J27" s="136"/>
      <c r="K27" s="136"/>
      <c r="L27" s="136"/>
      <c r="M27" s="136"/>
      <c r="N27" s="136"/>
      <c r="O27" s="136"/>
      <c r="P27" s="126"/>
    </row>
    <row r="28" spans="2:16" customFormat="1">
      <c r="B28" s="60">
        <f t="shared" si="0"/>
        <v>2</v>
      </c>
      <c r="C28" s="60" t="s">
        <v>33</v>
      </c>
      <c r="D28" s="20" t="s">
        <v>20</v>
      </c>
      <c r="E28" s="5">
        <v>100</v>
      </c>
      <c r="F28" s="18" t="s">
        <v>16</v>
      </c>
      <c r="G28" s="18">
        <v>43505</v>
      </c>
      <c r="H28" s="136"/>
      <c r="I28" s="66"/>
      <c r="J28" s="136"/>
      <c r="K28" s="136"/>
      <c r="L28" s="136"/>
      <c r="M28" s="136"/>
      <c r="N28" s="136"/>
      <c r="O28" s="136"/>
      <c r="P28" s="126"/>
    </row>
    <row r="29" spans="2:16" customFormat="1">
      <c r="B29" s="60">
        <f t="shared" si="0"/>
        <v>2</v>
      </c>
      <c r="C29" s="60" t="s">
        <v>33</v>
      </c>
      <c r="D29" s="20" t="s">
        <v>48</v>
      </c>
      <c r="E29" s="5">
        <v>100</v>
      </c>
      <c r="F29" s="18" t="s">
        <v>16</v>
      </c>
      <c r="G29" s="18">
        <v>43505</v>
      </c>
      <c r="H29" s="136"/>
      <c r="I29" s="66"/>
      <c r="J29" s="136"/>
      <c r="K29" s="136"/>
      <c r="L29" s="136"/>
      <c r="M29" s="136"/>
      <c r="N29" s="136"/>
      <c r="O29" s="136"/>
      <c r="P29" s="126"/>
    </row>
    <row r="30" spans="2:16" customFormat="1">
      <c r="B30" s="60">
        <f t="shared" si="0"/>
        <v>2</v>
      </c>
      <c r="C30" s="60" t="s">
        <v>33</v>
      </c>
      <c r="D30" s="20" t="s">
        <v>49</v>
      </c>
      <c r="E30" s="5">
        <v>100</v>
      </c>
      <c r="F30" s="18" t="s">
        <v>16</v>
      </c>
      <c r="G30" s="18">
        <v>43505</v>
      </c>
      <c r="H30" s="136"/>
      <c r="I30" s="66"/>
      <c r="J30" s="136"/>
      <c r="K30" s="136"/>
      <c r="L30" s="136"/>
      <c r="M30" s="136"/>
      <c r="N30" s="136"/>
      <c r="O30" s="136"/>
      <c r="P30" s="126"/>
    </row>
    <row r="31" spans="2:16" customFormat="1">
      <c r="B31" s="60">
        <f t="shared" si="0"/>
        <v>2</v>
      </c>
      <c r="C31" s="60" t="s">
        <v>33</v>
      </c>
      <c r="D31" s="20" t="s">
        <v>50</v>
      </c>
      <c r="E31" s="5">
        <v>100</v>
      </c>
      <c r="F31" s="18" t="s">
        <v>16</v>
      </c>
      <c r="G31" s="18">
        <v>43505</v>
      </c>
      <c r="H31" s="136"/>
      <c r="I31" s="66"/>
      <c r="J31" s="136"/>
      <c r="K31" s="136"/>
      <c r="L31" s="136"/>
      <c r="M31" s="136"/>
      <c r="N31" s="136"/>
      <c r="O31" s="136"/>
      <c r="P31" s="126"/>
    </row>
    <row r="32" spans="2:16" customFormat="1">
      <c r="B32" s="60">
        <f t="shared" si="0"/>
        <v>2</v>
      </c>
      <c r="C32" s="60" t="s">
        <v>33</v>
      </c>
      <c r="D32" s="20" t="s">
        <v>43</v>
      </c>
      <c r="E32" s="5">
        <v>100</v>
      </c>
      <c r="F32" s="18" t="s">
        <v>16</v>
      </c>
      <c r="G32" s="18">
        <v>43505</v>
      </c>
      <c r="H32" s="136"/>
      <c r="I32" s="66"/>
      <c r="J32" s="136"/>
      <c r="K32" s="136"/>
      <c r="L32" s="136"/>
      <c r="M32" s="136"/>
      <c r="N32" s="136"/>
      <c r="O32" s="136"/>
      <c r="P32" s="126"/>
    </row>
    <row r="33" spans="2:16" customFormat="1">
      <c r="B33" s="60">
        <f t="shared" si="0"/>
        <v>2</v>
      </c>
      <c r="C33" s="60" t="s">
        <v>33</v>
      </c>
      <c r="D33" s="20" t="s">
        <v>51</v>
      </c>
      <c r="E33" s="5">
        <v>100</v>
      </c>
      <c r="F33" s="18" t="s">
        <v>16</v>
      </c>
      <c r="G33" s="18">
        <v>43505</v>
      </c>
      <c r="H33" s="136"/>
      <c r="I33" s="66"/>
      <c r="J33" s="136"/>
      <c r="K33" s="136"/>
      <c r="L33" s="136"/>
      <c r="M33" s="136"/>
      <c r="N33" s="136"/>
      <c r="O33" s="136"/>
      <c r="P33" s="126"/>
    </row>
    <row r="34" spans="2:16" customFormat="1">
      <c r="B34" s="60">
        <f t="shared" si="0"/>
        <v>2</v>
      </c>
      <c r="C34" s="60" t="s">
        <v>33</v>
      </c>
      <c r="D34" s="20" t="s">
        <v>52</v>
      </c>
      <c r="E34" s="5">
        <v>100</v>
      </c>
      <c r="F34" s="18" t="s">
        <v>36</v>
      </c>
      <c r="G34" s="18">
        <v>43514</v>
      </c>
      <c r="H34" s="136"/>
      <c r="I34" s="66"/>
      <c r="J34" s="136"/>
      <c r="K34" s="136"/>
      <c r="L34" s="136"/>
      <c r="M34" s="136"/>
      <c r="N34" s="136"/>
      <c r="O34" s="136"/>
      <c r="P34" s="126"/>
    </row>
    <row r="35" spans="2:16" customFormat="1">
      <c r="B35" s="60">
        <f t="shared" ref="B35:B70" si="1">MONTH(G35)</f>
        <v>2</v>
      </c>
      <c r="C35" s="60" t="s">
        <v>33</v>
      </c>
      <c r="D35" s="20" t="s">
        <v>25</v>
      </c>
      <c r="E35" s="5">
        <v>100</v>
      </c>
      <c r="F35" s="18" t="s">
        <v>36</v>
      </c>
      <c r="G35" s="18">
        <v>43514</v>
      </c>
      <c r="H35" s="136"/>
      <c r="I35" s="66"/>
      <c r="J35" s="136"/>
      <c r="K35" s="136"/>
      <c r="L35" s="136"/>
      <c r="M35" s="136"/>
      <c r="N35" s="136"/>
      <c r="O35" s="136"/>
      <c r="P35" s="126"/>
    </row>
    <row r="36" spans="2:16" customFormat="1">
      <c r="B36" s="60">
        <f t="shared" si="1"/>
        <v>2</v>
      </c>
      <c r="C36" s="60" t="s">
        <v>33</v>
      </c>
      <c r="D36" s="20" t="s">
        <v>53</v>
      </c>
      <c r="E36" s="5">
        <v>50</v>
      </c>
      <c r="F36" s="18" t="s">
        <v>16</v>
      </c>
      <c r="G36" s="18">
        <v>43519</v>
      </c>
      <c r="H36" s="136"/>
      <c r="I36" s="66"/>
      <c r="J36" s="136"/>
      <c r="K36" s="136"/>
      <c r="L36" s="136"/>
      <c r="M36" s="136"/>
      <c r="N36" s="136"/>
      <c r="O36" s="136"/>
      <c r="P36" s="126"/>
    </row>
    <row r="37" spans="2:16" customFormat="1">
      <c r="B37" s="60">
        <f t="shared" si="1"/>
        <v>2</v>
      </c>
      <c r="C37" s="60" t="s">
        <v>33</v>
      </c>
      <c r="D37" s="20" t="s">
        <v>54</v>
      </c>
      <c r="E37" s="5">
        <v>100</v>
      </c>
      <c r="F37" s="18" t="s">
        <v>16</v>
      </c>
      <c r="G37" s="18">
        <v>43519</v>
      </c>
      <c r="H37" s="136"/>
      <c r="I37" s="66"/>
      <c r="J37" s="136"/>
      <c r="K37" s="136"/>
      <c r="L37" s="136"/>
      <c r="M37" s="136"/>
      <c r="N37" s="136"/>
      <c r="O37" s="136"/>
      <c r="P37" s="126"/>
    </row>
    <row r="38" spans="2:16" customFormat="1">
      <c r="B38" s="60">
        <f t="shared" si="1"/>
        <v>2</v>
      </c>
      <c r="C38" s="60" t="s">
        <v>33</v>
      </c>
      <c r="D38" s="20" t="s">
        <v>17</v>
      </c>
      <c r="E38" s="5">
        <v>100</v>
      </c>
      <c r="F38" s="18" t="s">
        <v>16</v>
      </c>
      <c r="G38" s="18">
        <v>43519</v>
      </c>
      <c r="H38" s="136"/>
      <c r="I38" s="66"/>
      <c r="J38" s="136"/>
      <c r="K38" s="136"/>
      <c r="L38" s="136"/>
      <c r="M38" s="136"/>
      <c r="N38" s="136"/>
      <c r="O38" s="136"/>
      <c r="P38" s="126"/>
    </row>
    <row r="39" spans="2:16" customFormat="1">
      <c r="B39" s="60">
        <f t="shared" si="1"/>
        <v>2</v>
      </c>
      <c r="C39" s="60" t="s">
        <v>33</v>
      </c>
      <c r="D39" s="20" t="s">
        <v>30</v>
      </c>
      <c r="E39" s="5">
        <v>100</v>
      </c>
      <c r="F39" s="18" t="s">
        <v>16</v>
      </c>
      <c r="G39" s="18">
        <v>43519</v>
      </c>
      <c r="H39" s="136"/>
      <c r="I39" s="66"/>
      <c r="J39" s="136"/>
      <c r="K39" s="136"/>
      <c r="L39" s="136"/>
      <c r="M39" s="136"/>
      <c r="N39" s="136"/>
      <c r="O39" s="136"/>
      <c r="P39" s="126"/>
    </row>
    <row r="40" spans="2:16" customFormat="1">
      <c r="B40" s="60">
        <f t="shared" si="1"/>
        <v>3</v>
      </c>
      <c r="C40" s="60" t="s">
        <v>55</v>
      </c>
      <c r="D40" s="20" t="s">
        <v>31</v>
      </c>
      <c r="E40" s="5">
        <v>100</v>
      </c>
      <c r="F40" s="18" t="s">
        <v>21</v>
      </c>
      <c r="G40" s="18">
        <v>43530</v>
      </c>
      <c r="H40" s="136"/>
      <c r="I40" s="66" t="s">
        <v>56</v>
      </c>
      <c r="J40" s="136"/>
      <c r="K40" s="136"/>
      <c r="L40" s="136"/>
      <c r="M40" s="136"/>
      <c r="N40" s="136"/>
      <c r="O40" s="136"/>
      <c r="P40" s="126"/>
    </row>
    <row r="41" spans="2:16" customFormat="1">
      <c r="B41" s="60">
        <f t="shared" si="1"/>
        <v>3</v>
      </c>
      <c r="C41" s="60" t="s">
        <v>55</v>
      </c>
      <c r="D41" s="20" t="s">
        <v>57</v>
      </c>
      <c r="E41" s="5">
        <v>100</v>
      </c>
      <c r="F41" s="18" t="s">
        <v>21</v>
      </c>
      <c r="G41" s="18">
        <v>43530</v>
      </c>
      <c r="H41" s="136"/>
      <c r="I41" s="66"/>
      <c r="J41" s="136"/>
      <c r="K41" s="136"/>
      <c r="L41" s="136"/>
      <c r="M41" s="136"/>
      <c r="N41" s="136"/>
      <c r="O41" s="136"/>
      <c r="P41" s="126"/>
    </row>
    <row r="42" spans="2:16" customFormat="1">
      <c r="B42" s="60">
        <f t="shared" si="1"/>
        <v>3</v>
      </c>
      <c r="C42" s="60" t="s">
        <v>55</v>
      </c>
      <c r="D42" s="20" t="s">
        <v>37</v>
      </c>
      <c r="E42" s="5">
        <v>100</v>
      </c>
      <c r="F42" s="18" t="s">
        <v>21</v>
      </c>
      <c r="G42" s="18">
        <v>43530</v>
      </c>
      <c r="H42" s="136"/>
      <c r="I42" s="66"/>
      <c r="J42" s="136"/>
      <c r="K42" s="136"/>
      <c r="L42" s="136"/>
      <c r="M42" s="136"/>
      <c r="N42" s="136"/>
      <c r="O42" s="136"/>
      <c r="P42" s="126"/>
    </row>
    <row r="43" spans="2:16" customFormat="1">
      <c r="B43" s="60">
        <f t="shared" si="1"/>
        <v>3</v>
      </c>
      <c r="C43" s="60" t="s">
        <v>55</v>
      </c>
      <c r="D43" s="20" t="s">
        <v>38</v>
      </c>
      <c r="E43" s="5">
        <v>100</v>
      </c>
      <c r="F43" s="18" t="s">
        <v>21</v>
      </c>
      <c r="G43" s="18">
        <v>43530</v>
      </c>
      <c r="H43" s="136"/>
      <c r="I43" s="66"/>
      <c r="J43" s="136"/>
      <c r="K43" s="136"/>
      <c r="L43" s="136"/>
      <c r="M43" s="136"/>
      <c r="N43" s="136"/>
      <c r="O43" s="136"/>
      <c r="P43" s="126"/>
    </row>
    <row r="44" spans="2:16" customFormat="1">
      <c r="B44" s="60">
        <f t="shared" si="1"/>
        <v>3</v>
      </c>
      <c r="C44" s="60" t="s">
        <v>55</v>
      </c>
      <c r="D44" s="20" t="s">
        <v>32</v>
      </c>
      <c r="E44" s="5">
        <v>100</v>
      </c>
      <c r="F44" s="18" t="s">
        <v>21</v>
      </c>
      <c r="G44" s="18">
        <v>43530</v>
      </c>
      <c r="H44" s="136"/>
      <c r="I44" s="66"/>
      <c r="J44" s="136"/>
      <c r="K44" s="136"/>
      <c r="L44" s="136"/>
      <c r="M44" s="136"/>
      <c r="N44" s="136"/>
      <c r="O44" s="136"/>
      <c r="P44" s="126"/>
    </row>
    <row r="45" spans="2:16" customFormat="1">
      <c r="B45" s="60">
        <f t="shared" si="1"/>
        <v>3</v>
      </c>
      <c r="C45" s="60" t="s">
        <v>55</v>
      </c>
      <c r="D45" s="20" t="s">
        <v>40</v>
      </c>
      <c r="E45" s="5">
        <v>100</v>
      </c>
      <c r="F45" s="18" t="s">
        <v>41</v>
      </c>
      <c r="G45" s="18">
        <v>43531</v>
      </c>
      <c r="H45" s="136"/>
      <c r="I45" s="66"/>
      <c r="J45" s="136"/>
      <c r="K45" s="136"/>
      <c r="L45" s="136"/>
      <c r="M45" s="136"/>
      <c r="N45" s="136"/>
      <c r="O45" s="136"/>
      <c r="P45" s="126"/>
    </row>
    <row r="46" spans="2:16" customFormat="1">
      <c r="B46" s="60">
        <f t="shared" si="1"/>
        <v>3</v>
      </c>
      <c r="C46" s="60" t="s">
        <v>55</v>
      </c>
      <c r="D46" s="20" t="s">
        <v>23</v>
      </c>
      <c r="E46" s="5">
        <v>100</v>
      </c>
      <c r="F46" s="18" t="s">
        <v>16</v>
      </c>
      <c r="G46" s="18">
        <v>43534</v>
      </c>
      <c r="H46" s="136"/>
      <c r="I46" s="66"/>
      <c r="J46" s="136"/>
      <c r="K46" s="136"/>
      <c r="L46" s="136"/>
      <c r="M46" s="136"/>
      <c r="N46" s="136"/>
      <c r="O46" s="136"/>
      <c r="P46" s="126"/>
    </row>
    <row r="47" spans="2:16" customFormat="1">
      <c r="B47" s="60">
        <f t="shared" si="1"/>
        <v>3</v>
      </c>
      <c r="C47" s="60" t="s">
        <v>55</v>
      </c>
      <c r="D47" s="20" t="s">
        <v>31</v>
      </c>
      <c r="E47" s="5">
        <v>100</v>
      </c>
      <c r="F47" s="18" t="s">
        <v>21</v>
      </c>
      <c r="G47" s="18">
        <v>43534</v>
      </c>
      <c r="H47" s="136"/>
      <c r="I47" s="66"/>
      <c r="J47" s="136"/>
      <c r="K47" s="136"/>
      <c r="L47" s="136"/>
      <c r="M47" s="136"/>
      <c r="N47" s="136"/>
      <c r="O47" s="136"/>
      <c r="P47" s="126"/>
    </row>
    <row r="48" spans="2:16" customFormat="1">
      <c r="B48" s="60">
        <f t="shared" si="1"/>
        <v>3</v>
      </c>
      <c r="C48" s="60" t="s">
        <v>55</v>
      </c>
      <c r="D48" s="20" t="s">
        <v>46</v>
      </c>
      <c r="E48" s="5">
        <v>20</v>
      </c>
      <c r="F48" s="18" t="s">
        <v>16</v>
      </c>
      <c r="G48" s="18">
        <v>43534</v>
      </c>
      <c r="H48" s="136"/>
      <c r="I48" s="66"/>
      <c r="J48" s="136"/>
      <c r="K48" s="136"/>
      <c r="L48" s="136"/>
      <c r="M48" s="136"/>
      <c r="N48" s="136"/>
      <c r="O48" s="136"/>
      <c r="P48" s="126"/>
    </row>
    <row r="49" spans="2:16" customFormat="1">
      <c r="B49" s="60">
        <f t="shared" si="1"/>
        <v>3</v>
      </c>
      <c r="C49" s="60" t="s">
        <v>55</v>
      </c>
      <c r="D49" s="20" t="s">
        <v>52</v>
      </c>
      <c r="E49" s="5">
        <v>100</v>
      </c>
      <c r="F49" s="18" t="s">
        <v>16</v>
      </c>
      <c r="G49" s="18">
        <v>43534</v>
      </c>
      <c r="H49" s="136"/>
      <c r="I49" s="66"/>
      <c r="J49" s="136"/>
      <c r="K49" s="136"/>
      <c r="L49" s="136"/>
      <c r="M49" s="136"/>
      <c r="N49" s="136"/>
      <c r="O49" s="136"/>
      <c r="P49" s="126"/>
    </row>
    <row r="50" spans="2:16" customFormat="1">
      <c r="B50" s="60">
        <f t="shared" si="1"/>
        <v>3</v>
      </c>
      <c r="C50" s="60" t="s">
        <v>55</v>
      </c>
      <c r="D50" s="20" t="s">
        <v>32</v>
      </c>
      <c r="E50" s="5">
        <v>100</v>
      </c>
      <c r="F50" s="18" t="s">
        <v>21</v>
      </c>
      <c r="G50" s="18">
        <v>43534</v>
      </c>
      <c r="H50" s="136"/>
      <c r="I50" s="66"/>
      <c r="J50" s="136"/>
      <c r="K50" s="136"/>
      <c r="L50" s="136"/>
      <c r="M50" s="136"/>
      <c r="N50" s="136"/>
      <c r="O50" s="136"/>
      <c r="P50" s="126"/>
    </row>
    <row r="51" spans="2:16" customFormat="1">
      <c r="B51" s="60">
        <f t="shared" si="1"/>
        <v>3</v>
      </c>
      <c r="C51" s="60" t="s">
        <v>55</v>
      </c>
      <c r="D51" s="20" t="s">
        <v>20</v>
      </c>
      <c r="E51" s="5">
        <v>100</v>
      </c>
      <c r="F51" s="18" t="s">
        <v>16</v>
      </c>
      <c r="G51" s="18">
        <v>43534</v>
      </c>
      <c r="H51" s="136"/>
      <c r="I51" s="66"/>
      <c r="J51" s="136"/>
      <c r="K51" s="136"/>
      <c r="L51" s="136"/>
      <c r="M51" s="136"/>
      <c r="N51" s="136"/>
      <c r="O51" s="136"/>
      <c r="P51" s="126"/>
    </row>
    <row r="52" spans="2:16" customFormat="1">
      <c r="B52" s="60">
        <f t="shared" si="1"/>
        <v>3</v>
      </c>
      <c r="C52" s="60" t="s">
        <v>55</v>
      </c>
      <c r="D52" s="20" t="s">
        <v>49</v>
      </c>
      <c r="E52" s="5">
        <v>100</v>
      </c>
      <c r="F52" s="18" t="s">
        <v>16</v>
      </c>
      <c r="G52" s="18">
        <v>43534</v>
      </c>
      <c r="H52" s="136"/>
      <c r="I52" s="66"/>
      <c r="J52" s="136"/>
      <c r="K52" s="136"/>
      <c r="L52" s="136"/>
      <c r="M52" s="136"/>
      <c r="N52" s="136"/>
      <c r="O52" s="136"/>
      <c r="P52" s="126"/>
    </row>
    <row r="53" spans="2:16" customFormat="1">
      <c r="B53" s="60">
        <f t="shared" si="1"/>
        <v>3</v>
      </c>
      <c r="C53" s="60" t="s">
        <v>55</v>
      </c>
      <c r="D53" s="20" t="s">
        <v>58</v>
      </c>
      <c r="E53" s="5">
        <v>100</v>
      </c>
      <c r="F53" s="18" t="s">
        <v>16</v>
      </c>
      <c r="G53" s="18">
        <v>43534</v>
      </c>
      <c r="H53" s="136"/>
      <c r="I53" s="66"/>
      <c r="J53" s="136"/>
      <c r="K53" s="136"/>
      <c r="L53" s="136"/>
      <c r="M53" s="136"/>
      <c r="N53" s="136"/>
      <c r="O53" s="136"/>
      <c r="P53" s="126"/>
    </row>
    <row r="54" spans="2:16" customFormat="1">
      <c r="B54" s="60">
        <f t="shared" si="1"/>
        <v>3</v>
      </c>
      <c r="C54" s="60" t="s">
        <v>55</v>
      </c>
      <c r="D54" s="20" t="s">
        <v>50</v>
      </c>
      <c r="E54" s="5">
        <v>100</v>
      </c>
      <c r="F54" s="18" t="s">
        <v>16</v>
      </c>
      <c r="G54" s="18">
        <v>43534</v>
      </c>
      <c r="H54" s="136"/>
      <c r="I54" s="66"/>
      <c r="J54" s="136"/>
      <c r="K54" s="136"/>
      <c r="L54" s="136"/>
      <c r="M54" s="136"/>
      <c r="N54" s="136"/>
      <c r="O54" s="136"/>
      <c r="P54" s="126"/>
    </row>
    <row r="55" spans="2:16" customFormat="1">
      <c r="B55" s="60">
        <f t="shared" si="1"/>
        <v>3</v>
      </c>
      <c r="C55" s="60" t="s">
        <v>55</v>
      </c>
      <c r="D55" s="20" t="s">
        <v>51</v>
      </c>
      <c r="E55" s="5">
        <v>100</v>
      </c>
      <c r="F55" s="18" t="s">
        <v>16</v>
      </c>
      <c r="G55" s="18">
        <v>43534</v>
      </c>
      <c r="H55" s="136"/>
      <c r="I55" s="66"/>
      <c r="J55" s="136"/>
      <c r="K55" s="136"/>
      <c r="L55" s="136"/>
      <c r="M55" s="136"/>
      <c r="N55" s="136"/>
      <c r="O55" s="136"/>
      <c r="P55" s="126"/>
    </row>
    <row r="56" spans="2:16" customFormat="1">
      <c r="B56" s="60">
        <f t="shared" si="1"/>
        <v>3</v>
      </c>
      <c r="C56" s="60" t="s">
        <v>55</v>
      </c>
      <c r="D56" s="20" t="s">
        <v>47</v>
      </c>
      <c r="E56" s="5">
        <v>100</v>
      </c>
      <c r="F56" s="18" t="s">
        <v>21</v>
      </c>
      <c r="G56" s="18">
        <v>43536</v>
      </c>
      <c r="H56" s="136"/>
      <c r="I56" s="66"/>
      <c r="J56" s="136"/>
      <c r="K56" s="136"/>
      <c r="L56" s="136"/>
      <c r="M56" s="136"/>
      <c r="N56" s="136"/>
      <c r="O56" s="136"/>
      <c r="P56" s="126"/>
    </row>
    <row r="57" spans="2:16" customFormat="1">
      <c r="B57" s="60">
        <f t="shared" si="1"/>
        <v>3</v>
      </c>
      <c r="C57" s="60" t="s">
        <v>55</v>
      </c>
      <c r="D57" s="20" t="s">
        <v>48</v>
      </c>
      <c r="E57" s="5">
        <v>100</v>
      </c>
      <c r="F57" s="18" t="s">
        <v>21</v>
      </c>
      <c r="G57" s="18">
        <v>43536</v>
      </c>
      <c r="H57" s="136"/>
      <c r="I57" s="66"/>
      <c r="J57" s="136"/>
      <c r="K57" s="136"/>
      <c r="L57" s="136"/>
      <c r="M57" s="136"/>
      <c r="N57" s="136"/>
      <c r="O57" s="136"/>
      <c r="P57" s="126"/>
    </row>
    <row r="58" spans="2:16" customFormat="1">
      <c r="B58" s="60">
        <f t="shared" si="1"/>
        <v>3</v>
      </c>
      <c r="C58" s="60" t="s">
        <v>55</v>
      </c>
      <c r="D58" s="20" t="s">
        <v>45</v>
      </c>
      <c r="E58" s="5">
        <v>100</v>
      </c>
      <c r="F58" s="18" t="s">
        <v>21</v>
      </c>
      <c r="G58" s="18">
        <v>43538</v>
      </c>
      <c r="H58" s="136"/>
      <c r="I58" s="66"/>
      <c r="J58" s="136"/>
      <c r="K58" s="136"/>
      <c r="L58" s="136"/>
      <c r="M58" s="136"/>
      <c r="N58" s="136"/>
      <c r="O58" s="136"/>
      <c r="P58" s="126"/>
    </row>
    <row r="59" spans="2:16" customFormat="1">
      <c r="B59" s="60">
        <f t="shared" si="1"/>
        <v>3</v>
      </c>
      <c r="C59" s="60" t="s">
        <v>55</v>
      </c>
      <c r="D59" s="20" t="s">
        <v>34</v>
      </c>
      <c r="E59" s="5">
        <v>100</v>
      </c>
      <c r="F59" s="18" t="s">
        <v>21</v>
      </c>
      <c r="G59" s="18">
        <v>43539</v>
      </c>
      <c r="H59" s="136"/>
      <c r="I59" s="66"/>
      <c r="J59" s="136"/>
      <c r="K59" s="136"/>
      <c r="L59" s="136"/>
      <c r="M59" s="136"/>
      <c r="N59" s="136"/>
      <c r="O59" s="136"/>
      <c r="P59" s="126"/>
    </row>
    <row r="60" spans="2:16" customFormat="1">
      <c r="B60" s="60">
        <f t="shared" si="1"/>
        <v>3</v>
      </c>
      <c r="C60" s="60" t="s">
        <v>55</v>
      </c>
      <c r="D60" s="20" t="s">
        <v>39</v>
      </c>
      <c r="E60" s="5">
        <v>100</v>
      </c>
      <c r="F60" s="18" t="s">
        <v>16</v>
      </c>
      <c r="G60" s="18">
        <v>43540</v>
      </c>
      <c r="H60" s="136"/>
      <c r="I60" s="66"/>
      <c r="J60" s="136"/>
      <c r="K60" s="136"/>
      <c r="L60" s="136"/>
      <c r="M60" s="136"/>
      <c r="N60" s="136"/>
      <c r="O60" s="136"/>
      <c r="P60" s="126"/>
    </row>
    <row r="61" spans="2:16" customFormat="1">
      <c r="B61" s="60">
        <f t="shared" si="1"/>
        <v>3</v>
      </c>
      <c r="C61" s="60" t="s">
        <v>55</v>
      </c>
      <c r="D61" s="20" t="s">
        <v>43</v>
      </c>
      <c r="E61" s="5">
        <v>100</v>
      </c>
      <c r="F61" s="18" t="s">
        <v>16</v>
      </c>
      <c r="G61" s="18">
        <v>43540</v>
      </c>
      <c r="H61" s="136"/>
      <c r="I61" s="66"/>
      <c r="J61" s="136"/>
      <c r="K61" s="136"/>
      <c r="L61" s="136"/>
      <c r="M61" s="136"/>
      <c r="N61" s="136"/>
      <c r="O61" s="136"/>
      <c r="P61" s="126"/>
    </row>
    <row r="62" spans="2:16" customFormat="1">
      <c r="B62" s="60">
        <f t="shared" si="1"/>
        <v>3</v>
      </c>
      <c r="C62" s="60" t="s">
        <v>55</v>
      </c>
      <c r="D62" s="20" t="s">
        <v>25</v>
      </c>
      <c r="E62" s="5">
        <v>100</v>
      </c>
      <c r="F62" s="18" t="s">
        <v>16</v>
      </c>
      <c r="G62" s="18">
        <v>43541</v>
      </c>
      <c r="H62" s="136"/>
      <c r="I62" s="66"/>
      <c r="J62" s="136"/>
      <c r="K62" s="136"/>
      <c r="L62" s="136"/>
      <c r="M62" s="136"/>
      <c r="N62" s="136"/>
      <c r="O62" s="136"/>
      <c r="P62" s="126"/>
    </row>
    <row r="63" spans="2:16" customFormat="1">
      <c r="B63" s="60">
        <f t="shared" si="1"/>
        <v>3</v>
      </c>
      <c r="C63" s="60" t="s">
        <v>55</v>
      </c>
      <c r="D63" s="20" t="s">
        <v>54</v>
      </c>
      <c r="E63" s="5">
        <v>100</v>
      </c>
      <c r="F63" s="18" t="s">
        <v>16</v>
      </c>
      <c r="G63" s="18">
        <v>43547</v>
      </c>
      <c r="H63" s="136"/>
      <c r="I63" s="66"/>
      <c r="J63" s="136"/>
      <c r="K63" s="136"/>
      <c r="L63" s="136"/>
      <c r="M63" s="136"/>
      <c r="N63" s="136"/>
      <c r="O63" s="136"/>
      <c r="P63" s="126"/>
    </row>
    <row r="64" spans="2:16" customFormat="1">
      <c r="B64" s="60">
        <f t="shared" si="1"/>
        <v>3</v>
      </c>
      <c r="C64" s="60" t="s">
        <v>55</v>
      </c>
      <c r="D64" s="20" t="s">
        <v>30</v>
      </c>
      <c r="E64" s="5">
        <v>100</v>
      </c>
      <c r="F64" s="18" t="s">
        <v>16</v>
      </c>
      <c r="G64" s="18">
        <v>43547</v>
      </c>
      <c r="H64" s="136"/>
      <c r="I64" s="66"/>
      <c r="J64" s="136"/>
      <c r="K64" s="136"/>
      <c r="L64" s="136"/>
      <c r="M64" s="136"/>
      <c r="N64" s="136"/>
      <c r="O64" s="136"/>
      <c r="P64" s="126"/>
    </row>
    <row r="65" spans="2:16" customFormat="1">
      <c r="B65" s="60">
        <f t="shared" si="1"/>
        <v>3</v>
      </c>
      <c r="C65" s="60" t="s">
        <v>55</v>
      </c>
      <c r="D65" s="20" t="s">
        <v>35</v>
      </c>
      <c r="E65" s="5">
        <v>100</v>
      </c>
      <c r="F65" s="18" t="s">
        <v>36</v>
      </c>
      <c r="G65" s="18">
        <v>43554</v>
      </c>
      <c r="H65" s="136"/>
      <c r="I65" s="66"/>
      <c r="J65" s="136"/>
      <c r="K65" s="136"/>
      <c r="L65" s="136"/>
      <c r="M65" s="136"/>
      <c r="N65" s="136"/>
      <c r="O65" s="136"/>
      <c r="P65" s="126"/>
    </row>
    <row r="66" spans="2:16" customFormat="1">
      <c r="B66" s="60">
        <f t="shared" si="1"/>
        <v>4</v>
      </c>
      <c r="C66" s="60" t="s">
        <v>59</v>
      </c>
      <c r="D66" s="20" t="s">
        <v>57</v>
      </c>
      <c r="E66" s="5">
        <v>100</v>
      </c>
      <c r="F66" s="18" t="s">
        <v>16</v>
      </c>
      <c r="G66" s="18">
        <v>43557</v>
      </c>
      <c r="H66" s="136"/>
      <c r="I66" s="66"/>
      <c r="J66" s="136"/>
      <c r="K66" s="136"/>
      <c r="L66" s="136"/>
      <c r="M66" s="136"/>
      <c r="N66" s="136"/>
      <c r="O66" s="136"/>
      <c r="P66" s="126"/>
    </row>
    <row r="67" spans="2:16" customFormat="1">
      <c r="B67" s="60">
        <f t="shared" si="1"/>
        <v>4</v>
      </c>
      <c r="C67" s="60" t="s">
        <v>59</v>
      </c>
      <c r="D67" s="20" t="s">
        <v>60</v>
      </c>
      <c r="E67" s="5">
        <v>100</v>
      </c>
      <c r="F67" s="18" t="s">
        <v>41</v>
      </c>
      <c r="G67" s="18">
        <v>43557</v>
      </c>
      <c r="H67" s="136"/>
      <c r="I67" s="66"/>
      <c r="J67" s="136"/>
      <c r="K67" s="136"/>
      <c r="L67" s="136"/>
      <c r="M67" s="136"/>
      <c r="N67" s="136"/>
      <c r="O67" s="136"/>
      <c r="P67" s="126"/>
    </row>
    <row r="68" spans="2:16" customFormat="1">
      <c r="B68" s="60">
        <f t="shared" si="1"/>
        <v>4</v>
      </c>
      <c r="C68" s="60" t="s">
        <v>59</v>
      </c>
      <c r="D68" s="20" t="s">
        <v>37</v>
      </c>
      <c r="E68" s="5">
        <v>100</v>
      </c>
      <c r="F68" s="18" t="s">
        <v>21</v>
      </c>
      <c r="G68" s="18">
        <v>43560</v>
      </c>
      <c r="H68" s="136"/>
      <c r="I68" s="66"/>
      <c r="J68" s="136"/>
      <c r="K68" s="136"/>
      <c r="L68" s="136"/>
      <c r="M68" s="136"/>
      <c r="N68" s="136"/>
      <c r="O68" s="136"/>
      <c r="P68" s="126"/>
    </row>
    <row r="69" spans="2:16" customFormat="1">
      <c r="B69" s="60">
        <f t="shared" si="1"/>
        <v>4</v>
      </c>
      <c r="C69" s="60" t="s">
        <v>59</v>
      </c>
      <c r="D69" s="20" t="s">
        <v>38</v>
      </c>
      <c r="E69" s="5">
        <v>100</v>
      </c>
      <c r="F69" s="18" t="s">
        <v>21</v>
      </c>
      <c r="G69" s="18">
        <v>43560</v>
      </c>
      <c r="H69" s="136"/>
      <c r="I69" s="66"/>
      <c r="J69" s="136"/>
      <c r="K69" s="136"/>
      <c r="L69" s="136"/>
      <c r="M69" s="136"/>
      <c r="N69" s="136"/>
      <c r="O69" s="136"/>
      <c r="P69" s="126"/>
    </row>
    <row r="70" spans="2:16" customFormat="1">
      <c r="B70" s="60">
        <f t="shared" si="1"/>
        <v>4</v>
      </c>
      <c r="C70" s="60" t="s">
        <v>59</v>
      </c>
      <c r="D70" s="20" t="s">
        <v>40</v>
      </c>
      <c r="E70" s="5">
        <v>100</v>
      </c>
      <c r="F70" s="18" t="s">
        <v>41</v>
      </c>
      <c r="G70" s="18">
        <v>43563</v>
      </c>
      <c r="H70" s="136"/>
      <c r="I70" s="66"/>
      <c r="J70" s="136"/>
      <c r="K70" s="136"/>
      <c r="L70" s="136"/>
      <c r="M70" s="136"/>
      <c r="N70" s="136"/>
      <c r="O70" s="136"/>
      <c r="P70" s="126"/>
    </row>
    <row r="71" spans="2:16" customFormat="1">
      <c r="B71" s="60">
        <v>4</v>
      </c>
      <c r="C71" s="60" t="s">
        <v>59</v>
      </c>
      <c r="D71" s="20" t="s">
        <v>34</v>
      </c>
      <c r="E71" s="5">
        <v>100</v>
      </c>
      <c r="F71" s="18" t="s">
        <v>61</v>
      </c>
      <c r="G71" s="18">
        <v>43565</v>
      </c>
      <c r="H71" s="136"/>
      <c r="I71" s="66"/>
      <c r="J71" s="136"/>
      <c r="K71" s="136"/>
      <c r="L71" s="136"/>
      <c r="M71" s="136"/>
      <c r="N71" s="136"/>
      <c r="O71" s="136"/>
      <c r="P71" s="126"/>
    </row>
    <row r="72" spans="2:16" customFormat="1">
      <c r="B72" s="60">
        <f t="shared" ref="B72:B96" si="2">MONTH(G72)</f>
        <v>4</v>
      </c>
      <c r="C72" s="60" t="s">
        <v>59</v>
      </c>
      <c r="D72" s="20" t="s">
        <v>46</v>
      </c>
      <c r="E72" s="5">
        <v>100</v>
      </c>
      <c r="F72" s="18" t="s">
        <v>61</v>
      </c>
      <c r="G72" s="18">
        <v>43565</v>
      </c>
      <c r="H72" s="136"/>
      <c r="I72" s="66"/>
      <c r="J72" s="136"/>
      <c r="K72" s="136"/>
      <c r="L72" s="136"/>
      <c r="M72" s="136"/>
      <c r="N72" s="136"/>
      <c r="O72" s="136"/>
      <c r="P72" s="126"/>
    </row>
    <row r="73" spans="2:16" customFormat="1">
      <c r="B73" s="60">
        <f t="shared" si="2"/>
        <v>4</v>
      </c>
      <c r="C73" s="60" t="s">
        <v>59</v>
      </c>
      <c r="D73" s="20" t="s">
        <v>17</v>
      </c>
      <c r="E73" s="5">
        <v>100</v>
      </c>
      <c r="F73" s="18" t="s">
        <v>61</v>
      </c>
      <c r="G73" s="18">
        <v>43565</v>
      </c>
      <c r="H73" s="136"/>
      <c r="I73" s="66"/>
      <c r="J73" s="136"/>
      <c r="K73" s="136"/>
      <c r="L73" s="136"/>
      <c r="M73" s="136"/>
      <c r="N73" s="136"/>
      <c r="O73" s="136"/>
      <c r="P73" s="126"/>
    </row>
    <row r="74" spans="2:16" customFormat="1">
      <c r="B74" s="60">
        <f t="shared" si="2"/>
        <v>4</v>
      </c>
      <c r="C74" s="60" t="s">
        <v>59</v>
      </c>
      <c r="D74" s="20" t="s">
        <v>23</v>
      </c>
      <c r="E74" s="5">
        <v>100</v>
      </c>
      <c r="F74" s="18" t="s">
        <v>16</v>
      </c>
      <c r="G74" s="18">
        <v>43568</v>
      </c>
      <c r="H74" s="136"/>
      <c r="I74" s="66"/>
      <c r="J74" s="136"/>
      <c r="K74" s="136"/>
      <c r="L74" s="136"/>
      <c r="M74" s="136"/>
      <c r="N74" s="136"/>
      <c r="O74" s="136"/>
      <c r="P74" s="126"/>
    </row>
    <row r="75" spans="2:16" customFormat="1">
      <c r="B75" s="60">
        <f t="shared" si="2"/>
        <v>4</v>
      </c>
      <c r="C75" s="60" t="s">
        <v>59</v>
      </c>
      <c r="D75" s="20" t="s">
        <v>25</v>
      </c>
      <c r="E75" s="5">
        <v>100</v>
      </c>
      <c r="F75" s="18" t="s">
        <v>16</v>
      </c>
      <c r="G75" s="18">
        <v>43568</v>
      </c>
      <c r="H75" s="136"/>
      <c r="I75" s="66"/>
      <c r="J75" s="136"/>
      <c r="K75" s="136"/>
      <c r="L75" s="136"/>
      <c r="M75" s="136"/>
      <c r="N75" s="136"/>
      <c r="O75" s="136"/>
      <c r="P75" s="126"/>
    </row>
    <row r="76" spans="2:16" customFormat="1">
      <c r="B76" s="60">
        <f t="shared" si="2"/>
        <v>4</v>
      </c>
      <c r="C76" s="60" t="s">
        <v>59</v>
      </c>
      <c r="D76" s="20" t="s">
        <v>47</v>
      </c>
      <c r="E76" s="5">
        <v>100</v>
      </c>
      <c r="F76" s="18" t="s">
        <v>16</v>
      </c>
      <c r="G76" s="18">
        <v>43568</v>
      </c>
      <c r="H76" s="136"/>
      <c r="I76" s="66"/>
      <c r="J76" s="136"/>
      <c r="K76" s="136"/>
      <c r="L76" s="136"/>
      <c r="M76" s="136"/>
      <c r="N76" s="136"/>
      <c r="O76" s="136"/>
      <c r="P76" s="126"/>
    </row>
    <row r="77" spans="2:16" customFormat="1">
      <c r="B77" s="60">
        <f t="shared" si="2"/>
        <v>4</v>
      </c>
      <c r="C77" s="60" t="s">
        <v>59</v>
      </c>
      <c r="D77" s="20" t="s">
        <v>20</v>
      </c>
      <c r="E77" s="5">
        <v>100</v>
      </c>
      <c r="F77" s="18" t="s">
        <v>16</v>
      </c>
      <c r="G77" s="18">
        <v>43568</v>
      </c>
      <c r="H77" s="138"/>
      <c r="I77" s="66"/>
      <c r="J77" s="136"/>
      <c r="K77" s="136"/>
      <c r="L77" s="136"/>
      <c r="M77" s="136"/>
      <c r="N77" s="136"/>
      <c r="O77" s="136"/>
      <c r="P77" s="126"/>
    </row>
    <row r="78" spans="2:16" customFormat="1">
      <c r="B78" s="60">
        <f t="shared" si="2"/>
        <v>4</v>
      </c>
      <c r="C78" s="60" t="s">
        <v>59</v>
      </c>
      <c r="D78" s="20" t="s">
        <v>48</v>
      </c>
      <c r="E78" s="5">
        <v>100</v>
      </c>
      <c r="F78" s="18" t="s">
        <v>16</v>
      </c>
      <c r="G78" s="18">
        <v>43568</v>
      </c>
      <c r="H78" s="138"/>
      <c r="I78" s="66"/>
      <c r="J78" s="136"/>
      <c r="K78" s="136"/>
      <c r="L78" s="136"/>
      <c r="M78" s="136"/>
      <c r="N78" s="136"/>
      <c r="O78" s="136"/>
      <c r="P78" s="126"/>
    </row>
    <row r="79" spans="2:16" customFormat="1">
      <c r="B79" s="60">
        <f t="shared" si="2"/>
        <v>4</v>
      </c>
      <c r="C79" s="60" t="s">
        <v>59</v>
      </c>
      <c r="D79" s="20" t="s">
        <v>49</v>
      </c>
      <c r="E79" s="5">
        <v>100</v>
      </c>
      <c r="F79" s="18" t="s">
        <v>16</v>
      </c>
      <c r="G79" s="18">
        <v>43568</v>
      </c>
      <c r="H79" s="138"/>
      <c r="I79" s="66"/>
      <c r="J79" s="136"/>
      <c r="K79" s="136"/>
      <c r="L79" s="136"/>
      <c r="M79" s="136"/>
      <c r="N79" s="136"/>
      <c r="O79" s="136"/>
      <c r="P79" s="126"/>
    </row>
    <row r="80" spans="2:16" customFormat="1">
      <c r="B80" s="60">
        <f t="shared" si="2"/>
        <v>4</v>
      </c>
      <c r="C80" s="60" t="s">
        <v>59</v>
      </c>
      <c r="D80" s="20" t="s">
        <v>58</v>
      </c>
      <c r="E80" s="5">
        <v>100</v>
      </c>
      <c r="F80" s="18" t="s">
        <v>16</v>
      </c>
      <c r="G80" s="18">
        <v>43568</v>
      </c>
      <c r="H80" s="138"/>
      <c r="I80" s="66"/>
      <c r="J80" s="136"/>
      <c r="K80" s="136"/>
      <c r="L80" s="136"/>
      <c r="M80" s="136"/>
      <c r="N80" s="136"/>
      <c r="O80" s="136"/>
      <c r="P80" s="126"/>
    </row>
    <row r="81" spans="2:16" customFormat="1">
      <c r="B81" s="60">
        <f t="shared" si="2"/>
        <v>4</v>
      </c>
      <c r="C81" s="60" t="s">
        <v>59</v>
      </c>
      <c r="D81" s="20" t="s">
        <v>50</v>
      </c>
      <c r="E81" s="5">
        <v>100</v>
      </c>
      <c r="F81" s="18" t="s">
        <v>16</v>
      </c>
      <c r="G81" s="18">
        <v>43568</v>
      </c>
      <c r="H81" s="138"/>
      <c r="I81" s="66"/>
      <c r="J81" s="136"/>
      <c r="K81" s="136"/>
      <c r="L81" s="136"/>
      <c r="M81" s="136"/>
      <c r="N81" s="136"/>
      <c r="O81" s="136"/>
      <c r="P81" s="126"/>
    </row>
    <row r="82" spans="2:16" customFormat="1">
      <c r="B82" s="60">
        <f t="shared" si="2"/>
        <v>4</v>
      </c>
      <c r="C82" s="60" t="s">
        <v>59</v>
      </c>
      <c r="D82" s="20" t="s">
        <v>51</v>
      </c>
      <c r="E82" s="5">
        <v>100</v>
      </c>
      <c r="F82" s="18" t="s">
        <v>16</v>
      </c>
      <c r="G82" s="18">
        <v>43568</v>
      </c>
      <c r="H82" s="138"/>
      <c r="I82" s="66"/>
      <c r="J82" s="136"/>
      <c r="K82" s="136"/>
      <c r="L82" s="136"/>
      <c r="M82" s="136"/>
      <c r="N82" s="136"/>
      <c r="O82" s="136"/>
      <c r="P82" s="126"/>
    </row>
    <row r="83" spans="2:16" customFormat="1">
      <c r="B83" s="60">
        <f t="shared" si="2"/>
        <v>4</v>
      </c>
      <c r="C83" s="60" t="s">
        <v>59</v>
      </c>
      <c r="D83" s="20" t="s">
        <v>27</v>
      </c>
      <c r="E83" s="5">
        <v>100</v>
      </c>
      <c r="F83" s="18" t="s">
        <v>62</v>
      </c>
      <c r="G83" s="18">
        <v>43571</v>
      </c>
      <c r="H83" s="138"/>
      <c r="I83" s="66"/>
      <c r="J83" s="136"/>
      <c r="K83" s="136"/>
      <c r="L83" s="136"/>
      <c r="M83" s="136"/>
      <c r="N83" s="136"/>
      <c r="O83" s="136"/>
      <c r="P83" s="126"/>
    </row>
    <row r="84" spans="2:16" customFormat="1">
      <c r="B84" s="60">
        <f t="shared" si="2"/>
        <v>4</v>
      </c>
      <c r="C84" s="60" t="s">
        <v>59</v>
      </c>
      <c r="D84" s="20" t="s">
        <v>27</v>
      </c>
      <c r="E84" s="5">
        <v>100</v>
      </c>
      <c r="F84" s="18" t="s">
        <v>62</v>
      </c>
      <c r="G84" s="18">
        <v>43571</v>
      </c>
      <c r="H84" s="138"/>
      <c r="I84" s="66"/>
      <c r="J84" s="136"/>
      <c r="K84" s="136"/>
      <c r="L84" s="136"/>
      <c r="M84" s="136"/>
      <c r="N84" s="136"/>
      <c r="O84" s="136"/>
      <c r="P84" s="126"/>
    </row>
    <row r="85" spans="2:16" customFormat="1">
      <c r="B85" s="60">
        <f t="shared" si="2"/>
        <v>4</v>
      </c>
      <c r="C85" s="60" t="s">
        <v>59</v>
      </c>
      <c r="D85" s="20" t="s">
        <v>29</v>
      </c>
      <c r="E85" s="5">
        <v>100</v>
      </c>
      <c r="F85" s="18" t="s">
        <v>62</v>
      </c>
      <c r="G85" s="18">
        <v>43571</v>
      </c>
      <c r="H85" s="138"/>
      <c r="I85" s="66"/>
      <c r="J85" s="136"/>
      <c r="K85" s="136"/>
      <c r="L85" s="136"/>
      <c r="M85" s="136"/>
      <c r="N85" s="136"/>
      <c r="O85" s="136"/>
      <c r="P85" s="126"/>
    </row>
    <row r="86" spans="2:16" customFormat="1">
      <c r="B86" s="60">
        <f t="shared" si="2"/>
        <v>4</v>
      </c>
      <c r="C86" s="60" t="s">
        <v>59</v>
      </c>
      <c r="D86" s="20" t="s">
        <v>29</v>
      </c>
      <c r="E86" s="5">
        <v>100</v>
      </c>
      <c r="F86" s="18" t="s">
        <v>62</v>
      </c>
      <c r="G86" s="18">
        <v>43571</v>
      </c>
      <c r="H86" s="138"/>
      <c r="I86" s="66"/>
      <c r="J86" s="136"/>
      <c r="K86" s="136"/>
      <c r="L86" s="136"/>
      <c r="M86" s="136"/>
      <c r="N86" s="136"/>
      <c r="O86" s="136"/>
      <c r="P86" s="126"/>
    </row>
    <row r="87" spans="2:16" customFormat="1">
      <c r="B87" s="60">
        <f t="shared" si="2"/>
        <v>4</v>
      </c>
      <c r="C87" s="60" t="s">
        <v>59</v>
      </c>
      <c r="D87" s="20" t="s">
        <v>44</v>
      </c>
      <c r="E87" s="5">
        <v>100</v>
      </c>
      <c r="F87" s="18" t="s">
        <v>16</v>
      </c>
      <c r="G87" s="18">
        <v>43575</v>
      </c>
      <c r="H87" s="136"/>
      <c r="I87" s="66"/>
      <c r="J87" s="136"/>
      <c r="K87" s="136"/>
      <c r="L87" s="136"/>
      <c r="M87" s="136"/>
      <c r="N87" s="136"/>
      <c r="O87" s="136"/>
      <c r="P87" s="126"/>
    </row>
    <row r="88" spans="2:16" customFormat="1">
      <c r="B88" s="60">
        <f t="shared" si="2"/>
        <v>4</v>
      </c>
      <c r="C88" s="60" t="s">
        <v>59</v>
      </c>
      <c r="D88" s="20" t="s">
        <v>63</v>
      </c>
      <c r="E88" s="5">
        <v>100</v>
      </c>
      <c r="F88" s="18" t="s">
        <v>61</v>
      </c>
      <c r="G88" s="18">
        <v>43576</v>
      </c>
      <c r="H88" s="136"/>
      <c r="I88" s="66"/>
      <c r="J88" s="136"/>
      <c r="K88" s="136"/>
      <c r="L88" s="136"/>
      <c r="M88" s="136"/>
      <c r="N88" s="136"/>
      <c r="O88" s="136"/>
      <c r="P88" s="126"/>
    </row>
    <row r="89" spans="2:16" customFormat="1">
      <c r="B89" s="60">
        <f t="shared" si="2"/>
        <v>4</v>
      </c>
      <c r="C89" s="60" t="s">
        <v>59</v>
      </c>
      <c r="D89" s="20" t="s">
        <v>52</v>
      </c>
      <c r="E89" s="5">
        <v>100</v>
      </c>
      <c r="F89" s="18" t="s">
        <v>16</v>
      </c>
      <c r="G89" s="18">
        <v>43577</v>
      </c>
      <c r="H89" s="136"/>
      <c r="I89" s="66"/>
      <c r="J89" s="136"/>
      <c r="K89" s="136"/>
      <c r="L89" s="136"/>
      <c r="M89" s="136"/>
      <c r="N89" s="136"/>
      <c r="O89" s="136"/>
      <c r="P89" s="126"/>
    </row>
    <row r="90" spans="2:16" customFormat="1">
      <c r="B90" s="60">
        <f t="shared" si="2"/>
        <v>4</v>
      </c>
      <c r="C90" s="60" t="s">
        <v>59</v>
      </c>
      <c r="D90" s="20" t="s">
        <v>39</v>
      </c>
      <c r="E90" s="5">
        <v>100</v>
      </c>
      <c r="F90" s="18" t="s">
        <v>62</v>
      </c>
      <c r="G90" s="18">
        <v>43579</v>
      </c>
      <c r="H90" s="65"/>
      <c r="I90" s="66"/>
      <c r="J90" s="136"/>
      <c r="K90" s="136"/>
      <c r="L90" s="136"/>
      <c r="M90" s="136"/>
      <c r="N90" s="136"/>
      <c r="O90" s="136"/>
      <c r="P90" s="126"/>
    </row>
    <row r="91" spans="2:16" customFormat="1">
      <c r="B91" s="60">
        <f t="shared" si="2"/>
        <v>4</v>
      </c>
      <c r="C91" s="60" t="s">
        <v>59</v>
      </c>
      <c r="D91" s="20" t="s">
        <v>43</v>
      </c>
      <c r="E91" s="5">
        <v>100</v>
      </c>
      <c r="F91" s="64" t="s">
        <v>62</v>
      </c>
      <c r="G91" s="18">
        <v>43579</v>
      </c>
      <c r="H91" s="136"/>
      <c r="I91" s="66"/>
      <c r="J91" s="136"/>
      <c r="K91" s="136"/>
      <c r="L91" s="136"/>
      <c r="M91" s="136"/>
      <c r="N91" s="136"/>
      <c r="O91" s="136"/>
      <c r="P91" s="126"/>
    </row>
    <row r="92" spans="2:16" customFormat="1">
      <c r="B92" s="60">
        <f t="shared" si="2"/>
        <v>4</v>
      </c>
      <c r="C92" s="60" t="s">
        <v>59</v>
      </c>
      <c r="D92" s="20" t="s">
        <v>45</v>
      </c>
      <c r="E92" s="5">
        <v>100</v>
      </c>
      <c r="F92" s="18" t="s">
        <v>62</v>
      </c>
      <c r="G92" s="18">
        <v>43581</v>
      </c>
      <c r="H92" s="136"/>
      <c r="I92" s="66"/>
      <c r="J92" s="136"/>
      <c r="K92" s="136"/>
      <c r="L92" s="136"/>
      <c r="M92" s="136"/>
      <c r="N92" s="136"/>
      <c r="O92" s="136"/>
      <c r="P92" s="126"/>
    </row>
    <row r="93" spans="2:16" customFormat="1">
      <c r="B93" s="60">
        <f t="shared" si="2"/>
        <v>5</v>
      </c>
      <c r="C93" s="60" t="s">
        <v>64</v>
      </c>
      <c r="D93" s="20" t="s">
        <v>31</v>
      </c>
      <c r="E93" s="5">
        <v>100</v>
      </c>
      <c r="F93" s="18" t="s">
        <v>61</v>
      </c>
      <c r="G93" s="18">
        <v>43587</v>
      </c>
      <c r="H93" s="136"/>
      <c r="I93" s="66"/>
      <c r="J93" s="136"/>
      <c r="K93" s="136"/>
      <c r="L93" s="136"/>
      <c r="M93" s="136"/>
      <c r="N93" s="136"/>
      <c r="O93" s="136"/>
      <c r="P93" s="126"/>
    </row>
    <row r="94" spans="2:16" customFormat="1">
      <c r="B94" s="60">
        <f t="shared" si="2"/>
        <v>5</v>
      </c>
      <c r="C94" s="60" t="s">
        <v>64</v>
      </c>
      <c r="D94" s="20" t="s">
        <v>32</v>
      </c>
      <c r="E94" s="5">
        <v>100</v>
      </c>
      <c r="F94" s="18" t="s">
        <v>61</v>
      </c>
      <c r="G94" s="18">
        <v>43587</v>
      </c>
      <c r="H94" s="136"/>
      <c r="I94" s="66"/>
      <c r="J94" s="136"/>
      <c r="K94" s="136"/>
      <c r="L94" s="136"/>
      <c r="M94" s="136"/>
      <c r="N94" s="136"/>
      <c r="O94" s="136"/>
      <c r="P94" s="126"/>
    </row>
    <row r="95" spans="2:16" customFormat="1">
      <c r="B95" s="60">
        <f t="shared" si="2"/>
        <v>5</v>
      </c>
      <c r="C95" s="60" t="s">
        <v>64</v>
      </c>
      <c r="D95" s="20" t="s">
        <v>46</v>
      </c>
      <c r="E95" s="5">
        <v>100</v>
      </c>
      <c r="F95" s="18" t="s">
        <v>16</v>
      </c>
      <c r="G95" s="18">
        <v>43592</v>
      </c>
      <c r="H95" s="136"/>
      <c r="I95" s="66"/>
      <c r="J95" s="136"/>
      <c r="K95" s="136"/>
      <c r="L95" s="136"/>
      <c r="M95" s="136"/>
      <c r="N95" s="136"/>
      <c r="O95" s="136"/>
      <c r="P95" s="126"/>
    </row>
    <row r="96" spans="2:16" customFormat="1">
      <c r="B96" s="60">
        <f t="shared" si="2"/>
        <v>5</v>
      </c>
      <c r="C96" s="60" t="s">
        <v>64</v>
      </c>
      <c r="D96" s="20" t="s">
        <v>17</v>
      </c>
      <c r="E96" s="5">
        <v>100</v>
      </c>
      <c r="F96" s="18" t="s">
        <v>16</v>
      </c>
      <c r="G96" s="18">
        <v>43592</v>
      </c>
      <c r="H96" s="136"/>
      <c r="I96" s="66"/>
      <c r="J96" s="136"/>
      <c r="K96" s="136"/>
      <c r="L96" s="136"/>
      <c r="M96" s="136"/>
      <c r="N96" s="136"/>
      <c r="O96" s="136"/>
      <c r="P96" s="126"/>
    </row>
    <row r="97" spans="2:16" customFormat="1">
      <c r="B97" s="60">
        <v>5</v>
      </c>
      <c r="C97" s="60" t="s">
        <v>64</v>
      </c>
      <c r="D97" s="20" t="s">
        <v>34</v>
      </c>
      <c r="E97" s="5">
        <v>100</v>
      </c>
      <c r="F97" s="18" t="s">
        <v>61</v>
      </c>
      <c r="G97" s="18">
        <v>43595</v>
      </c>
      <c r="H97" s="136"/>
      <c r="I97" s="66"/>
      <c r="J97" s="136"/>
      <c r="K97" s="136"/>
      <c r="L97" s="136"/>
      <c r="M97" s="136"/>
      <c r="N97" s="136"/>
      <c r="O97" s="136"/>
      <c r="P97" s="126"/>
    </row>
    <row r="98" spans="2:16" customFormat="1">
      <c r="B98" s="60">
        <f t="shared" ref="B98:B111" si="3">MONTH(G98)</f>
        <v>5</v>
      </c>
      <c r="C98" s="60" t="s">
        <v>64</v>
      </c>
      <c r="D98" s="20" t="s">
        <v>23</v>
      </c>
      <c r="E98" s="5">
        <v>100</v>
      </c>
      <c r="F98" s="18" t="s">
        <v>61</v>
      </c>
      <c r="G98" s="18">
        <v>43595</v>
      </c>
      <c r="H98" s="136"/>
      <c r="I98" s="66"/>
      <c r="J98" s="136"/>
      <c r="K98" s="136"/>
      <c r="L98" s="136"/>
      <c r="M98" s="136"/>
      <c r="N98" s="136"/>
      <c r="O98" s="136"/>
      <c r="P98" s="126"/>
    </row>
    <row r="99" spans="2:16" customFormat="1">
      <c r="B99" s="60">
        <f t="shared" si="3"/>
        <v>5</v>
      </c>
      <c r="C99" s="60" t="s">
        <v>64</v>
      </c>
      <c r="D99" s="20" t="s">
        <v>57</v>
      </c>
      <c r="E99" s="5">
        <v>100</v>
      </c>
      <c r="F99" s="18" t="s">
        <v>61</v>
      </c>
      <c r="G99" s="18">
        <v>43595</v>
      </c>
      <c r="H99" s="136"/>
      <c r="I99" s="66"/>
      <c r="J99" s="136"/>
      <c r="K99" s="136"/>
      <c r="L99" s="136"/>
      <c r="M99" s="136"/>
      <c r="N99" s="136"/>
      <c r="O99" s="136"/>
      <c r="P99" s="126"/>
    </row>
    <row r="100" spans="2:16" customFormat="1">
      <c r="B100" s="60">
        <f t="shared" si="3"/>
        <v>5</v>
      </c>
      <c r="C100" s="60" t="s">
        <v>64</v>
      </c>
      <c r="D100" s="20" t="s">
        <v>37</v>
      </c>
      <c r="E100" s="5">
        <v>100</v>
      </c>
      <c r="F100" s="18" t="s">
        <v>61</v>
      </c>
      <c r="G100" s="18">
        <v>43595</v>
      </c>
      <c r="H100" s="136"/>
      <c r="I100" s="66"/>
      <c r="J100" s="136"/>
      <c r="K100" s="136"/>
      <c r="L100" s="136"/>
      <c r="M100" s="136"/>
      <c r="N100" s="136"/>
      <c r="O100" s="136"/>
      <c r="P100" s="126"/>
    </row>
    <row r="101" spans="2:16" customFormat="1">
      <c r="B101" s="60">
        <f t="shared" si="3"/>
        <v>5</v>
      </c>
      <c r="C101" s="60" t="s">
        <v>64</v>
      </c>
      <c r="D101" s="20" t="s">
        <v>52</v>
      </c>
      <c r="E101" s="5">
        <v>100</v>
      </c>
      <c r="F101" s="18" t="s">
        <v>61</v>
      </c>
      <c r="G101" s="18">
        <v>43595</v>
      </c>
      <c r="H101" s="136"/>
      <c r="I101" s="66"/>
      <c r="J101" s="136"/>
      <c r="K101" s="136"/>
      <c r="L101" s="136"/>
      <c r="M101" s="136"/>
      <c r="N101" s="136"/>
      <c r="O101" s="136"/>
      <c r="P101" s="126"/>
    </row>
    <row r="102" spans="2:16" customFormat="1">
      <c r="B102" s="60">
        <f t="shared" si="3"/>
        <v>5</v>
      </c>
      <c r="C102" s="60" t="s">
        <v>64</v>
      </c>
      <c r="D102" s="20" t="s">
        <v>38</v>
      </c>
      <c r="E102" s="5">
        <v>100</v>
      </c>
      <c r="F102" s="18" t="s">
        <v>61</v>
      </c>
      <c r="G102" s="18">
        <v>43595</v>
      </c>
      <c r="H102" s="136"/>
      <c r="I102" s="66"/>
      <c r="J102" s="136"/>
      <c r="K102" s="136"/>
      <c r="L102" s="136"/>
      <c r="M102" s="136"/>
      <c r="N102" s="136"/>
      <c r="O102" s="136"/>
      <c r="P102" s="126"/>
    </row>
    <row r="103" spans="2:16" customFormat="1">
      <c r="B103" s="60">
        <f t="shared" si="3"/>
        <v>5</v>
      </c>
      <c r="C103" s="60" t="s">
        <v>64</v>
      </c>
      <c r="D103" s="20" t="s">
        <v>39</v>
      </c>
      <c r="E103" s="5">
        <v>100</v>
      </c>
      <c r="F103" s="18" t="s">
        <v>61</v>
      </c>
      <c r="G103" s="18">
        <v>43595</v>
      </c>
      <c r="H103" s="136"/>
      <c r="I103" s="66"/>
      <c r="J103" s="136"/>
      <c r="K103" s="136"/>
      <c r="L103" s="136"/>
      <c r="M103" s="136"/>
      <c r="N103" s="136"/>
      <c r="O103" s="136"/>
      <c r="P103" s="126"/>
    </row>
    <row r="104" spans="2:16" customFormat="1">
      <c r="B104" s="60">
        <f t="shared" si="3"/>
        <v>5</v>
      </c>
      <c r="C104" s="60" t="s">
        <v>64</v>
      </c>
      <c r="D104" s="20" t="s">
        <v>25</v>
      </c>
      <c r="E104" s="5">
        <v>100</v>
      </c>
      <c r="F104" s="18" t="s">
        <v>61</v>
      </c>
      <c r="G104" s="18">
        <v>43595</v>
      </c>
      <c r="H104" s="136"/>
      <c r="I104" s="66"/>
      <c r="J104" s="136"/>
      <c r="K104" s="136"/>
      <c r="L104" s="136"/>
      <c r="M104" s="136"/>
      <c r="N104" s="136"/>
      <c r="O104" s="136"/>
      <c r="P104" s="126"/>
    </row>
    <row r="105" spans="2:16" customFormat="1">
      <c r="B105" s="60">
        <f t="shared" si="3"/>
        <v>5</v>
      </c>
      <c r="C105" s="60" t="s">
        <v>64</v>
      </c>
      <c r="D105" s="20" t="s">
        <v>47</v>
      </c>
      <c r="E105" s="5">
        <v>100</v>
      </c>
      <c r="F105" s="18" t="s">
        <v>61</v>
      </c>
      <c r="G105" s="18">
        <v>43595</v>
      </c>
      <c r="H105" s="136"/>
      <c r="I105" s="66"/>
      <c r="J105" s="136"/>
      <c r="K105" s="136"/>
      <c r="L105" s="136"/>
      <c r="M105" s="136"/>
      <c r="N105" s="136"/>
      <c r="O105" s="136"/>
      <c r="P105" s="126"/>
    </row>
    <row r="106" spans="2:16" customFormat="1">
      <c r="B106" s="60">
        <f t="shared" si="3"/>
        <v>5</v>
      </c>
      <c r="C106" s="60" t="s">
        <v>64</v>
      </c>
      <c r="D106" s="20" t="s">
        <v>20</v>
      </c>
      <c r="E106" s="5">
        <v>100</v>
      </c>
      <c r="F106" s="18" t="s">
        <v>61</v>
      </c>
      <c r="G106" s="18">
        <v>43595</v>
      </c>
      <c r="H106" s="136"/>
      <c r="I106" s="66"/>
      <c r="J106" s="136"/>
      <c r="K106" s="136"/>
      <c r="L106" s="136"/>
      <c r="M106" s="136"/>
      <c r="N106" s="136"/>
      <c r="O106" s="136"/>
      <c r="P106" s="126"/>
    </row>
    <row r="107" spans="2:16" customFormat="1">
      <c r="B107" s="60">
        <f t="shared" si="3"/>
        <v>5</v>
      </c>
      <c r="C107" s="60" t="s">
        <v>64</v>
      </c>
      <c r="D107" s="20" t="s">
        <v>48</v>
      </c>
      <c r="E107" s="5">
        <v>100</v>
      </c>
      <c r="F107" s="18" t="s">
        <v>61</v>
      </c>
      <c r="G107" s="18">
        <v>43595</v>
      </c>
      <c r="H107" s="136"/>
      <c r="I107" s="66"/>
      <c r="J107" s="136"/>
      <c r="K107" s="136"/>
      <c r="L107" s="136"/>
      <c r="M107" s="136"/>
      <c r="N107" s="136"/>
      <c r="O107" s="136"/>
      <c r="P107" s="126"/>
    </row>
    <row r="108" spans="2:16" customFormat="1">
      <c r="B108" s="60">
        <f t="shared" si="3"/>
        <v>5</v>
      </c>
      <c r="C108" s="60" t="s">
        <v>64</v>
      </c>
      <c r="D108" s="20" t="s">
        <v>49</v>
      </c>
      <c r="E108" s="5">
        <v>100</v>
      </c>
      <c r="F108" s="18" t="s">
        <v>61</v>
      </c>
      <c r="G108" s="18">
        <v>43595</v>
      </c>
      <c r="H108" s="136"/>
      <c r="I108" s="66"/>
      <c r="J108" s="136"/>
      <c r="K108" s="136"/>
      <c r="L108" s="136"/>
      <c r="M108" s="136"/>
      <c r="N108" s="136"/>
      <c r="O108" s="136"/>
      <c r="P108" s="126"/>
    </row>
    <row r="109" spans="2:16" customFormat="1">
      <c r="B109" s="60">
        <f t="shared" si="3"/>
        <v>5</v>
      </c>
      <c r="C109" s="60" t="s">
        <v>64</v>
      </c>
      <c r="D109" s="20" t="s">
        <v>30</v>
      </c>
      <c r="E109" s="5">
        <v>100</v>
      </c>
      <c r="F109" s="18" t="s">
        <v>61</v>
      </c>
      <c r="G109" s="64">
        <v>43595</v>
      </c>
      <c r="H109" s="136"/>
      <c r="I109" s="66"/>
      <c r="J109" s="136"/>
      <c r="K109" s="136"/>
      <c r="L109" s="136"/>
      <c r="M109" s="136"/>
      <c r="N109" s="136"/>
      <c r="O109" s="136"/>
      <c r="P109" s="126"/>
    </row>
    <row r="110" spans="2:16" customFormat="1">
      <c r="B110" s="60">
        <f t="shared" si="3"/>
        <v>5</v>
      </c>
      <c r="C110" s="60" t="s">
        <v>64</v>
      </c>
      <c r="D110" s="20" t="s">
        <v>50</v>
      </c>
      <c r="E110" s="5">
        <v>100</v>
      </c>
      <c r="F110" s="18" t="s">
        <v>61</v>
      </c>
      <c r="G110" s="18">
        <v>43595</v>
      </c>
      <c r="H110" s="136"/>
      <c r="I110" s="66"/>
      <c r="J110" s="136"/>
      <c r="K110" s="136"/>
      <c r="L110" s="136"/>
      <c r="M110" s="136"/>
      <c r="N110" s="136"/>
      <c r="O110" s="136"/>
      <c r="P110" s="126"/>
    </row>
    <row r="111" spans="2:16" customFormat="1">
      <c r="B111" s="60">
        <f t="shared" si="3"/>
        <v>5</v>
      </c>
      <c r="C111" s="60" t="s">
        <v>64</v>
      </c>
      <c r="D111" s="20" t="s">
        <v>44</v>
      </c>
      <c r="E111" s="5">
        <v>100</v>
      </c>
      <c r="F111" s="18" t="s">
        <v>61</v>
      </c>
      <c r="G111" s="18">
        <v>43595</v>
      </c>
      <c r="H111" s="136"/>
      <c r="I111" s="66"/>
      <c r="J111" s="136"/>
      <c r="K111" s="136"/>
      <c r="L111" s="136"/>
      <c r="M111" s="136"/>
      <c r="N111" s="136"/>
      <c r="O111" s="136"/>
      <c r="P111" s="126"/>
    </row>
    <row r="112" spans="2:16" customFormat="1">
      <c r="B112" s="60">
        <v>5</v>
      </c>
      <c r="C112" s="60" t="s">
        <v>65</v>
      </c>
      <c r="D112" s="20" t="s">
        <v>45</v>
      </c>
      <c r="E112" s="5">
        <v>100</v>
      </c>
      <c r="F112" s="18" t="s">
        <v>61</v>
      </c>
      <c r="G112" s="18">
        <v>43595</v>
      </c>
      <c r="H112" s="136"/>
      <c r="I112" s="66"/>
      <c r="J112" s="136"/>
      <c r="K112" s="136"/>
      <c r="L112" s="136"/>
      <c r="M112" s="136"/>
      <c r="N112" s="136"/>
      <c r="O112" s="136"/>
      <c r="P112" s="126"/>
    </row>
    <row r="113" spans="2:16" customFormat="1">
      <c r="B113" s="60">
        <f>MONTH(G113)</f>
        <v>5</v>
      </c>
      <c r="C113" s="60" t="s">
        <v>64</v>
      </c>
      <c r="D113" s="4" t="s">
        <v>43</v>
      </c>
      <c r="E113" s="5">
        <v>100</v>
      </c>
      <c r="F113" s="18" t="s">
        <v>61</v>
      </c>
      <c r="G113" s="18">
        <v>43595</v>
      </c>
      <c r="H113" s="65"/>
      <c r="I113" s="66"/>
      <c r="J113" s="136"/>
      <c r="K113" s="136"/>
      <c r="L113" s="136"/>
      <c r="M113" s="136"/>
      <c r="N113" s="136"/>
      <c r="O113" s="136"/>
      <c r="P113" s="126"/>
    </row>
    <row r="114" spans="2:16" customFormat="1">
      <c r="B114" s="60">
        <f>MONTH(G114)</f>
        <v>5</v>
      </c>
      <c r="C114" s="60" t="s">
        <v>64</v>
      </c>
      <c r="D114" s="20" t="s">
        <v>51</v>
      </c>
      <c r="E114" s="5">
        <v>100</v>
      </c>
      <c r="F114" s="18" t="s">
        <v>61</v>
      </c>
      <c r="G114" s="18">
        <v>43595</v>
      </c>
      <c r="H114" s="136"/>
      <c r="I114" s="66"/>
      <c r="J114" s="136"/>
      <c r="K114" s="136"/>
      <c r="L114" s="136"/>
      <c r="M114" s="136"/>
      <c r="N114" s="136"/>
      <c r="O114" s="136"/>
      <c r="P114" s="126"/>
    </row>
    <row r="115" spans="2:16" customFormat="1">
      <c r="B115" s="60">
        <v>5</v>
      </c>
      <c r="C115" s="60" t="s">
        <v>64</v>
      </c>
      <c r="D115" s="20" t="s">
        <v>63</v>
      </c>
      <c r="E115" s="5">
        <v>100</v>
      </c>
      <c r="F115" s="18" t="s">
        <v>61</v>
      </c>
      <c r="G115" s="18">
        <v>43595</v>
      </c>
      <c r="H115" s="136"/>
      <c r="I115" s="66"/>
      <c r="J115" s="136"/>
      <c r="K115" s="136"/>
      <c r="L115" s="136"/>
      <c r="M115" s="136"/>
      <c r="N115" s="136"/>
      <c r="O115" s="136"/>
      <c r="P115" s="126"/>
    </row>
    <row r="116" spans="2:16" customFormat="1">
      <c r="B116" s="60">
        <v>6</v>
      </c>
      <c r="C116" s="60" t="s">
        <v>66</v>
      </c>
      <c r="D116" s="20" t="s">
        <v>34</v>
      </c>
      <c r="E116" s="5">
        <v>100</v>
      </c>
      <c r="F116" s="18" t="s">
        <v>61</v>
      </c>
      <c r="G116" s="18">
        <v>43626</v>
      </c>
      <c r="H116" s="136"/>
      <c r="I116" s="66"/>
      <c r="J116" s="136"/>
      <c r="K116" s="136"/>
      <c r="L116" s="136"/>
      <c r="M116" s="136"/>
      <c r="N116" s="136"/>
      <c r="O116" s="136"/>
      <c r="P116" s="126"/>
    </row>
    <row r="117" spans="2:16" customFormat="1">
      <c r="B117" s="60">
        <f>MONTH(G117)</f>
        <v>6</v>
      </c>
      <c r="C117" s="60" t="s">
        <v>66</v>
      </c>
      <c r="D117" s="20" t="s">
        <v>23</v>
      </c>
      <c r="E117" s="5">
        <v>100</v>
      </c>
      <c r="F117" s="18" t="s">
        <v>61</v>
      </c>
      <c r="G117" s="18">
        <v>43626</v>
      </c>
      <c r="H117" s="136"/>
      <c r="I117" s="66"/>
      <c r="J117" s="136"/>
      <c r="K117" s="136"/>
      <c r="L117" s="136"/>
      <c r="M117" s="136"/>
      <c r="N117" s="136"/>
      <c r="O117" s="136"/>
      <c r="P117" s="126"/>
    </row>
    <row r="118" spans="2:16" customFormat="1">
      <c r="B118" s="60">
        <v>6</v>
      </c>
      <c r="C118" s="60" t="s">
        <v>66</v>
      </c>
      <c r="D118" s="20" t="s">
        <v>31</v>
      </c>
      <c r="E118" s="5">
        <v>100</v>
      </c>
      <c r="F118" s="18" t="s">
        <v>61</v>
      </c>
      <c r="G118" s="18">
        <v>43626</v>
      </c>
      <c r="H118" s="136"/>
      <c r="I118" s="66"/>
      <c r="J118" s="136"/>
      <c r="K118" s="136"/>
      <c r="L118" s="136"/>
      <c r="M118" s="136"/>
      <c r="N118" s="136"/>
      <c r="O118" s="136"/>
      <c r="P118" s="126"/>
    </row>
    <row r="119" spans="2:16" customFormat="1">
      <c r="B119" s="60">
        <f>MONTH(G119)</f>
        <v>6</v>
      </c>
      <c r="C119" s="60" t="s">
        <v>66</v>
      </c>
      <c r="D119" s="4" t="s">
        <v>46</v>
      </c>
      <c r="E119" s="5">
        <v>92</v>
      </c>
      <c r="F119" s="18" t="s">
        <v>61</v>
      </c>
      <c r="G119" s="18">
        <v>43626</v>
      </c>
      <c r="H119" s="136"/>
      <c r="I119" s="66"/>
      <c r="J119" s="136"/>
      <c r="K119" s="136"/>
      <c r="L119" s="136"/>
      <c r="M119" s="136"/>
      <c r="N119" s="136"/>
      <c r="O119" s="136"/>
      <c r="P119" s="126"/>
    </row>
    <row r="120" spans="2:16" customFormat="1">
      <c r="B120" s="60">
        <f>MONTH(G120)</f>
        <v>6</v>
      </c>
      <c r="C120" s="60" t="s">
        <v>66</v>
      </c>
      <c r="D120" s="20" t="s">
        <v>67</v>
      </c>
      <c r="E120" s="29">
        <v>100</v>
      </c>
      <c r="F120" s="18" t="s">
        <v>61</v>
      </c>
      <c r="G120" s="18">
        <v>43626</v>
      </c>
      <c r="H120" s="136"/>
      <c r="I120" s="66"/>
      <c r="J120" s="136"/>
      <c r="K120" s="136"/>
      <c r="L120" s="136"/>
      <c r="M120" s="136"/>
      <c r="N120" s="136"/>
      <c r="O120" s="136"/>
      <c r="P120" s="126"/>
    </row>
    <row r="121" spans="2:16" customFormat="1">
      <c r="B121" s="60">
        <f>MONTH(G121)</f>
        <v>6</v>
      </c>
      <c r="C121" s="60" t="s">
        <v>66</v>
      </c>
      <c r="D121" s="20" t="s">
        <v>37</v>
      </c>
      <c r="E121" s="5">
        <v>100</v>
      </c>
      <c r="F121" s="18" t="s">
        <v>61</v>
      </c>
      <c r="G121" s="18">
        <v>43626</v>
      </c>
      <c r="H121" s="136"/>
      <c r="I121" s="66"/>
      <c r="J121" s="136"/>
      <c r="K121" s="136"/>
      <c r="L121" s="136"/>
      <c r="M121" s="136"/>
      <c r="N121" s="136"/>
      <c r="O121" s="136"/>
      <c r="P121" s="126"/>
    </row>
    <row r="122" spans="2:16" customFormat="1">
      <c r="B122" s="60">
        <f>MONTH(G122)</f>
        <v>6</v>
      </c>
      <c r="C122" s="60" t="s">
        <v>66</v>
      </c>
      <c r="D122" s="20" t="s">
        <v>38</v>
      </c>
      <c r="E122" s="5">
        <v>100</v>
      </c>
      <c r="F122" s="18" t="s">
        <v>61</v>
      </c>
      <c r="G122" s="18">
        <v>43626</v>
      </c>
      <c r="H122" s="136"/>
      <c r="I122" s="66"/>
      <c r="J122" s="136"/>
      <c r="K122" s="136"/>
      <c r="L122" s="136"/>
      <c r="M122" s="136"/>
      <c r="N122" s="136"/>
      <c r="O122" s="136"/>
      <c r="P122" s="126"/>
    </row>
    <row r="123" spans="2:16" customFormat="1">
      <c r="B123" s="60">
        <v>6</v>
      </c>
      <c r="C123" s="60" t="s">
        <v>66</v>
      </c>
      <c r="D123" s="20" t="s">
        <v>32</v>
      </c>
      <c r="E123" s="5">
        <v>100</v>
      </c>
      <c r="F123" s="18" t="s">
        <v>61</v>
      </c>
      <c r="G123" s="18">
        <v>43626</v>
      </c>
      <c r="H123" s="136"/>
      <c r="I123" s="66"/>
      <c r="J123" s="136"/>
      <c r="K123" s="136"/>
      <c r="L123" s="136"/>
      <c r="M123" s="136"/>
      <c r="N123" s="136"/>
      <c r="O123" s="136"/>
      <c r="P123" s="126"/>
    </row>
    <row r="124" spans="2:16" customFormat="1">
      <c r="B124" s="60">
        <f t="shared" ref="B124:B136" si="4">MONTH(G124)</f>
        <v>6</v>
      </c>
      <c r="C124" s="60" t="s">
        <v>66</v>
      </c>
      <c r="D124" s="20" t="s">
        <v>39</v>
      </c>
      <c r="E124" s="5">
        <v>100</v>
      </c>
      <c r="F124" s="18" t="s">
        <v>61</v>
      </c>
      <c r="G124" s="18">
        <v>43626</v>
      </c>
      <c r="H124" s="136"/>
      <c r="I124" s="68"/>
      <c r="J124" s="136"/>
      <c r="K124" s="136"/>
      <c r="L124" s="136"/>
      <c r="M124" s="136"/>
      <c r="N124" s="136"/>
      <c r="O124" s="136"/>
      <c r="P124" s="126"/>
    </row>
    <row r="125" spans="2:16" customFormat="1">
      <c r="B125" s="60">
        <f t="shared" si="4"/>
        <v>6</v>
      </c>
      <c r="C125" s="60" t="s">
        <v>66</v>
      </c>
      <c r="D125" s="20" t="s">
        <v>68</v>
      </c>
      <c r="E125" s="5">
        <v>100</v>
      </c>
      <c r="F125" s="18" t="s">
        <v>61</v>
      </c>
      <c r="G125" s="18">
        <v>43626</v>
      </c>
      <c r="H125" s="136"/>
      <c r="I125" s="66"/>
      <c r="J125" s="136"/>
      <c r="K125" s="136"/>
      <c r="L125" s="136"/>
      <c r="M125" s="136"/>
      <c r="N125" s="136"/>
      <c r="O125" s="136"/>
      <c r="P125" s="126"/>
    </row>
    <row r="126" spans="2:16" customFormat="1">
      <c r="B126" s="60">
        <f t="shared" si="4"/>
        <v>6</v>
      </c>
      <c r="C126" s="60" t="s">
        <v>66</v>
      </c>
      <c r="D126" s="20" t="s">
        <v>25</v>
      </c>
      <c r="E126" s="5">
        <v>100</v>
      </c>
      <c r="F126" s="18" t="s">
        <v>61</v>
      </c>
      <c r="G126" s="18">
        <v>43626</v>
      </c>
      <c r="H126" s="136"/>
      <c r="I126" s="68"/>
      <c r="J126" s="136"/>
      <c r="K126" s="136"/>
      <c r="L126" s="136"/>
      <c r="M126" s="136"/>
      <c r="N126" s="136"/>
      <c r="O126" s="136"/>
      <c r="P126" s="126"/>
    </row>
    <row r="127" spans="2:16" customFormat="1">
      <c r="B127" s="60">
        <f t="shared" si="4"/>
        <v>6</v>
      </c>
      <c r="C127" s="60" t="s">
        <v>66</v>
      </c>
      <c r="D127" s="20" t="s">
        <v>47</v>
      </c>
      <c r="E127" s="5">
        <v>100</v>
      </c>
      <c r="F127" s="18" t="s">
        <v>61</v>
      </c>
      <c r="G127" s="18">
        <v>43626</v>
      </c>
      <c r="H127" s="136"/>
      <c r="I127" s="66"/>
      <c r="J127" s="136"/>
      <c r="K127" s="136"/>
      <c r="L127" s="136"/>
      <c r="M127" s="136"/>
      <c r="N127" s="136"/>
      <c r="O127" s="136"/>
      <c r="P127" s="126"/>
    </row>
    <row r="128" spans="2:16" customFormat="1">
      <c r="B128" s="60">
        <f t="shared" si="4"/>
        <v>6</v>
      </c>
      <c r="C128" s="60" t="s">
        <v>66</v>
      </c>
      <c r="D128" s="20" t="s">
        <v>17</v>
      </c>
      <c r="E128" s="5">
        <v>100</v>
      </c>
      <c r="F128" s="18" t="s">
        <v>61</v>
      </c>
      <c r="G128" s="18">
        <v>43626</v>
      </c>
      <c r="H128" s="136"/>
      <c r="I128" s="66"/>
      <c r="J128" s="136"/>
      <c r="K128" s="136"/>
      <c r="L128" s="136"/>
      <c r="M128" s="136"/>
      <c r="N128" s="136"/>
      <c r="O128" s="136"/>
      <c r="P128" s="126"/>
    </row>
    <row r="129" spans="2:16" customFormat="1">
      <c r="B129" s="60">
        <f t="shared" si="4"/>
        <v>6</v>
      </c>
      <c r="C129" s="60" t="s">
        <v>66</v>
      </c>
      <c r="D129" s="20" t="s">
        <v>20</v>
      </c>
      <c r="E129" s="5">
        <v>100</v>
      </c>
      <c r="F129" s="18" t="s">
        <v>61</v>
      </c>
      <c r="G129" s="18">
        <v>43626</v>
      </c>
      <c r="H129" s="136"/>
      <c r="I129" s="66"/>
      <c r="J129" s="136"/>
      <c r="K129" s="136"/>
      <c r="L129" s="136"/>
      <c r="M129" s="136"/>
      <c r="N129" s="136"/>
      <c r="O129" s="136"/>
      <c r="P129" s="126"/>
    </row>
    <row r="130" spans="2:16" customFormat="1">
      <c r="B130" s="60">
        <f t="shared" si="4"/>
        <v>6</v>
      </c>
      <c r="C130" s="60" t="s">
        <v>66</v>
      </c>
      <c r="D130" s="20" t="s">
        <v>48</v>
      </c>
      <c r="E130" s="5">
        <v>100</v>
      </c>
      <c r="F130" s="18" t="s">
        <v>61</v>
      </c>
      <c r="G130" s="18">
        <v>43626</v>
      </c>
      <c r="H130" s="136"/>
      <c r="I130" s="66"/>
      <c r="J130" s="136"/>
      <c r="K130" s="136"/>
      <c r="L130" s="136"/>
      <c r="M130" s="136"/>
      <c r="N130" s="136"/>
      <c r="O130" s="136"/>
      <c r="P130" s="126"/>
    </row>
    <row r="131" spans="2:16" customFormat="1">
      <c r="B131" s="60">
        <f t="shared" si="4"/>
        <v>6</v>
      </c>
      <c r="C131" s="60" t="s">
        <v>66</v>
      </c>
      <c r="D131" s="20" t="s">
        <v>49</v>
      </c>
      <c r="E131" s="5">
        <v>100</v>
      </c>
      <c r="F131" s="18" t="s">
        <v>61</v>
      </c>
      <c r="G131" s="18">
        <v>43626</v>
      </c>
      <c r="H131" s="136"/>
      <c r="I131" s="66"/>
      <c r="J131" s="136"/>
      <c r="K131" s="136"/>
      <c r="L131" s="136"/>
      <c r="M131" s="136"/>
      <c r="N131" s="136"/>
      <c r="O131" s="136"/>
      <c r="P131" s="126"/>
    </row>
    <row r="132" spans="2:16" customFormat="1">
      <c r="B132" s="60">
        <f t="shared" si="4"/>
        <v>6</v>
      </c>
      <c r="C132" s="60" t="s">
        <v>66</v>
      </c>
      <c r="D132" s="20" t="s">
        <v>58</v>
      </c>
      <c r="E132" s="5">
        <v>100</v>
      </c>
      <c r="F132" s="18" t="s">
        <v>61</v>
      </c>
      <c r="G132" s="18">
        <v>43626</v>
      </c>
      <c r="H132" s="136"/>
      <c r="I132" s="66"/>
      <c r="J132" s="136"/>
      <c r="K132" s="136"/>
      <c r="L132" s="136"/>
      <c r="M132" s="136"/>
      <c r="N132" s="136"/>
      <c r="O132" s="136"/>
      <c r="P132" s="126"/>
    </row>
    <row r="133" spans="2:16" customFormat="1">
      <c r="B133" s="60">
        <f t="shared" si="4"/>
        <v>6</v>
      </c>
      <c r="C133" s="60" t="s">
        <v>66</v>
      </c>
      <c r="D133" s="20" t="s">
        <v>69</v>
      </c>
      <c r="E133" s="5">
        <v>100</v>
      </c>
      <c r="F133" s="18" t="s">
        <v>61</v>
      </c>
      <c r="G133" s="18">
        <v>43626</v>
      </c>
      <c r="H133" s="136"/>
      <c r="I133" s="66"/>
      <c r="J133" s="136"/>
      <c r="K133" s="136"/>
      <c r="L133" s="136"/>
      <c r="M133" s="136"/>
      <c r="N133" s="136"/>
      <c r="O133" s="136"/>
      <c r="P133" s="126"/>
    </row>
    <row r="134" spans="2:16" customFormat="1">
      <c r="B134" s="60">
        <f t="shared" si="4"/>
        <v>6</v>
      </c>
      <c r="C134" s="60" t="s">
        <v>66</v>
      </c>
      <c r="D134" s="20" t="s">
        <v>30</v>
      </c>
      <c r="E134" s="5">
        <v>100</v>
      </c>
      <c r="F134" s="18" t="s">
        <v>61</v>
      </c>
      <c r="G134" s="64">
        <v>43626</v>
      </c>
      <c r="H134" s="136"/>
      <c r="I134" s="66"/>
      <c r="J134" s="136"/>
      <c r="K134" s="136"/>
      <c r="L134" s="136"/>
      <c r="M134" s="136"/>
      <c r="N134" s="136"/>
      <c r="O134" s="136"/>
      <c r="P134" s="126"/>
    </row>
    <row r="135" spans="2:16" customFormat="1">
      <c r="B135" s="60">
        <f t="shared" si="4"/>
        <v>6</v>
      </c>
      <c r="C135" s="60" t="s">
        <v>66</v>
      </c>
      <c r="D135" s="20" t="s">
        <v>50</v>
      </c>
      <c r="E135" s="5">
        <v>100</v>
      </c>
      <c r="F135" s="18" t="s">
        <v>61</v>
      </c>
      <c r="G135" s="18">
        <v>43626</v>
      </c>
      <c r="H135" s="136"/>
      <c r="I135" s="66"/>
      <c r="J135" s="136"/>
      <c r="K135" s="136"/>
      <c r="L135" s="136"/>
      <c r="M135" s="136"/>
      <c r="N135" s="136"/>
      <c r="O135" s="136"/>
      <c r="P135" s="126"/>
    </row>
    <row r="136" spans="2:16" customFormat="1">
      <c r="B136" s="60">
        <f t="shared" si="4"/>
        <v>6</v>
      </c>
      <c r="C136" s="60" t="s">
        <v>66</v>
      </c>
      <c r="D136" s="20" t="s">
        <v>44</v>
      </c>
      <c r="E136" s="5">
        <v>100</v>
      </c>
      <c r="F136" s="18" t="s">
        <v>61</v>
      </c>
      <c r="G136" s="18">
        <v>43626</v>
      </c>
      <c r="H136" s="136"/>
      <c r="I136" s="66"/>
      <c r="J136" s="136"/>
      <c r="K136" s="136"/>
      <c r="L136" s="136"/>
      <c r="M136" s="136"/>
      <c r="N136" s="136"/>
      <c r="O136" s="136"/>
      <c r="P136" s="126"/>
    </row>
    <row r="137" spans="2:16" customFormat="1">
      <c r="B137" s="60">
        <v>6</v>
      </c>
      <c r="C137" s="60" t="s">
        <v>66</v>
      </c>
      <c r="D137" s="20" t="s">
        <v>45</v>
      </c>
      <c r="E137" s="5">
        <v>100</v>
      </c>
      <c r="F137" s="18" t="s">
        <v>61</v>
      </c>
      <c r="G137" s="18">
        <v>43626</v>
      </c>
      <c r="H137" s="136"/>
      <c r="I137" s="66"/>
      <c r="J137" s="136"/>
      <c r="K137" s="136"/>
      <c r="L137" s="136"/>
      <c r="M137" s="136"/>
      <c r="N137" s="136"/>
      <c r="O137" s="136"/>
      <c r="P137" s="126"/>
    </row>
    <row r="138" spans="2:16" customFormat="1">
      <c r="B138" s="60">
        <f>MONTH(G138)</f>
        <v>6</v>
      </c>
      <c r="C138" s="60" t="s">
        <v>66</v>
      </c>
      <c r="D138" s="4" t="s">
        <v>43</v>
      </c>
      <c r="E138" s="5">
        <v>100</v>
      </c>
      <c r="F138" s="18" t="s">
        <v>61</v>
      </c>
      <c r="G138" s="18">
        <v>43626</v>
      </c>
      <c r="H138" s="136"/>
      <c r="I138" s="66"/>
      <c r="J138" s="136"/>
      <c r="K138" s="136"/>
      <c r="L138" s="136"/>
      <c r="M138" s="136"/>
      <c r="N138" s="136"/>
      <c r="O138" s="136"/>
      <c r="P138" s="126"/>
    </row>
    <row r="139" spans="2:16" customFormat="1">
      <c r="B139" s="60">
        <f>MONTH(G139)</f>
        <v>6</v>
      </c>
      <c r="C139" s="60" t="s">
        <v>66</v>
      </c>
      <c r="D139" s="20" t="s">
        <v>51</v>
      </c>
      <c r="E139" s="5">
        <v>100</v>
      </c>
      <c r="F139" s="18" t="s">
        <v>61</v>
      </c>
      <c r="G139" s="18">
        <v>43626</v>
      </c>
      <c r="H139" s="136"/>
      <c r="I139" s="66"/>
      <c r="J139" s="136"/>
      <c r="K139" s="136"/>
      <c r="L139" s="136"/>
      <c r="M139" s="136"/>
      <c r="N139" s="136"/>
      <c r="O139" s="136"/>
      <c r="P139" s="126"/>
    </row>
    <row r="140" spans="2:16" customFormat="1">
      <c r="B140" s="60">
        <v>6</v>
      </c>
      <c r="C140" s="60" t="s">
        <v>66</v>
      </c>
      <c r="D140" s="20" t="s">
        <v>63</v>
      </c>
      <c r="E140" s="5">
        <v>100</v>
      </c>
      <c r="F140" s="18" t="s">
        <v>61</v>
      </c>
      <c r="G140" s="18">
        <v>43626</v>
      </c>
      <c r="H140" s="136"/>
      <c r="I140" s="66"/>
      <c r="J140" s="136"/>
      <c r="K140" s="136"/>
      <c r="L140" s="136"/>
      <c r="M140" s="136"/>
      <c r="N140" s="136"/>
      <c r="O140" s="136"/>
      <c r="P140" s="126"/>
    </row>
    <row r="141" spans="2:16" customFormat="1">
      <c r="B141" s="60">
        <v>7</v>
      </c>
      <c r="C141" s="60" t="s">
        <v>70</v>
      </c>
      <c r="D141" s="20" t="s">
        <v>32</v>
      </c>
      <c r="E141" s="5">
        <v>100</v>
      </c>
      <c r="F141" s="18" t="s">
        <v>61</v>
      </c>
      <c r="G141" s="18">
        <v>43647</v>
      </c>
      <c r="H141" s="136"/>
      <c r="I141" s="68"/>
      <c r="J141" s="136"/>
      <c r="K141" s="136"/>
      <c r="L141" s="136"/>
      <c r="M141" s="136"/>
      <c r="N141" s="136"/>
      <c r="O141" s="136"/>
      <c r="P141" s="126"/>
    </row>
    <row r="142" spans="2:16" customFormat="1">
      <c r="B142" s="60">
        <f>MONTH(G142)</f>
        <v>7</v>
      </c>
      <c r="C142" s="60" t="s">
        <v>70</v>
      </c>
      <c r="D142" s="20" t="s">
        <v>71</v>
      </c>
      <c r="E142" s="29">
        <v>700</v>
      </c>
      <c r="F142" s="18" t="s">
        <v>16</v>
      </c>
      <c r="G142" s="18">
        <v>43656</v>
      </c>
      <c r="H142" s="136"/>
      <c r="I142" s="66" t="s">
        <v>72</v>
      </c>
      <c r="J142" s="136"/>
      <c r="K142" s="136"/>
      <c r="L142" s="136"/>
      <c r="M142" s="136"/>
      <c r="N142" s="136"/>
      <c r="O142" s="136"/>
      <c r="P142" s="126"/>
    </row>
    <row r="143" spans="2:16" customFormat="1">
      <c r="B143" s="60">
        <f>MONTH(G143)</f>
        <v>7</v>
      </c>
      <c r="C143" s="60" t="s">
        <v>70</v>
      </c>
      <c r="D143" s="20" t="s">
        <v>73</v>
      </c>
      <c r="E143" s="5">
        <v>50</v>
      </c>
      <c r="F143" s="18" t="s">
        <v>61</v>
      </c>
      <c r="G143" s="18">
        <v>43656</v>
      </c>
      <c r="H143" s="136"/>
      <c r="I143" s="66"/>
      <c r="J143" s="136"/>
      <c r="K143" s="136"/>
      <c r="L143" s="136"/>
      <c r="M143" s="136"/>
      <c r="N143" s="136"/>
      <c r="O143" s="136"/>
      <c r="P143" s="126"/>
    </row>
    <row r="144" spans="2:16" customFormat="1">
      <c r="B144" s="60">
        <v>7</v>
      </c>
      <c r="C144" s="60" t="s">
        <v>70</v>
      </c>
      <c r="D144" s="20" t="s">
        <v>34</v>
      </c>
      <c r="E144" s="5">
        <v>100</v>
      </c>
      <c r="F144" s="18" t="s">
        <v>61</v>
      </c>
      <c r="G144" s="18">
        <v>43656</v>
      </c>
      <c r="H144" s="136"/>
      <c r="I144" s="66"/>
      <c r="J144" s="136"/>
      <c r="K144" s="136"/>
      <c r="L144" s="136"/>
      <c r="M144" s="136"/>
      <c r="N144" s="136"/>
      <c r="O144" s="136"/>
      <c r="P144" s="126"/>
    </row>
    <row r="145" spans="2:16" customFormat="1">
      <c r="B145" s="60">
        <f>MONTH(G145)</f>
        <v>7</v>
      </c>
      <c r="C145" s="60" t="s">
        <v>70</v>
      </c>
      <c r="D145" s="20" t="s">
        <v>23</v>
      </c>
      <c r="E145" s="5">
        <v>100</v>
      </c>
      <c r="F145" s="18" t="s">
        <v>61</v>
      </c>
      <c r="G145" s="18">
        <v>43656</v>
      </c>
      <c r="H145" s="136"/>
      <c r="I145" s="66"/>
      <c r="J145" s="136"/>
      <c r="K145" s="136"/>
      <c r="L145" s="136"/>
      <c r="M145" s="136"/>
      <c r="N145" s="136"/>
      <c r="O145" s="136"/>
      <c r="P145" s="126"/>
    </row>
    <row r="146" spans="2:16" customFormat="1">
      <c r="B146" s="60">
        <v>7</v>
      </c>
      <c r="C146" s="60" t="s">
        <v>70</v>
      </c>
      <c r="D146" s="20" t="s">
        <v>31</v>
      </c>
      <c r="E146" s="5">
        <v>100</v>
      </c>
      <c r="F146" s="18" t="s">
        <v>61</v>
      </c>
      <c r="G146" s="18">
        <v>43656</v>
      </c>
      <c r="H146" s="136"/>
      <c r="I146" s="66"/>
      <c r="J146" s="136"/>
      <c r="K146" s="136"/>
      <c r="L146" s="136"/>
      <c r="M146" s="136"/>
      <c r="N146" s="136"/>
      <c r="O146" s="136"/>
      <c r="P146" s="126"/>
    </row>
    <row r="147" spans="2:16" customFormat="1">
      <c r="B147" s="60">
        <f t="shared" ref="B147:B156" si="5">MONTH(G147)</f>
        <v>7</v>
      </c>
      <c r="C147" s="60" t="s">
        <v>70</v>
      </c>
      <c r="D147" s="20" t="s">
        <v>46</v>
      </c>
      <c r="E147" s="5">
        <v>50</v>
      </c>
      <c r="F147" s="18" t="s">
        <v>61</v>
      </c>
      <c r="G147" s="18">
        <v>43656</v>
      </c>
      <c r="H147" s="136"/>
      <c r="I147" s="66"/>
      <c r="J147" s="136"/>
      <c r="K147" s="136"/>
      <c r="L147" s="136"/>
      <c r="M147" s="136"/>
      <c r="N147" s="136"/>
      <c r="O147" s="136"/>
      <c r="P147" s="126"/>
    </row>
    <row r="148" spans="2:16" customFormat="1">
      <c r="B148" s="60">
        <f t="shared" si="5"/>
        <v>7</v>
      </c>
      <c r="C148" s="60" t="s">
        <v>70</v>
      </c>
      <c r="D148" s="20" t="s">
        <v>37</v>
      </c>
      <c r="E148" s="5">
        <v>100</v>
      </c>
      <c r="F148" s="18" t="s">
        <v>61</v>
      </c>
      <c r="G148" s="18">
        <v>43656</v>
      </c>
      <c r="H148" s="136"/>
      <c r="I148" s="66"/>
      <c r="J148" s="136"/>
      <c r="K148" s="136"/>
      <c r="L148" s="136"/>
      <c r="M148" s="136"/>
      <c r="N148" s="136"/>
      <c r="O148" s="136"/>
      <c r="P148" s="126"/>
    </row>
    <row r="149" spans="2:16" customFormat="1">
      <c r="B149" s="60">
        <f t="shared" si="5"/>
        <v>7</v>
      </c>
      <c r="C149" s="60" t="s">
        <v>70</v>
      </c>
      <c r="D149" s="20" t="s">
        <v>38</v>
      </c>
      <c r="E149" s="5">
        <v>100</v>
      </c>
      <c r="F149" s="18" t="s">
        <v>61</v>
      </c>
      <c r="G149" s="18">
        <v>43656</v>
      </c>
      <c r="H149" s="136"/>
      <c r="I149" s="66"/>
      <c r="J149" s="136"/>
      <c r="K149" s="136"/>
      <c r="L149" s="136"/>
      <c r="M149" s="136"/>
      <c r="N149" s="136"/>
      <c r="O149" s="136"/>
      <c r="P149" s="126"/>
    </row>
    <row r="150" spans="2:16" customFormat="1">
      <c r="B150" s="60">
        <f t="shared" si="5"/>
        <v>7</v>
      </c>
      <c r="C150" s="60" t="s">
        <v>70</v>
      </c>
      <c r="D150" s="20" t="s">
        <v>74</v>
      </c>
      <c r="E150" s="5">
        <v>100</v>
      </c>
      <c r="F150" s="18" t="s">
        <v>61</v>
      </c>
      <c r="G150" s="18">
        <v>43656</v>
      </c>
      <c r="H150" s="136"/>
      <c r="I150" s="66"/>
      <c r="J150" s="136"/>
      <c r="K150" s="136"/>
      <c r="L150" s="136"/>
      <c r="M150" s="136"/>
      <c r="N150" s="136"/>
      <c r="O150" s="136"/>
      <c r="P150" s="126"/>
    </row>
    <row r="151" spans="2:16" customFormat="1">
      <c r="B151" s="60">
        <f t="shared" si="5"/>
        <v>7</v>
      </c>
      <c r="C151" s="60" t="s">
        <v>70</v>
      </c>
      <c r="D151" s="20" t="s">
        <v>25</v>
      </c>
      <c r="E151" s="5">
        <v>100</v>
      </c>
      <c r="F151" s="18" t="s">
        <v>61</v>
      </c>
      <c r="G151" s="18">
        <v>43656</v>
      </c>
      <c r="H151" s="136"/>
      <c r="I151" s="66"/>
      <c r="J151" s="136"/>
      <c r="K151" s="136"/>
      <c r="L151" s="136"/>
      <c r="M151" s="136"/>
      <c r="N151" s="136"/>
      <c r="O151" s="136"/>
      <c r="P151" s="126"/>
    </row>
    <row r="152" spans="2:16" customFormat="1">
      <c r="B152" s="60">
        <f t="shared" si="5"/>
        <v>7</v>
      </c>
      <c r="C152" s="60" t="s">
        <v>70</v>
      </c>
      <c r="D152" s="20" t="s">
        <v>17</v>
      </c>
      <c r="E152" s="5">
        <v>100</v>
      </c>
      <c r="F152" s="18" t="s">
        <v>61</v>
      </c>
      <c r="G152" s="18">
        <v>43656</v>
      </c>
      <c r="H152" s="136"/>
      <c r="I152" s="66"/>
      <c r="J152" s="136"/>
      <c r="K152" s="136"/>
      <c r="L152" s="136"/>
      <c r="M152" s="136"/>
      <c r="N152" s="136"/>
      <c r="O152" s="136"/>
      <c r="P152" s="126"/>
    </row>
    <row r="153" spans="2:16" customFormat="1">
      <c r="B153" s="60">
        <f t="shared" si="5"/>
        <v>7</v>
      </c>
      <c r="C153" s="60" t="s">
        <v>70</v>
      </c>
      <c r="D153" s="20" t="s">
        <v>20</v>
      </c>
      <c r="E153" s="5">
        <v>100</v>
      </c>
      <c r="F153" s="18" t="s">
        <v>61</v>
      </c>
      <c r="G153" s="18">
        <v>43656</v>
      </c>
      <c r="H153" s="136"/>
      <c r="I153" s="66"/>
      <c r="J153" s="136"/>
      <c r="K153" s="136"/>
      <c r="L153" s="136"/>
      <c r="M153" s="136"/>
      <c r="N153" s="136"/>
      <c r="O153" s="136"/>
      <c r="P153" s="126"/>
    </row>
    <row r="154" spans="2:16" customFormat="1">
      <c r="B154" s="60">
        <f t="shared" si="5"/>
        <v>7</v>
      </c>
      <c r="C154" s="60" t="s">
        <v>70</v>
      </c>
      <c r="D154" s="20" t="s">
        <v>30</v>
      </c>
      <c r="E154" s="5">
        <v>100</v>
      </c>
      <c r="F154" s="18" t="s">
        <v>61</v>
      </c>
      <c r="G154" s="64">
        <v>43656</v>
      </c>
      <c r="H154" s="136"/>
      <c r="I154" s="66"/>
      <c r="J154" s="136"/>
      <c r="K154" s="136"/>
      <c r="L154" s="136"/>
      <c r="M154" s="136"/>
      <c r="N154" s="136"/>
      <c r="O154" s="136"/>
      <c r="P154" s="126"/>
    </row>
    <row r="155" spans="2:16" customFormat="1">
      <c r="B155" s="60">
        <f t="shared" si="5"/>
        <v>7</v>
      </c>
      <c r="C155" s="60" t="s">
        <v>70</v>
      </c>
      <c r="D155" s="20" t="s">
        <v>50</v>
      </c>
      <c r="E155" s="5">
        <v>50</v>
      </c>
      <c r="F155" s="18" t="s">
        <v>61</v>
      </c>
      <c r="G155" s="18">
        <v>43656</v>
      </c>
      <c r="H155" s="136"/>
      <c r="I155" s="66"/>
      <c r="J155" s="136"/>
      <c r="K155" s="136"/>
      <c r="L155" s="136"/>
      <c r="M155" s="136"/>
      <c r="N155" s="136"/>
      <c r="O155" s="136"/>
      <c r="P155" s="126"/>
    </row>
    <row r="156" spans="2:16" customFormat="1">
      <c r="B156" s="60">
        <f t="shared" si="5"/>
        <v>7</v>
      </c>
      <c r="C156" s="60" t="s">
        <v>70</v>
      </c>
      <c r="D156" s="20" t="s">
        <v>44</v>
      </c>
      <c r="E156" s="5">
        <v>100</v>
      </c>
      <c r="F156" s="18" t="s">
        <v>61</v>
      </c>
      <c r="G156" s="18">
        <v>43656</v>
      </c>
      <c r="H156" s="136"/>
      <c r="I156" s="66"/>
      <c r="J156" s="136"/>
      <c r="K156" s="136"/>
      <c r="L156" s="136"/>
      <c r="M156" s="136"/>
      <c r="N156" s="136"/>
      <c r="O156" s="136"/>
      <c r="P156" s="126"/>
    </row>
    <row r="157" spans="2:16" customFormat="1">
      <c r="B157" s="60">
        <v>7</v>
      </c>
      <c r="C157" s="60" t="s">
        <v>70</v>
      </c>
      <c r="D157" s="20" t="s">
        <v>45</v>
      </c>
      <c r="E157" s="5">
        <v>100</v>
      </c>
      <c r="F157" s="18" t="s">
        <v>61</v>
      </c>
      <c r="G157" s="18">
        <v>43656</v>
      </c>
      <c r="H157" s="136"/>
      <c r="I157" s="66"/>
      <c r="J157" s="136"/>
      <c r="K157" s="136"/>
      <c r="L157" s="136"/>
      <c r="M157" s="136"/>
      <c r="N157" s="136"/>
      <c r="O157" s="136"/>
      <c r="P157" s="126"/>
    </row>
    <row r="158" spans="2:16" customFormat="1">
      <c r="B158" s="60">
        <f>MONTH(G158)</f>
        <v>7</v>
      </c>
      <c r="C158" s="60" t="s">
        <v>70</v>
      </c>
      <c r="D158" s="20" t="s">
        <v>51</v>
      </c>
      <c r="E158" s="5">
        <v>100</v>
      </c>
      <c r="F158" s="18" t="s">
        <v>61</v>
      </c>
      <c r="G158" s="18">
        <v>43656</v>
      </c>
      <c r="H158" s="136"/>
      <c r="I158" s="66"/>
      <c r="J158" s="136"/>
      <c r="K158" s="136"/>
      <c r="L158" s="136"/>
      <c r="M158" s="136"/>
      <c r="N158" s="136"/>
      <c r="O158" s="136"/>
      <c r="P158" s="126"/>
    </row>
    <row r="159" spans="2:16" customFormat="1">
      <c r="B159" s="60">
        <v>7</v>
      </c>
      <c r="C159" s="60" t="s">
        <v>70</v>
      </c>
      <c r="D159" s="20" t="s">
        <v>63</v>
      </c>
      <c r="E159" s="5">
        <v>100</v>
      </c>
      <c r="F159" s="18" t="s">
        <v>61</v>
      </c>
      <c r="G159" s="18">
        <v>43656</v>
      </c>
      <c r="H159" s="136"/>
      <c r="I159" s="66"/>
      <c r="J159" s="136"/>
      <c r="K159" s="136"/>
      <c r="L159" s="136"/>
      <c r="M159" s="136"/>
      <c r="N159" s="136"/>
      <c r="O159" s="136"/>
      <c r="P159" s="126"/>
    </row>
    <row r="160" spans="2:16" customFormat="1">
      <c r="B160" s="60">
        <v>8</v>
      </c>
      <c r="C160" s="60" t="s">
        <v>75</v>
      </c>
      <c r="D160" s="20" t="s">
        <v>63</v>
      </c>
      <c r="E160" s="5">
        <v>100</v>
      </c>
      <c r="F160" s="18" t="s">
        <v>61</v>
      </c>
      <c r="G160" s="18">
        <v>43656</v>
      </c>
      <c r="H160" s="136"/>
      <c r="I160" s="66"/>
      <c r="J160" s="136"/>
      <c r="K160" s="136"/>
      <c r="L160" s="136"/>
      <c r="M160" s="136"/>
      <c r="N160" s="136"/>
      <c r="O160" s="136"/>
      <c r="P160" s="126"/>
    </row>
    <row r="161" spans="2:16" customFormat="1">
      <c r="B161" s="60">
        <v>8</v>
      </c>
      <c r="C161" s="60" t="s">
        <v>75</v>
      </c>
      <c r="D161" s="20" t="s">
        <v>32</v>
      </c>
      <c r="E161" s="5">
        <v>100</v>
      </c>
      <c r="F161" s="18" t="s">
        <v>61</v>
      </c>
      <c r="G161" s="18">
        <v>43685</v>
      </c>
      <c r="H161" s="136"/>
      <c r="I161" s="66"/>
      <c r="J161" s="136"/>
      <c r="K161" s="136"/>
      <c r="L161" s="136"/>
      <c r="M161" s="136"/>
      <c r="N161" s="136"/>
      <c r="O161" s="136"/>
      <c r="P161" s="126"/>
    </row>
    <row r="162" spans="2:16" customFormat="1">
      <c r="B162" s="60">
        <v>8</v>
      </c>
      <c r="C162" s="60" t="s">
        <v>75</v>
      </c>
      <c r="D162" s="20" t="s">
        <v>31</v>
      </c>
      <c r="E162" s="5">
        <v>100</v>
      </c>
      <c r="F162" s="18" t="s">
        <v>61</v>
      </c>
      <c r="G162" s="18">
        <v>43687</v>
      </c>
      <c r="H162" s="136"/>
      <c r="I162" s="66"/>
      <c r="J162" s="136"/>
      <c r="K162" s="136"/>
      <c r="L162" s="136"/>
      <c r="M162" s="136"/>
      <c r="N162" s="136"/>
      <c r="O162" s="136"/>
      <c r="P162" s="126"/>
    </row>
    <row r="163" spans="2:16" customFormat="1">
      <c r="B163" s="60">
        <f t="shared" ref="B163:B168" si="6">MONTH(G163)</f>
        <v>8</v>
      </c>
      <c r="C163" s="60" t="s">
        <v>75</v>
      </c>
      <c r="D163" s="4" t="s">
        <v>37</v>
      </c>
      <c r="E163" s="5">
        <v>100</v>
      </c>
      <c r="F163" s="18" t="s">
        <v>61</v>
      </c>
      <c r="G163" s="18">
        <v>43687</v>
      </c>
      <c r="H163" s="136"/>
      <c r="I163" s="66"/>
      <c r="J163" s="136"/>
      <c r="K163" s="136"/>
      <c r="L163" s="136"/>
      <c r="M163" s="136"/>
      <c r="N163" s="136"/>
      <c r="O163" s="136"/>
      <c r="P163" s="126"/>
    </row>
    <row r="164" spans="2:16" customFormat="1">
      <c r="B164" s="60">
        <f t="shared" si="6"/>
        <v>8</v>
      </c>
      <c r="C164" s="60" t="s">
        <v>75</v>
      </c>
      <c r="D164" s="20" t="s">
        <v>38</v>
      </c>
      <c r="E164" s="5">
        <v>100</v>
      </c>
      <c r="F164" s="18" t="s">
        <v>61</v>
      </c>
      <c r="G164" s="18">
        <v>43687</v>
      </c>
      <c r="H164" s="136"/>
      <c r="I164" s="66"/>
      <c r="J164" s="136"/>
      <c r="K164" s="136"/>
      <c r="L164" s="136"/>
      <c r="M164" s="136"/>
      <c r="N164" s="136"/>
      <c r="O164" s="136"/>
      <c r="P164" s="126"/>
    </row>
    <row r="165" spans="2:16" customFormat="1">
      <c r="B165" s="60">
        <f t="shared" si="6"/>
        <v>8</v>
      </c>
      <c r="C165" s="60" t="s">
        <v>76</v>
      </c>
      <c r="D165" s="20" t="s">
        <v>74</v>
      </c>
      <c r="E165" s="5">
        <v>100</v>
      </c>
      <c r="F165" s="18" t="s">
        <v>61</v>
      </c>
      <c r="G165" s="18">
        <v>43687</v>
      </c>
      <c r="H165" s="136"/>
      <c r="I165" s="66"/>
      <c r="J165" s="136"/>
      <c r="K165" s="136"/>
      <c r="L165" s="136"/>
      <c r="M165" s="136"/>
      <c r="N165" s="136"/>
      <c r="O165" s="136"/>
      <c r="P165" s="126"/>
    </row>
    <row r="166" spans="2:16" customFormat="1">
      <c r="B166" s="60">
        <f t="shared" si="6"/>
        <v>8</v>
      </c>
      <c r="C166" s="60" t="s">
        <v>75</v>
      </c>
      <c r="D166" s="20" t="s">
        <v>25</v>
      </c>
      <c r="E166" s="5">
        <v>100</v>
      </c>
      <c r="F166" s="18" t="s">
        <v>61</v>
      </c>
      <c r="G166" s="18">
        <v>43687</v>
      </c>
      <c r="H166" s="136"/>
      <c r="I166" s="66"/>
      <c r="J166" s="136"/>
      <c r="K166" s="136"/>
      <c r="L166" s="136"/>
      <c r="M166" s="136"/>
      <c r="N166" s="136"/>
      <c r="O166" s="136"/>
      <c r="P166" s="126"/>
    </row>
    <row r="167" spans="2:16" customFormat="1">
      <c r="B167" s="60">
        <f t="shared" si="6"/>
        <v>8</v>
      </c>
      <c r="C167" s="60" t="s">
        <v>75</v>
      </c>
      <c r="D167" s="20" t="s">
        <v>30</v>
      </c>
      <c r="E167" s="5">
        <v>600</v>
      </c>
      <c r="F167" s="18" t="s">
        <v>61</v>
      </c>
      <c r="G167" s="64">
        <v>43687</v>
      </c>
      <c r="H167" s="136"/>
      <c r="I167" s="66"/>
      <c r="J167" s="136"/>
      <c r="K167" s="136"/>
      <c r="L167" s="136"/>
      <c r="M167" s="136"/>
      <c r="N167" s="136"/>
      <c r="O167" s="136"/>
      <c r="P167" s="126"/>
    </row>
    <row r="168" spans="2:16" customFormat="1">
      <c r="B168" s="60">
        <f t="shared" si="6"/>
        <v>8</v>
      </c>
      <c r="C168" s="60" t="s">
        <v>75</v>
      </c>
      <c r="D168" s="20" t="s">
        <v>44</v>
      </c>
      <c r="E168" s="5">
        <v>100</v>
      </c>
      <c r="F168" s="18" t="s">
        <v>61</v>
      </c>
      <c r="G168" s="18">
        <v>43687</v>
      </c>
      <c r="H168" s="136"/>
      <c r="I168" s="66"/>
      <c r="J168" s="136"/>
      <c r="K168" s="136"/>
      <c r="L168" s="136"/>
      <c r="M168" s="136"/>
      <c r="N168" s="136"/>
      <c r="O168" s="136"/>
      <c r="P168" s="126"/>
    </row>
    <row r="169" spans="2:16" customFormat="1">
      <c r="B169" s="60">
        <v>8</v>
      </c>
      <c r="C169" s="60" t="s">
        <v>75</v>
      </c>
      <c r="D169" s="20" t="s">
        <v>45</v>
      </c>
      <c r="E169" s="5">
        <v>100</v>
      </c>
      <c r="F169" s="18" t="s">
        <v>61</v>
      </c>
      <c r="G169" s="18">
        <v>43687</v>
      </c>
      <c r="H169" s="136"/>
      <c r="I169" s="66"/>
      <c r="J169" s="136"/>
      <c r="K169" s="136"/>
      <c r="L169" s="136"/>
      <c r="M169" s="136"/>
      <c r="N169" s="136"/>
      <c r="O169" s="136"/>
      <c r="P169" s="126"/>
    </row>
    <row r="170" spans="2:16">
      <c r="B170" s="60">
        <f t="shared" ref="B170:B232" si="7">MONTH(G170)</f>
        <v>8</v>
      </c>
      <c r="C170" s="60" t="s">
        <v>75</v>
      </c>
      <c r="D170" s="20" t="s">
        <v>52</v>
      </c>
      <c r="E170" s="29">
        <v>100</v>
      </c>
      <c r="F170" s="64" t="s">
        <v>16</v>
      </c>
      <c r="G170" s="64">
        <v>43699</v>
      </c>
      <c r="I170" s="121" t="s">
        <v>77</v>
      </c>
    </row>
    <row r="171" spans="2:16">
      <c r="B171" s="60">
        <f t="shared" si="7"/>
        <v>8</v>
      </c>
      <c r="C171" s="60" t="s">
        <v>75</v>
      </c>
      <c r="D171" s="20" t="s">
        <v>73</v>
      </c>
      <c r="E171" s="29">
        <v>100</v>
      </c>
      <c r="F171" s="64" t="s">
        <v>16</v>
      </c>
      <c r="G171" s="64">
        <v>43707</v>
      </c>
    </row>
    <row r="172" spans="2:16">
      <c r="B172" s="60">
        <f t="shared" si="7"/>
        <v>8</v>
      </c>
      <c r="C172" s="60" t="s">
        <v>75</v>
      </c>
      <c r="D172" s="20" t="s">
        <v>39</v>
      </c>
      <c r="E172" s="29">
        <v>100</v>
      </c>
      <c r="F172" s="64" t="s">
        <v>61</v>
      </c>
      <c r="G172" s="64">
        <v>43705</v>
      </c>
    </row>
    <row r="173" spans="2:16">
      <c r="B173" s="60">
        <f t="shared" si="7"/>
        <v>8</v>
      </c>
      <c r="C173" s="60" t="s">
        <v>75</v>
      </c>
      <c r="D173" s="20" t="s">
        <v>43</v>
      </c>
      <c r="E173" s="29">
        <v>100</v>
      </c>
      <c r="F173" s="64" t="s">
        <v>61</v>
      </c>
      <c r="G173" s="64">
        <v>43705</v>
      </c>
    </row>
    <row r="174" spans="2:16">
      <c r="B174" s="60">
        <v>8</v>
      </c>
      <c r="C174" s="60" t="s">
        <v>75</v>
      </c>
      <c r="D174" s="20" t="s">
        <v>17</v>
      </c>
      <c r="E174" s="29">
        <v>100</v>
      </c>
      <c r="F174" s="64" t="s">
        <v>16</v>
      </c>
      <c r="G174" s="64">
        <v>43713</v>
      </c>
    </row>
    <row r="175" spans="2:16">
      <c r="B175" s="60">
        <v>8</v>
      </c>
      <c r="C175" s="60" t="s">
        <v>75</v>
      </c>
      <c r="D175" s="20" t="s">
        <v>46</v>
      </c>
      <c r="E175" s="29">
        <v>72</v>
      </c>
      <c r="F175" s="64" t="s">
        <v>16</v>
      </c>
      <c r="G175" s="64">
        <v>43713</v>
      </c>
    </row>
    <row r="176" spans="2:16">
      <c r="B176" s="60">
        <v>8</v>
      </c>
      <c r="C176" s="60" t="s">
        <v>75</v>
      </c>
      <c r="D176" s="20" t="s">
        <v>50</v>
      </c>
      <c r="E176" s="29">
        <v>100</v>
      </c>
      <c r="F176" s="64" t="s">
        <v>61</v>
      </c>
      <c r="G176" s="64">
        <v>43715</v>
      </c>
      <c r="J176" s="65">
        <v>28</v>
      </c>
      <c r="K176" s="65" t="s">
        <v>78</v>
      </c>
      <c r="L176" s="65">
        <v>21</v>
      </c>
    </row>
    <row r="177" spans="2:12">
      <c r="B177" s="60">
        <v>8</v>
      </c>
      <c r="C177" s="60" t="s">
        <v>75</v>
      </c>
      <c r="D177" s="20" t="s">
        <v>49</v>
      </c>
      <c r="E177" s="29">
        <v>100</v>
      </c>
      <c r="F177" s="64" t="s">
        <v>61</v>
      </c>
      <c r="G177" s="64">
        <v>43715</v>
      </c>
      <c r="J177" s="65">
        <v>7</v>
      </c>
      <c r="L177" s="65">
        <v>16</v>
      </c>
    </row>
    <row r="178" spans="2:12">
      <c r="B178" s="60">
        <v>8</v>
      </c>
      <c r="C178" s="60" t="s">
        <v>75</v>
      </c>
      <c r="D178" s="20" t="s">
        <v>20</v>
      </c>
      <c r="E178" s="29">
        <v>100</v>
      </c>
      <c r="F178" s="64" t="s">
        <v>16</v>
      </c>
      <c r="G178" s="64">
        <v>43715</v>
      </c>
    </row>
    <row r="179" spans="2:12">
      <c r="B179" s="60">
        <v>8</v>
      </c>
      <c r="C179" s="60" t="s">
        <v>75</v>
      </c>
      <c r="D179" s="20" t="s">
        <v>23</v>
      </c>
      <c r="E179" s="29">
        <v>100</v>
      </c>
      <c r="F179" s="64" t="s">
        <v>16</v>
      </c>
      <c r="G179" s="64">
        <v>43715</v>
      </c>
      <c r="L179" s="65">
        <f>J176-L177</f>
        <v>12</v>
      </c>
    </row>
    <row r="180" spans="2:12">
      <c r="B180" s="60">
        <v>8</v>
      </c>
      <c r="C180" s="60" t="s">
        <v>75</v>
      </c>
      <c r="D180" s="20" t="s">
        <v>48</v>
      </c>
      <c r="E180" s="29">
        <v>100</v>
      </c>
      <c r="F180" s="64" t="s">
        <v>16</v>
      </c>
      <c r="G180" s="64">
        <v>43715</v>
      </c>
    </row>
    <row r="181" spans="2:12">
      <c r="B181" s="60">
        <v>8</v>
      </c>
      <c r="C181" s="60" t="s">
        <v>75</v>
      </c>
      <c r="D181" s="20" t="s">
        <v>47</v>
      </c>
      <c r="E181" s="29">
        <v>100</v>
      </c>
      <c r="F181" s="64" t="s">
        <v>16</v>
      </c>
      <c r="G181" s="64">
        <v>43715</v>
      </c>
    </row>
    <row r="182" spans="2:12">
      <c r="B182" s="60">
        <v>8</v>
      </c>
      <c r="C182" s="60" t="s">
        <v>75</v>
      </c>
      <c r="D182" s="20" t="s">
        <v>51</v>
      </c>
      <c r="E182" s="29">
        <v>100</v>
      </c>
      <c r="F182" s="64" t="s">
        <v>61</v>
      </c>
      <c r="G182" s="64">
        <v>43717</v>
      </c>
    </row>
    <row r="183" spans="2:12">
      <c r="B183" s="60">
        <f t="shared" si="7"/>
        <v>1</v>
      </c>
      <c r="C183" s="60"/>
      <c r="D183" s="20"/>
      <c r="E183" s="29"/>
      <c r="F183" s="64"/>
      <c r="G183" s="64"/>
    </row>
    <row r="184" spans="2:12">
      <c r="B184" s="60">
        <f t="shared" si="7"/>
        <v>1</v>
      </c>
      <c r="C184" s="60"/>
      <c r="D184" s="20"/>
      <c r="E184" s="29"/>
      <c r="F184" s="64"/>
      <c r="G184" s="64"/>
    </row>
    <row r="185" spans="2:12">
      <c r="B185" s="60">
        <f t="shared" si="7"/>
        <v>1</v>
      </c>
      <c r="C185" s="60"/>
      <c r="D185" s="20"/>
      <c r="E185" s="29"/>
      <c r="F185" s="64"/>
      <c r="G185" s="64"/>
    </row>
    <row r="186" spans="2:12">
      <c r="B186" s="60">
        <f t="shared" si="7"/>
        <v>1</v>
      </c>
      <c r="C186" s="60"/>
      <c r="D186" s="20"/>
      <c r="E186" s="29"/>
      <c r="F186" s="64"/>
      <c r="G186" s="64"/>
    </row>
    <row r="187" spans="2:12">
      <c r="B187" s="60">
        <f t="shared" si="7"/>
        <v>1</v>
      </c>
      <c r="C187" s="60"/>
      <c r="D187" s="20"/>
      <c r="E187" s="29"/>
      <c r="F187" s="64"/>
      <c r="G187" s="64"/>
    </row>
    <row r="188" spans="2:12">
      <c r="B188" s="60">
        <f t="shared" si="7"/>
        <v>1</v>
      </c>
      <c r="C188" s="60"/>
      <c r="D188" s="20"/>
      <c r="E188" s="29"/>
      <c r="F188" s="64"/>
      <c r="G188" s="64"/>
    </row>
    <row r="189" spans="2:12">
      <c r="B189" s="60">
        <f t="shared" si="7"/>
        <v>1</v>
      </c>
      <c r="C189" s="60"/>
      <c r="D189" s="20"/>
      <c r="E189" s="29"/>
      <c r="F189" s="64"/>
      <c r="G189" s="64"/>
    </row>
    <row r="190" spans="2:12">
      <c r="B190" s="60">
        <f t="shared" si="7"/>
        <v>1</v>
      </c>
      <c r="C190" s="60"/>
      <c r="D190" s="20"/>
      <c r="E190" s="29"/>
      <c r="F190" s="64"/>
      <c r="G190" s="64"/>
    </row>
    <row r="191" spans="2:12">
      <c r="B191" s="60">
        <f t="shared" si="7"/>
        <v>1</v>
      </c>
      <c r="C191" s="60"/>
      <c r="D191" s="20"/>
      <c r="E191" s="29"/>
      <c r="F191" s="64"/>
      <c r="G191" s="64"/>
    </row>
    <row r="192" spans="2:12">
      <c r="B192" s="60">
        <f t="shared" si="7"/>
        <v>1</v>
      </c>
      <c r="C192" s="60"/>
      <c r="D192" s="20"/>
      <c r="E192" s="29"/>
      <c r="F192" s="64"/>
      <c r="G192" s="64"/>
    </row>
    <row r="193" spans="2:7">
      <c r="B193" s="60">
        <f t="shared" si="7"/>
        <v>1</v>
      </c>
      <c r="C193" s="60"/>
      <c r="D193" s="20"/>
      <c r="E193" s="29"/>
      <c r="F193" s="64"/>
      <c r="G193" s="64"/>
    </row>
    <row r="194" spans="2:7">
      <c r="B194" s="60">
        <f t="shared" si="7"/>
        <v>1</v>
      </c>
      <c r="C194" s="60"/>
      <c r="D194" s="20"/>
      <c r="E194" s="29"/>
      <c r="F194" s="64"/>
      <c r="G194" s="64"/>
    </row>
    <row r="195" spans="2:7">
      <c r="B195" s="60">
        <f t="shared" si="7"/>
        <v>1</v>
      </c>
      <c r="C195" s="60"/>
      <c r="D195" s="20"/>
      <c r="E195" s="29"/>
      <c r="F195" s="64"/>
      <c r="G195" s="64"/>
    </row>
    <row r="196" spans="2:7">
      <c r="B196" s="60">
        <f t="shared" si="7"/>
        <v>1</v>
      </c>
      <c r="C196" s="60"/>
      <c r="D196" s="20"/>
      <c r="E196" s="29"/>
      <c r="F196" s="64"/>
      <c r="G196" s="64"/>
    </row>
    <row r="197" spans="2:7">
      <c r="B197" s="60">
        <f t="shared" si="7"/>
        <v>1</v>
      </c>
      <c r="C197" s="60"/>
      <c r="D197" s="20"/>
      <c r="E197" s="29"/>
      <c r="F197" s="64"/>
      <c r="G197" s="64"/>
    </row>
    <row r="198" spans="2:7">
      <c r="B198" s="60">
        <f t="shared" si="7"/>
        <v>1</v>
      </c>
      <c r="C198" s="60"/>
      <c r="D198" s="20"/>
      <c r="E198" s="29"/>
      <c r="F198" s="64"/>
      <c r="G198" s="64"/>
    </row>
    <row r="199" spans="2:7">
      <c r="B199" s="60">
        <f t="shared" si="7"/>
        <v>1</v>
      </c>
      <c r="C199" s="60"/>
      <c r="D199" s="20"/>
      <c r="E199" s="29"/>
      <c r="F199" s="64"/>
      <c r="G199" s="64"/>
    </row>
    <row r="200" spans="2:7">
      <c r="B200" s="60">
        <f t="shared" si="7"/>
        <v>1</v>
      </c>
      <c r="C200" s="60"/>
      <c r="D200" s="20"/>
      <c r="E200" s="29"/>
      <c r="F200" s="64"/>
      <c r="G200" s="64"/>
    </row>
    <row r="201" spans="2:7">
      <c r="B201" s="60">
        <f t="shared" si="7"/>
        <v>1</v>
      </c>
      <c r="C201" s="60"/>
      <c r="D201" s="20"/>
      <c r="E201" s="29"/>
      <c r="F201" s="64"/>
      <c r="G201" s="64"/>
    </row>
    <row r="202" spans="2:7">
      <c r="B202" s="60">
        <f t="shared" si="7"/>
        <v>1</v>
      </c>
      <c r="C202" s="60"/>
      <c r="D202" s="20"/>
      <c r="E202" s="29"/>
      <c r="F202" s="64"/>
      <c r="G202" s="64"/>
    </row>
    <row r="203" spans="2:7">
      <c r="B203" s="60">
        <f t="shared" si="7"/>
        <v>1</v>
      </c>
      <c r="C203" s="60"/>
      <c r="D203" s="20"/>
      <c r="E203" s="29"/>
      <c r="F203" s="64"/>
      <c r="G203" s="64"/>
    </row>
    <row r="204" spans="2:7">
      <c r="B204" s="60">
        <f t="shared" si="7"/>
        <v>1</v>
      </c>
      <c r="C204" s="60"/>
      <c r="D204" s="20"/>
      <c r="E204" s="29"/>
      <c r="F204" s="64"/>
      <c r="G204" s="64"/>
    </row>
    <row r="205" spans="2:7">
      <c r="B205" s="60">
        <f t="shared" si="7"/>
        <v>1</v>
      </c>
      <c r="C205" s="60"/>
      <c r="D205" s="20"/>
      <c r="E205" s="29"/>
      <c r="F205" s="64"/>
      <c r="G205" s="64"/>
    </row>
    <row r="206" spans="2:7">
      <c r="B206" s="60">
        <f t="shared" si="7"/>
        <v>1</v>
      </c>
      <c r="C206" s="60"/>
      <c r="D206" s="20"/>
      <c r="E206" s="29"/>
      <c r="F206" s="64"/>
      <c r="G206" s="64"/>
    </row>
    <row r="207" spans="2:7">
      <c r="B207" s="60">
        <f t="shared" si="7"/>
        <v>1</v>
      </c>
      <c r="C207" s="60"/>
      <c r="D207" s="20"/>
      <c r="E207" s="29"/>
      <c r="F207" s="64"/>
      <c r="G207" s="64"/>
    </row>
    <row r="208" spans="2:7">
      <c r="B208" s="60">
        <f t="shared" si="7"/>
        <v>1</v>
      </c>
      <c r="C208" s="60"/>
      <c r="D208" s="20"/>
      <c r="E208" s="29"/>
      <c r="F208" s="64"/>
      <c r="G208" s="64"/>
    </row>
    <row r="209" spans="2:9">
      <c r="B209" s="60">
        <f t="shared" si="7"/>
        <v>1</v>
      </c>
      <c r="C209" s="60"/>
      <c r="D209" s="20"/>
      <c r="E209" s="29"/>
      <c r="F209" s="64"/>
      <c r="G209" s="64"/>
    </row>
    <row r="210" spans="2:9">
      <c r="B210" s="60">
        <f t="shared" si="7"/>
        <v>1</v>
      </c>
      <c r="C210" s="60"/>
      <c r="D210" s="20"/>
      <c r="E210" s="29"/>
      <c r="F210" s="64"/>
      <c r="G210" s="64"/>
    </row>
    <row r="211" spans="2:9">
      <c r="B211" s="60">
        <f t="shared" si="7"/>
        <v>1</v>
      </c>
      <c r="C211" s="60"/>
      <c r="D211" s="20"/>
      <c r="E211" s="29"/>
      <c r="F211" s="64"/>
      <c r="G211" s="64"/>
      <c r="I211" s="121" t="s">
        <v>79</v>
      </c>
    </row>
    <row r="212" spans="2:9">
      <c r="B212" s="60">
        <f t="shared" si="7"/>
        <v>1</v>
      </c>
      <c r="C212" s="60"/>
      <c r="D212" s="20"/>
      <c r="E212" s="29"/>
      <c r="F212" s="64"/>
      <c r="G212" s="64"/>
    </row>
    <row r="213" spans="2:9">
      <c r="B213" s="60">
        <f t="shared" si="7"/>
        <v>1</v>
      </c>
      <c r="C213" s="60"/>
      <c r="D213" s="20"/>
      <c r="E213" s="29"/>
      <c r="F213" s="64"/>
      <c r="G213" s="64"/>
    </row>
    <row r="214" spans="2:9">
      <c r="B214" s="60">
        <f t="shared" si="7"/>
        <v>1</v>
      </c>
      <c r="C214" s="60"/>
      <c r="D214" s="20"/>
      <c r="E214" s="29"/>
      <c r="F214" s="64"/>
      <c r="G214" s="64"/>
    </row>
    <row r="215" spans="2:9">
      <c r="B215" s="60">
        <f t="shared" si="7"/>
        <v>1</v>
      </c>
      <c r="C215" s="60"/>
      <c r="D215" s="20"/>
      <c r="E215" s="29"/>
      <c r="F215" s="64"/>
      <c r="G215" s="64"/>
    </row>
    <row r="216" spans="2:9">
      <c r="B216" s="60">
        <f t="shared" si="7"/>
        <v>1</v>
      </c>
      <c r="C216" s="60"/>
      <c r="D216" s="20"/>
      <c r="E216" s="29"/>
      <c r="F216" s="64"/>
      <c r="G216" s="64"/>
    </row>
    <row r="217" spans="2:9">
      <c r="B217" s="60">
        <f t="shared" si="7"/>
        <v>1</v>
      </c>
      <c r="C217" s="60"/>
      <c r="D217" s="20"/>
      <c r="E217" s="29"/>
      <c r="F217" s="64"/>
      <c r="G217" s="64"/>
    </row>
    <row r="218" spans="2:9">
      <c r="B218" s="60">
        <f t="shared" si="7"/>
        <v>1</v>
      </c>
      <c r="C218" s="60"/>
      <c r="D218" s="20"/>
      <c r="E218" s="29"/>
      <c r="F218" s="64"/>
      <c r="G218" s="64"/>
    </row>
    <row r="219" spans="2:9">
      <c r="B219" s="60">
        <f t="shared" si="7"/>
        <v>1</v>
      </c>
      <c r="C219" s="60"/>
      <c r="D219" s="20"/>
      <c r="E219" s="29"/>
      <c r="F219" s="64"/>
      <c r="G219" s="64"/>
    </row>
    <row r="220" spans="2:9">
      <c r="B220" s="60">
        <f t="shared" si="7"/>
        <v>1</v>
      </c>
      <c r="C220" s="60"/>
      <c r="D220" s="20"/>
      <c r="E220" s="29"/>
      <c r="F220" s="64"/>
      <c r="G220" s="64"/>
    </row>
    <row r="221" spans="2:9">
      <c r="B221" s="60">
        <f t="shared" si="7"/>
        <v>1</v>
      </c>
      <c r="C221" s="60"/>
      <c r="D221" s="20"/>
      <c r="E221" s="29"/>
      <c r="F221" s="64"/>
      <c r="G221" s="64"/>
    </row>
    <row r="222" spans="2:9">
      <c r="B222" s="60">
        <f t="shared" si="7"/>
        <v>1</v>
      </c>
      <c r="C222" s="60"/>
      <c r="D222" s="20"/>
      <c r="E222" s="29"/>
      <c r="F222" s="64"/>
      <c r="G222" s="64"/>
    </row>
    <row r="223" spans="2:9">
      <c r="B223" s="60">
        <f t="shared" si="7"/>
        <v>1</v>
      </c>
      <c r="C223" s="60"/>
      <c r="D223" s="20"/>
      <c r="E223" s="29"/>
      <c r="F223" s="64"/>
      <c r="G223" s="64"/>
    </row>
    <row r="224" spans="2:9">
      <c r="B224" s="60">
        <f t="shared" si="7"/>
        <v>1</v>
      </c>
      <c r="C224" s="60"/>
      <c r="D224" s="20"/>
      <c r="E224" s="29"/>
      <c r="F224" s="64"/>
      <c r="G224" s="64"/>
    </row>
    <row r="225" spans="2:7">
      <c r="B225" s="60">
        <f t="shared" si="7"/>
        <v>1</v>
      </c>
      <c r="C225" s="60"/>
      <c r="D225" s="20"/>
      <c r="E225" s="29"/>
      <c r="F225" s="64"/>
      <c r="G225" s="64"/>
    </row>
    <row r="226" spans="2:7">
      <c r="B226" s="60">
        <f t="shared" si="7"/>
        <v>1</v>
      </c>
      <c r="C226" s="60"/>
      <c r="D226" s="20"/>
      <c r="E226" s="29"/>
      <c r="F226" s="64"/>
      <c r="G226" s="64"/>
    </row>
    <row r="227" spans="2:7">
      <c r="B227" s="60">
        <f t="shared" si="7"/>
        <v>1</v>
      </c>
      <c r="C227" s="60"/>
      <c r="D227" s="20"/>
      <c r="E227" s="29"/>
      <c r="F227" s="64"/>
      <c r="G227" s="64"/>
    </row>
    <row r="228" spans="2:7">
      <c r="B228" s="60">
        <f t="shared" si="7"/>
        <v>1</v>
      </c>
      <c r="C228" s="60"/>
      <c r="D228" s="20"/>
      <c r="E228" s="29"/>
      <c r="F228" s="64"/>
      <c r="G228" s="64"/>
    </row>
    <row r="229" spans="2:7">
      <c r="B229" s="60">
        <f t="shared" si="7"/>
        <v>1</v>
      </c>
      <c r="C229" s="60"/>
      <c r="D229" s="20"/>
      <c r="E229" s="29"/>
      <c r="F229" s="64"/>
      <c r="G229" s="64"/>
    </row>
    <row r="230" spans="2:7">
      <c r="B230" s="60">
        <f t="shared" si="7"/>
        <v>1</v>
      </c>
      <c r="C230" s="60"/>
      <c r="D230" s="20"/>
      <c r="E230" s="29"/>
      <c r="F230" s="64"/>
      <c r="G230" s="64"/>
    </row>
    <row r="231" spans="2:7">
      <c r="B231" s="60">
        <f t="shared" si="7"/>
        <v>1</v>
      </c>
      <c r="C231" s="60"/>
      <c r="D231" s="20"/>
      <c r="E231" s="29"/>
      <c r="F231" s="64"/>
      <c r="G231" s="64"/>
    </row>
    <row r="232" spans="2:7">
      <c r="B232" s="60">
        <f t="shared" si="7"/>
        <v>1</v>
      </c>
      <c r="C232" s="60"/>
      <c r="D232" s="20"/>
      <c r="E232" s="29"/>
      <c r="F232" s="64"/>
      <c r="G232" s="64"/>
    </row>
    <row r="233" spans="2:7">
      <c r="B233" s="60">
        <f t="shared" ref="B233:B296" si="8">MONTH(G233)</f>
        <v>1</v>
      </c>
      <c r="C233" s="60"/>
      <c r="D233" s="20"/>
      <c r="E233" s="29"/>
      <c r="F233" s="64"/>
      <c r="G233" s="64"/>
    </row>
    <row r="234" spans="2:7">
      <c r="B234" s="60">
        <f t="shared" si="8"/>
        <v>1</v>
      </c>
      <c r="C234" s="60"/>
      <c r="D234" s="20"/>
      <c r="E234" s="29"/>
      <c r="F234" s="64"/>
      <c r="G234" s="64"/>
    </row>
    <row r="235" spans="2:7">
      <c r="B235" s="60">
        <f t="shared" si="8"/>
        <v>1</v>
      </c>
      <c r="C235" s="60"/>
      <c r="D235" s="20"/>
      <c r="E235" s="29"/>
      <c r="F235" s="64"/>
      <c r="G235" s="64"/>
    </row>
    <row r="236" spans="2:7">
      <c r="B236" s="60">
        <f t="shared" si="8"/>
        <v>1</v>
      </c>
      <c r="C236" s="60"/>
      <c r="D236" s="20"/>
      <c r="E236" s="29"/>
      <c r="F236" s="64"/>
      <c r="G236" s="64"/>
    </row>
    <row r="237" spans="2:7">
      <c r="B237" s="60">
        <f t="shared" si="8"/>
        <v>1</v>
      </c>
      <c r="C237" s="60"/>
      <c r="D237" s="20"/>
      <c r="E237" s="29"/>
      <c r="F237" s="64"/>
      <c r="G237" s="64"/>
    </row>
    <row r="238" spans="2:7">
      <c r="B238" s="60">
        <f t="shared" si="8"/>
        <v>1</v>
      </c>
      <c r="C238" s="60"/>
      <c r="D238" s="20"/>
      <c r="E238" s="29"/>
      <c r="F238" s="64"/>
      <c r="G238" s="64"/>
    </row>
    <row r="239" spans="2:7">
      <c r="B239" s="60">
        <f t="shared" si="8"/>
        <v>1</v>
      </c>
      <c r="C239" s="60"/>
      <c r="D239" s="20"/>
      <c r="E239" s="29"/>
      <c r="F239" s="64"/>
      <c r="G239" s="64"/>
    </row>
    <row r="240" spans="2:7">
      <c r="B240" s="60">
        <f t="shared" si="8"/>
        <v>1</v>
      </c>
      <c r="C240" s="60"/>
      <c r="D240" s="20"/>
      <c r="E240" s="29"/>
      <c r="F240" s="64"/>
      <c r="G240" s="64"/>
    </row>
    <row r="241" spans="2:7">
      <c r="B241" s="60">
        <f t="shared" si="8"/>
        <v>1</v>
      </c>
      <c r="C241" s="60"/>
      <c r="D241" s="20"/>
      <c r="E241" s="29"/>
      <c r="F241" s="64"/>
      <c r="G241" s="64"/>
    </row>
    <row r="242" spans="2:7">
      <c r="B242" s="60">
        <f t="shared" si="8"/>
        <v>1</v>
      </c>
      <c r="C242" s="60"/>
      <c r="D242" s="20"/>
      <c r="E242" s="29"/>
      <c r="F242" s="64"/>
      <c r="G242" s="64"/>
    </row>
    <row r="243" spans="2:7">
      <c r="B243" s="60">
        <f t="shared" si="8"/>
        <v>1</v>
      </c>
      <c r="C243" s="60"/>
      <c r="D243" s="20"/>
      <c r="E243" s="29"/>
      <c r="F243" s="64"/>
      <c r="G243" s="64"/>
    </row>
    <row r="244" spans="2:7">
      <c r="B244" s="60">
        <f t="shared" si="8"/>
        <v>1</v>
      </c>
      <c r="C244" s="60"/>
      <c r="D244" s="20"/>
      <c r="E244" s="29"/>
      <c r="F244" s="64"/>
      <c r="G244" s="64"/>
    </row>
    <row r="245" spans="2:7">
      <c r="B245" s="60">
        <f t="shared" si="8"/>
        <v>1</v>
      </c>
      <c r="C245" s="60"/>
      <c r="D245" s="20"/>
      <c r="E245" s="29"/>
      <c r="F245" s="64"/>
      <c r="G245" s="64"/>
    </row>
    <row r="246" spans="2:7">
      <c r="B246" s="60">
        <f t="shared" si="8"/>
        <v>1</v>
      </c>
      <c r="C246" s="60"/>
      <c r="D246" s="20"/>
      <c r="E246" s="29"/>
      <c r="F246" s="64"/>
      <c r="G246" s="64"/>
    </row>
    <row r="247" spans="2:7">
      <c r="B247" s="60">
        <f t="shared" si="8"/>
        <v>1</v>
      </c>
      <c r="C247" s="60"/>
      <c r="D247" s="20"/>
      <c r="E247" s="29"/>
      <c r="F247" s="64"/>
      <c r="G247" s="64"/>
    </row>
    <row r="248" spans="2:7">
      <c r="B248" s="60">
        <f t="shared" si="8"/>
        <v>1</v>
      </c>
      <c r="C248" s="60"/>
      <c r="D248" s="20"/>
      <c r="E248" s="29"/>
      <c r="F248" s="64"/>
      <c r="G248" s="64"/>
    </row>
    <row r="249" spans="2:7">
      <c r="B249" s="60">
        <f t="shared" si="8"/>
        <v>1</v>
      </c>
      <c r="C249" s="60"/>
      <c r="D249" s="20"/>
      <c r="E249" s="29"/>
      <c r="F249" s="64"/>
      <c r="G249" s="64"/>
    </row>
    <row r="250" spans="2:7">
      <c r="B250" s="60">
        <f t="shared" si="8"/>
        <v>1</v>
      </c>
      <c r="C250" s="60"/>
      <c r="D250" s="20"/>
      <c r="E250" s="29"/>
      <c r="F250" s="64"/>
      <c r="G250" s="64"/>
    </row>
    <row r="251" spans="2:7">
      <c r="B251" s="60">
        <f t="shared" si="8"/>
        <v>1</v>
      </c>
      <c r="C251" s="60"/>
      <c r="D251" s="20"/>
      <c r="E251" s="29"/>
      <c r="F251" s="64"/>
      <c r="G251" s="64"/>
    </row>
    <row r="252" spans="2:7">
      <c r="B252" s="60">
        <f t="shared" si="8"/>
        <v>1</v>
      </c>
      <c r="C252" s="60"/>
      <c r="D252" s="20"/>
      <c r="E252" s="29"/>
      <c r="F252" s="64"/>
      <c r="G252" s="64"/>
    </row>
    <row r="253" spans="2:7">
      <c r="B253" s="60">
        <f t="shared" si="8"/>
        <v>1</v>
      </c>
      <c r="C253" s="60"/>
      <c r="D253" s="20"/>
      <c r="E253" s="29"/>
      <c r="F253" s="64"/>
      <c r="G253" s="64"/>
    </row>
    <row r="254" spans="2:7">
      <c r="B254" s="60">
        <f t="shared" si="8"/>
        <v>1</v>
      </c>
      <c r="C254" s="60"/>
      <c r="D254" s="20"/>
      <c r="E254" s="29"/>
      <c r="F254" s="64"/>
      <c r="G254" s="64"/>
    </row>
    <row r="255" spans="2:7">
      <c r="B255" s="60">
        <f t="shared" si="8"/>
        <v>1</v>
      </c>
      <c r="C255" s="60"/>
      <c r="D255" s="20"/>
      <c r="E255" s="29"/>
      <c r="F255" s="64"/>
      <c r="G255" s="64"/>
    </row>
    <row r="256" spans="2:7">
      <c r="B256" s="60">
        <f t="shared" si="8"/>
        <v>1</v>
      </c>
      <c r="C256" s="60"/>
      <c r="D256" s="20"/>
      <c r="E256" s="29"/>
      <c r="F256" s="64"/>
      <c r="G256" s="64"/>
    </row>
    <row r="257" spans="2:7">
      <c r="B257" s="60">
        <f t="shared" si="8"/>
        <v>1</v>
      </c>
      <c r="C257" s="60"/>
      <c r="D257" s="20"/>
      <c r="E257" s="29"/>
      <c r="F257" s="64"/>
      <c r="G257" s="64"/>
    </row>
    <row r="258" spans="2:7">
      <c r="B258" s="60">
        <f t="shared" si="8"/>
        <v>1</v>
      </c>
      <c r="C258" s="60"/>
      <c r="D258" s="20"/>
      <c r="E258" s="29"/>
      <c r="F258" s="64"/>
      <c r="G258" s="64"/>
    </row>
    <row r="259" spans="2:7">
      <c r="B259" s="60">
        <f t="shared" si="8"/>
        <v>1</v>
      </c>
      <c r="C259" s="60"/>
      <c r="D259" s="20"/>
      <c r="E259" s="29"/>
      <c r="F259" s="64"/>
      <c r="G259" s="64"/>
    </row>
    <row r="260" spans="2:7">
      <c r="B260" s="60">
        <f t="shared" si="8"/>
        <v>1</v>
      </c>
      <c r="C260" s="60"/>
      <c r="D260" s="20"/>
      <c r="E260" s="29"/>
      <c r="F260" s="64"/>
      <c r="G260" s="64"/>
    </row>
    <row r="261" spans="2:7">
      <c r="B261" s="60">
        <f t="shared" si="8"/>
        <v>1</v>
      </c>
      <c r="C261" s="60"/>
      <c r="D261" s="20"/>
      <c r="E261" s="29"/>
      <c r="F261" s="64"/>
      <c r="G261" s="64"/>
    </row>
    <row r="262" spans="2:7">
      <c r="B262" s="60">
        <f t="shared" si="8"/>
        <v>1</v>
      </c>
      <c r="C262" s="60"/>
      <c r="D262" s="20"/>
      <c r="E262" s="29"/>
      <c r="F262" s="64"/>
      <c r="G262" s="64"/>
    </row>
    <row r="263" spans="2:7">
      <c r="B263" s="60">
        <f t="shared" si="8"/>
        <v>1</v>
      </c>
      <c r="C263" s="60"/>
      <c r="D263" s="20"/>
      <c r="E263" s="29"/>
      <c r="F263" s="64"/>
      <c r="G263" s="64"/>
    </row>
    <row r="264" spans="2:7">
      <c r="B264" s="60">
        <f t="shared" si="8"/>
        <v>1</v>
      </c>
      <c r="C264" s="60"/>
      <c r="D264" s="20"/>
      <c r="E264" s="29"/>
      <c r="F264" s="64"/>
      <c r="G264" s="64"/>
    </row>
    <row r="265" spans="2:7">
      <c r="B265" s="60">
        <f t="shared" si="8"/>
        <v>1</v>
      </c>
      <c r="C265" s="60"/>
      <c r="D265" s="20"/>
      <c r="E265" s="29"/>
      <c r="F265" s="64"/>
      <c r="G265" s="64"/>
    </row>
    <row r="266" spans="2:7">
      <c r="B266" s="60">
        <f t="shared" si="8"/>
        <v>1</v>
      </c>
      <c r="C266" s="60"/>
      <c r="D266" s="20"/>
      <c r="E266" s="29"/>
      <c r="F266" s="64"/>
      <c r="G266" s="64"/>
    </row>
    <row r="267" spans="2:7">
      <c r="B267" s="60">
        <f t="shared" si="8"/>
        <v>1</v>
      </c>
      <c r="C267" s="60"/>
      <c r="D267" s="20"/>
      <c r="E267" s="29"/>
      <c r="F267" s="64"/>
      <c r="G267" s="64"/>
    </row>
    <row r="268" spans="2:7">
      <c r="B268" s="60">
        <f t="shared" si="8"/>
        <v>1</v>
      </c>
      <c r="C268" s="60"/>
      <c r="D268" s="20"/>
      <c r="E268" s="29"/>
      <c r="F268" s="64"/>
      <c r="G268" s="64"/>
    </row>
    <row r="269" spans="2:7">
      <c r="B269" s="60">
        <f t="shared" si="8"/>
        <v>1</v>
      </c>
      <c r="C269" s="60"/>
      <c r="D269" s="20"/>
      <c r="E269" s="29"/>
      <c r="F269" s="64"/>
      <c r="G269" s="64"/>
    </row>
    <row r="270" spans="2:7">
      <c r="B270" s="60">
        <f t="shared" si="8"/>
        <v>1</v>
      </c>
      <c r="C270" s="60"/>
      <c r="D270" s="20"/>
      <c r="E270" s="29"/>
      <c r="F270" s="64"/>
      <c r="G270" s="64"/>
    </row>
    <row r="271" spans="2:7">
      <c r="B271" s="60">
        <f t="shared" si="8"/>
        <v>1</v>
      </c>
      <c r="C271" s="60"/>
      <c r="D271" s="20"/>
      <c r="E271" s="29"/>
      <c r="F271" s="64"/>
      <c r="G271" s="64"/>
    </row>
    <row r="272" spans="2:7">
      <c r="B272" s="60">
        <f t="shared" si="8"/>
        <v>1</v>
      </c>
      <c r="C272" s="60"/>
      <c r="D272" s="20"/>
      <c r="E272" s="29"/>
      <c r="F272" s="64"/>
      <c r="G272" s="64"/>
    </row>
    <row r="273" spans="2:7">
      <c r="B273" s="60">
        <f t="shared" si="8"/>
        <v>1</v>
      </c>
      <c r="C273" s="60"/>
      <c r="D273" s="20"/>
      <c r="E273" s="29"/>
      <c r="F273" s="64"/>
      <c r="G273" s="64"/>
    </row>
    <row r="274" spans="2:7">
      <c r="B274" s="60">
        <f t="shared" si="8"/>
        <v>1</v>
      </c>
      <c r="C274" s="60"/>
      <c r="D274" s="20"/>
      <c r="E274" s="29"/>
      <c r="F274" s="64"/>
      <c r="G274" s="64"/>
    </row>
    <row r="275" spans="2:7">
      <c r="B275" s="60">
        <f t="shared" si="8"/>
        <v>1</v>
      </c>
      <c r="C275" s="60"/>
      <c r="D275" s="20"/>
      <c r="E275" s="29"/>
      <c r="F275" s="64"/>
      <c r="G275" s="64"/>
    </row>
    <row r="276" spans="2:7">
      <c r="B276" s="60">
        <f t="shared" si="8"/>
        <v>1</v>
      </c>
      <c r="C276" s="60"/>
      <c r="D276" s="20"/>
      <c r="E276" s="29"/>
      <c r="F276" s="64"/>
      <c r="G276" s="64"/>
    </row>
    <row r="277" spans="2:7">
      <c r="B277" s="60">
        <f t="shared" si="8"/>
        <v>1</v>
      </c>
      <c r="C277" s="60"/>
      <c r="D277" s="20"/>
      <c r="E277" s="29"/>
      <c r="F277" s="64"/>
      <c r="G277" s="64"/>
    </row>
    <row r="278" spans="2:7">
      <c r="B278" s="60">
        <f t="shared" si="8"/>
        <v>1</v>
      </c>
      <c r="C278" s="60"/>
      <c r="D278" s="20"/>
      <c r="E278" s="29"/>
      <c r="F278" s="64"/>
      <c r="G278" s="64"/>
    </row>
    <row r="279" spans="2:7">
      <c r="B279" s="60">
        <f t="shared" si="8"/>
        <v>1</v>
      </c>
      <c r="C279" s="60"/>
      <c r="D279" s="20"/>
      <c r="E279" s="29"/>
      <c r="F279" s="64"/>
      <c r="G279" s="64"/>
    </row>
    <row r="280" spans="2:7">
      <c r="B280" s="60">
        <f t="shared" si="8"/>
        <v>1</v>
      </c>
      <c r="C280" s="60"/>
      <c r="D280" s="20"/>
      <c r="E280" s="29"/>
      <c r="F280" s="64"/>
      <c r="G280" s="64"/>
    </row>
    <row r="281" spans="2:7">
      <c r="B281" s="60">
        <f t="shared" si="8"/>
        <v>1</v>
      </c>
      <c r="C281" s="60"/>
      <c r="D281" s="20"/>
      <c r="E281" s="29"/>
      <c r="F281" s="64"/>
      <c r="G281" s="64"/>
    </row>
    <row r="282" spans="2:7">
      <c r="B282" s="60">
        <f t="shared" si="8"/>
        <v>1</v>
      </c>
      <c r="C282" s="60"/>
      <c r="D282" s="20"/>
      <c r="E282" s="29"/>
      <c r="F282" s="64"/>
      <c r="G282" s="64"/>
    </row>
    <row r="283" spans="2:7">
      <c r="B283" s="60">
        <f t="shared" si="8"/>
        <v>1</v>
      </c>
      <c r="C283" s="60"/>
      <c r="D283" s="20"/>
      <c r="E283" s="29"/>
      <c r="F283" s="64"/>
      <c r="G283" s="64"/>
    </row>
    <row r="284" spans="2:7">
      <c r="B284" s="60">
        <f t="shared" si="8"/>
        <v>1</v>
      </c>
      <c r="C284" s="60"/>
      <c r="D284" s="20"/>
      <c r="E284" s="29"/>
      <c r="F284" s="64"/>
      <c r="G284" s="64"/>
    </row>
    <row r="285" spans="2:7">
      <c r="B285" s="60">
        <f t="shared" si="8"/>
        <v>1</v>
      </c>
      <c r="C285" s="60"/>
      <c r="D285" s="20"/>
      <c r="E285" s="29"/>
      <c r="F285" s="64"/>
      <c r="G285" s="64"/>
    </row>
    <row r="286" spans="2:7">
      <c r="B286" s="60">
        <f t="shared" si="8"/>
        <v>1</v>
      </c>
      <c r="C286" s="60"/>
      <c r="D286" s="20"/>
      <c r="E286" s="29"/>
      <c r="F286" s="64"/>
      <c r="G286" s="64"/>
    </row>
    <row r="287" spans="2:7">
      <c r="B287" s="60">
        <f t="shared" si="8"/>
        <v>1</v>
      </c>
      <c r="C287" s="60"/>
      <c r="D287" s="20"/>
      <c r="E287" s="29"/>
      <c r="F287" s="64"/>
      <c r="G287" s="64"/>
    </row>
    <row r="288" spans="2:7">
      <c r="B288" s="60">
        <f t="shared" si="8"/>
        <v>1</v>
      </c>
      <c r="C288" s="60"/>
      <c r="D288" s="20"/>
      <c r="E288" s="122"/>
      <c r="F288" s="64"/>
      <c r="G288" s="64"/>
    </row>
    <row r="289" spans="2:7">
      <c r="B289" s="60">
        <f t="shared" si="8"/>
        <v>1</v>
      </c>
      <c r="C289" s="60"/>
      <c r="D289" s="20"/>
      <c r="E289" s="122"/>
      <c r="F289" s="64"/>
      <c r="G289" s="64"/>
    </row>
    <row r="290" spans="2:7">
      <c r="B290" s="60">
        <f t="shared" si="8"/>
        <v>1</v>
      </c>
      <c r="C290" s="60"/>
      <c r="D290" s="20"/>
      <c r="E290" s="29"/>
      <c r="F290" s="64"/>
      <c r="G290" s="64"/>
    </row>
    <row r="291" spans="2:7">
      <c r="B291" s="60">
        <f t="shared" si="8"/>
        <v>1</v>
      </c>
      <c r="C291" s="60"/>
      <c r="D291" s="20"/>
      <c r="E291" s="29"/>
      <c r="F291" s="64"/>
      <c r="G291" s="64"/>
    </row>
    <row r="292" spans="2:7">
      <c r="B292" s="60">
        <f t="shared" si="8"/>
        <v>1</v>
      </c>
      <c r="C292" s="60"/>
      <c r="D292" s="20"/>
      <c r="E292" s="29"/>
      <c r="F292" s="64"/>
      <c r="G292" s="64"/>
    </row>
    <row r="293" spans="2:7">
      <c r="B293" s="60">
        <f t="shared" si="8"/>
        <v>1</v>
      </c>
      <c r="C293" s="60"/>
      <c r="D293" s="20"/>
      <c r="E293" s="29"/>
      <c r="F293" s="64"/>
      <c r="G293" s="64"/>
    </row>
    <row r="294" spans="2:7">
      <c r="B294" s="60">
        <f t="shared" si="8"/>
        <v>1</v>
      </c>
      <c r="C294" s="60"/>
      <c r="D294" s="20"/>
      <c r="E294" s="29"/>
      <c r="F294" s="64"/>
      <c r="G294" s="64"/>
    </row>
    <row r="295" spans="2:7">
      <c r="B295" s="60">
        <f t="shared" si="8"/>
        <v>1</v>
      </c>
      <c r="C295" s="60"/>
      <c r="D295" s="20"/>
      <c r="E295" s="29"/>
      <c r="F295" s="64"/>
      <c r="G295" s="64"/>
    </row>
    <row r="296" spans="2:7">
      <c r="B296" s="60">
        <f t="shared" si="8"/>
        <v>1</v>
      </c>
      <c r="C296" s="60"/>
      <c r="D296" s="20"/>
      <c r="E296" s="29"/>
      <c r="F296" s="64"/>
      <c r="G296" s="64"/>
    </row>
    <row r="297" spans="2:7">
      <c r="B297" s="60">
        <f t="shared" ref="B297:B360" si="9">MONTH(G297)</f>
        <v>1</v>
      </c>
      <c r="C297" s="60"/>
      <c r="D297" s="20"/>
      <c r="E297" s="29"/>
      <c r="F297" s="64"/>
      <c r="G297" s="64"/>
    </row>
    <row r="298" spans="2:7">
      <c r="B298" s="60">
        <f t="shared" si="9"/>
        <v>1</v>
      </c>
      <c r="C298" s="60"/>
      <c r="D298" s="20"/>
      <c r="E298" s="29"/>
      <c r="F298" s="64"/>
      <c r="G298" s="64"/>
    </row>
    <row r="299" spans="2:7">
      <c r="B299" s="60">
        <f t="shared" si="9"/>
        <v>1</v>
      </c>
      <c r="C299" s="60"/>
      <c r="D299" s="20"/>
      <c r="E299" s="29"/>
      <c r="F299" s="64"/>
      <c r="G299" s="64"/>
    </row>
    <row r="300" spans="2:7">
      <c r="B300" s="60">
        <f t="shared" si="9"/>
        <v>1</v>
      </c>
      <c r="C300" s="60"/>
      <c r="D300" s="20"/>
      <c r="E300" s="29"/>
      <c r="F300" s="64"/>
      <c r="G300" s="64"/>
    </row>
    <row r="301" spans="2:7">
      <c r="B301" s="60">
        <f t="shared" si="9"/>
        <v>1</v>
      </c>
      <c r="C301" s="60"/>
      <c r="D301" s="20"/>
      <c r="E301" s="29"/>
      <c r="F301" s="64"/>
      <c r="G301" s="64"/>
    </row>
    <row r="302" spans="2:7">
      <c r="B302" s="60">
        <f t="shared" si="9"/>
        <v>1</v>
      </c>
      <c r="C302" s="60"/>
      <c r="D302" s="20"/>
      <c r="E302" s="29"/>
      <c r="F302" s="64"/>
      <c r="G302" s="64"/>
    </row>
    <row r="303" spans="2:7">
      <c r="B303" s="60">
        <f t="shared" si="9"/>
        <v>1</v>
      </c>
      <c r="C303" s="60"/>
      <c r="D303" s="20"/>
      <c r="E303" s="29"/>
      <c r="F303" s="64"/>
      <c r="G303" s="64"/>
    </row>
    <row r="304" spans="2:7">
      <c r="B304" s="60">
        <f t="shared" si="9"/>
        <v>1</v>
      </c>
      <c r="C304" s="60"/>
      <c r="D304" s="20"/>
      <c r="E304" s="29"/>
      <c r="F304" s="64"/>
      <c r="G304" s="64"/>
    </row>
    <row r="305" spans="2:9">
      <c r="B305" s="60">
        <f t="shared" si="9"/>
        <v>1</v>
      </c>
      <c r="C305" s="60"/>
      <c r="D305" s="20"/>
      <c r="E305" s="29"/>
      <c r="F305" s="64"/>
      <c r="G305" s="64"/>
    </row>
    <row r="306" spans="2:9">
      <c r="B306" s="60">
        <f t="shared" si="9"/>
        <v>1</v>
      </c>
      <c r="C306" s="60"/>
      <c r="D306" s="20"/>
      <c r="E306" s="29"/>
      <c r="F306" s="64"/>
      <c r="G306" s="64"/>
    </row>
    <row r="307" spans="2:9">
      <c r="B307" s="60">
        <f t="shared" si="9"/>
        <v>1</v>
      </c>
      <c r="C307" s="60"/>
      <c r="D307" s="20"/>
      <c r="E307" s="122"/>
      <c r="F307" s="64"/>
      <c r="G307" s="64"/>
      <c r="I307" s="121" t="s">
        <v>80</v>
      </c>
    </row>
    <row r="308" spans="2:9">
      <c r="B308" s="60">
        <f t="shared" si="9"/>
        <v>1</v>
      </c>
      <c r="C308" s="60"/>
      <c r="D308" s="20"/>
      <c r="E308" s="29"/>
      <c r="F308" s="64"/>
      <c r="G308" s="64"/>
    </row>
    <row r="309" spans="2:9">
      <c r="B309" s="60">
        <f t="shared" si="9"/>
        <v>1</v>
      </c>
      <c r="C309" s="60"/>
      <c r="D309" s="20"/>
      <c r="E309" s="29"/>
      <c r="F309" s="64"/>
      <c r="G309" s="64"/>
    </row>
    <row r="310" spans="2:9">
      <c r="B310" s="60">
        <f t="shared" si="9"/>
        <v>1</v>
      </c>
      <c r="C310" s="60"/>
      <c r="D310" s="20"/>
      <c r="E310" s="29"/>
      <c r="F310" s="64"/>
      <c r="G310" s="64"/>
    </row>
    <row r="311" spans="2:9">
      <c r="B311" s="60">
        <f t="shared" si="9"/>
        <v>1</v>
      </c>
      <c r="C311" s="60"/>
      <c r="D311" s="20"/>
      <c r="E311" s="29"/>
      <c r="F311" s="64"/>
      <c r="G311" s="64"/>
    </row>
    <row r="312" spans="2:9">
      <c r="B312" s="60">
        <f t="shared" si="9"/>
        <v>1</v>
      </c>
      <c r="C312" s="60"/>
      <c r="D312" s="20"/>
      <c r="E312" s="29"/>
      <c r="F312" s="64"/>
      <c r="G312" s="64"/>
    </row>
    <row r="313" spans="2:9">
      <c r="B313" s="60">
        <f t="shared" si="9"/>
        <v>1</v>
      </c>
      <c r="C313" s="60"/>
      <c r="D313" s="20"/>
      <c r="E313" s="29"/>
      <c r="F313" s="64"/>
      <c r="G313" s="64"/>
    </row>
    <row r="314" spans="2:9">
      <c r="B314" s="60">
        <f t="shared" si="9"/>
        <v>1</v>
      </c>
      <c r="C314" s="60"/>
      <c r="D314" s="20"/>
      <c r="E314" s="29"/>
      <c r="F314" s="64"/>
      <c r="G314" s="64"/>
    </row>
    <row r="315" spans="2:9">
      <c r="B315" s="60">
        <f t="shared" si="9"/>
        <v>1</v>
      </c>
      <c r="C315" s="60"/>
      <c r="D315" s="20"/>
      <c r="E315" s="29"/>
      <c r="F315" s="64"/>
      <c r="G315" s="64"/>
    </row>
    <row r="316" spans="2:9">
      <c r="B316" s="60">
        <f t="shared" si="9"/>
        <v>1</v>
      </c>
      <c r="C316" s="60"/>
      <c r="D316" s="20"/>
      <c r="E316" s="29"/>
      <c r="F316" s="64"/>
      <c r="G316" s="64"/>
    </row>
    <row r="317" spans="2:9">
      <c r="B317" s="60">
        <f t="shared" si="9"/>
        <v>1</v>
      </c>
      <c r="C317" s="60"/>
      <c r="D317" s="20"/>
      <c r="E317" s="29"/>
      <c r="F317" s="64"/>
      <c r="G317" s="64"/>
    </row>
    <row r="318" spans="2:9">
      <c r="B318" s="60">
        <f t="shared" si="9"/>
        <v>1</v>
      </c>
      <c r="C318" s="60"/>
      <c r="D318" s="20"/>
      <c r="E318" s="29"/>
      <c r="F318" s="64"/>
      <c r="G318" s="64"/>
    </row>
    <row r="319" spans="2:9">
      <c r="B319" s="60">
        <f t="shared" si="9"/>
        <v>1</v>
      </c>
      <c r="C319" s="60"/>
      <c r="D319" s="20"/>
      <c r="E319" s="29"/>
      <c r="F319" s="64"/>
      <c r="G319" s="64"/>
    </row>
    <row r="320" spans="2:9">
      <c r="B320" s="60">
        <f t="shared" si="9"/>
        <v>1</v>
      </c>
      <c r="C320" s="60"/>
      <c r="D320" s="20"/>
      <c r="E320" s="29"/>
      <c r="F320" s="64"/>
      <c r="G320" s="64"/>
    </row>
    <row r="321" spans="2:7">
      <c r="B321" s="60">
        <f t="shared" si="9"/>
        <v>1</v>
      </c>
      <c r="C321" s="60"/>
      <c r="D321" s="20"/>
      <c r="E321" s="29"/>
      <c r="F321" s="64"/>
      <c r="G321" s="64"/>
    </row>
    <row r="322" spans="2:7">
      <c r="B322" s="60">
        <f t="shared" si="9"/>
        <v>1</v>
      </c>
      <c r="C322" s="60"/>
      <c r="D322" s="20"/>
      <c r="E322" s="29"/>
      <c r="F322" s="64"/>
      <c r="G322" s="64"/>
    </row>
    <row r="323" spans="2:7">
      <c r="B323" s="60">
        <f t="shared" si="9"/>
        <v>1</v>
      </c>
      <c r="C323" s="60"/>
      <c r="D323" s="20"/>
      <c r="E323" s="29"/>
      <c r="F323" s="64"/>
      <c r="G323" s="64"/>
    </row>
    <row r="324" spans="2:7">
      <c r="B324" s="60">
        <f t="shared" si="9"/>
        <v>1</v>
      </c>
      <c r="C324" s="60"/>
      <c r="D324" s="20"/>
      <c r="E324" s="29"/>
      <c r="F324" s="64"/>
      <c r="G324" s="64"/>
    </row>
    <row r="325" spans="2:7">
      <c r="B325" s="60">
        <f t="shared" si="9"/>
        <v>1</v>
      </c>
      <c r="C325" s="60"/>
      <c r="D325" s="20"/>
      <c r="E325" s="29"/>
      <c r="F325" s="64"/>
      <c r="G325" s="64"/>
    </row>
    <row r="326" spans="2:7">
      <c r="B326" s="60">
        <f t="shared" si="9"/>
        <v>1</v>
      </c>
      <c r="C326" s="60"/>
      <c r="D326" s="20"/>
      <c r="E326" s="29"/>
      <c r="F326" s="64"/>
      <c r="G326" s="64"/>
    </row>
    <row r="327" spans="2:7">
      <c r="B327" s="60">
        <f t="shared" si="9"/>
        <v>1</v>
      </c>
      <c r="C327" s="60"/>
      <c r="D327" s="20"/>
      <c r="E327" s="29"/>
      <c r="F327" s="64"/>
      <c r="G327" s="64"/>
    </row>
    <row r="328" spans="2:7">
      <c r="B328" s="60">
        <f t="shared" si="9"/>
        <v>1</v>
      </c>
      <c r="C328" s="60"/>
      <c r="D328" s="20"/>
      <c r="E328" s="29"/>
      <c r="F328" s="64"/>
      <c r="G328" s="64"/>
    </row>
    <row r="329" spans="2:7">
      <c r="B329" s="60">
        <f t="shared" si="9"/>
        <v>1</v>
      </c>
      <c r="C329" s="60"/>
      <c r="D329" s="20"/>
      <c r="E329" s="29"/>
      <c r="F329" s="64"/>
      <c r="G329" s="64"/>
    </row>
    <row r="330" spans="2:7">
      <c r="B330" s="60">
        <f t="shared" si="9"/>
        <v>1</v>
      </c>
      <c r="C330" s="60"/>
      <c r="D330" s="20"/>
      <c r="E330" s="29"/>
      <c r="F330" s="64"/>
      <c r="G330" s="64"/>
    </row>
    <row r="331" spans="2:7">
      <c r="B331" s="60">
        <f t="shared" si="9"/>
        <v>1</v>
      </c>
      <c r="C331" s="60"/>
      <c r="D331" s="20"/>
      <c r="E331" s="29"/>
      <c r="F331" s="64"/>
      <c r="G331" s="64"/>
    </row>
    <row r="332" spans="2:7">
      <c r="B332" s="60">
        <f t="shared" si="9"/>
        <v>1</v>
      </c>
      <c r="C332" s="60"/>
      <c r="D332" s="20"/>
      <c r="E332" s="29"/>
      <c r="F332" s="64"/>
      <c r="G332" s="64"/>
    </row>
    <row r="333" spans="2:7">
      <c r="B333" s="60">
        <f t="shared" si="9"/>
        <v>1</v>
      </c>
      <c r="C333" s="60"/>
      <c r="D333" s="20"/>
      <c r="E333" s="29"/>
      <c r="F333" s="64"/>
      <c r="G333" s="64"/>
    </row>
    <row r="334" spans="2:7">
      <c r="B334" s="60">
        <f t="shared" si="9"/>
        <v>1</v>
      </c>
      <c r="C334" s="60"/>
      <c r="D334" s="20"/>
      <c r="E334" s="29"/>
      <c r="F334" s="64"/>
      <c r="G334" s="64"/>
    </row>
    <row r="335" spans="2:7">
      <c r="B335" s="60">
        <f t="shared" si="9"/>
        <v>1</v>
      </c>
      <c r="C335" s="60"/>
      <c r="D335" s="20"/>
      <c r="E335" s="29"/>
      <c r="F335" s="64"/>
      <c r="G335" s="64"/>
    </row>
    <row r="336" spans="2:7">
      <c r="B336" s="60">
        <f t="shared" si="9"/>
        <v>1</v>
      </c>
      <c r="C336" s="60"/>
      <c r="D336" s="20"/>
      <c r="E336" s="29"/>
      <c r="F336" s="64"/>
      <c r="G336" s="64"/>
    </row>
    <row r="337" spans="2:7">
      <c r="B337" s="60">
        <f t="shared" si="9"/>
        <v>1</v>
      </c>
      <c r="C337" s="60"/>
      <c r="D337" s="20"/>
      <c r="E337" s="29"/>
      <c r="F337" s="64"/>
      <c r="G337" s="64"/>
    </row>
    <row r="338" spans="2:7">
      <c r="B338" s="60">
        <f t="shared" si="9"/>
        <v>1</v>
      </c>
      <c r="C338" s="60"/>
      <c r="D338" s="20"/>
      <c r="E338" s="29"/>
      <c r="F338" s="64"/>
      <c r="G338" s="64"/>
    </row>
    <row r="339" spans="2:7">
      <c r="B339" s="60">
        <f t="shared" si="9"/>
        <v>1</v>
      </c>
      <c r="C339" s="60"/>
      <c r="D339" s="20"/>
      <c r="E339" s="29"/>
      <c r="F339" s="64"/>
      <c r="G339" s="64"/>
    </row>
    <row r="340" spans="2:7">
      <c r="B340" s="60">
        <f t="shared" si="9"/>
        <v>1</v>
      </c>
      <c r="C340" s="60"/>
      <c r="D340" s="20"/>
      <c r="E340" s="29"/>
      <c r="F340" s="64"/>
      <c r="G340" s="64"/>
    </row>
    <row r="341" spans="2:7">
      <c r="B341" s="60">
        <f t="shared" si="9"/>
        <v>1</v>
      </c>
      <c r="C341" s="60"/>
      <c r="D341" s="20"/>
      <c r="E341" s="29"/>
      <c r="F341" s="64"/>
      <c r="G341" s="64"/>
    </row>
    <row r="342" spans="2:7">
      <c r="B342" s="60">
        <f t="shared" si="9"/>
        <v>1</v>
      </c>
      <c r="C342" s="60"/>
      <c r="D342" s="20"/>
      <c r="E342" s="29"/>
      <c r="F342" s="64"/>
      <c r="G342" s="64"/>
    </row>
    <row r="343" spans="2:7">
      <c r="B343" s="60">
        <f t="shared" si="9"/>
        <v>1</v>
      </c>
      <c r="C343" s="60"/>
      <c r="D343" s="20"/>
      <c r="E343" s="29"/>
      <c r="F343" s="64"/>
      <c r="G343" s="64"/>
    </row>
    <row r="344" spans="2:7">
      <c r="B344" s="60">
        <f t="shared" si="9"/>
        <v>1</v>
      </c>
      <c r="C344" s="60"/>
      <c r="D344" s="20"/>
      <c r="E344" s="29"/>
      <c r="F344" s="64"/>
      <c r="G344" s="64"/>
    </row>
    <row r="345" spans="2:7">
      <c r="B345" s="60">
        <f t="shared" si="9"/>
        <v>1</v>
      </c>
      <c r="C345" s="60"/>
      <c r="D345" s="20"/>
      <c r="E345" s="29"/>
      <c r="F345" s="64"/>
      <c r="G345" s="64"/>
    </row>
    <row r="346" spans="2:7">
      <c r="B346" s="60">
        <f t="shared" si="9"/>
        <v>1</v>
      </c>
      <c r="C346" s="60"/>
      <c r="D346" s="20"/>
      <c r="E346" s="29"/>
      <c r="F346" s="64"/>
      <c r="G346" s="64"/>
    </row>
    <row r="347" spans="2:7">
      <c r="B347" s="60">
        <f t="shared" si="9"/>
        <v>1</v>
      </c>
      <c r="C347" s="60"/>
      <c r="D347" s="20"/>
      <c r="E347" s="29"/>
      <c r="F347" s="64"/>
      <c r="G347" s="64"/>
    </row>
    <row r="348" spans="2:7">
      <c r="B348" s="60">
        <f t="shared" si="9"/>
        <v>1</v>
      </c>
      <c r="C348" s="60"/>
      <c r="D348" s="20"/>
      <c r="E348" s="29"/>
      <c r="F348" s="64"/>
      <c r="G348" s="64"/>
    </row>
    <row r="349" spans="2:7">
      <c r="B349" s="60">
        <f t="shared" si="9"/>
        <v>1</v>
      </c>
      <c r="C349" s="60"/>
      <c r="D349" s="20"/>
      <c r="E349" s="29"/>
      <c r="F349" s="64"/>
      <c r="G349" s="64"/>
    </row>
    <row r="350" spans="2:7">
      <c r="B350" s="60">
        <f t="shared" si="9"/>
        <v>1</v>
      </c>
      <c r="C350" s="60"/>
      <c r="D350" s="20"/>
      <c r="E350" s="29"/>
      <c r="F350" s="64"/>
      <c r="G350" s="64"/>
    </row>
    <row r="351" spans="2:7">
      <c r="B351" s="60">
        <f t="shared" si="9"/>
        <v>1</v>
      </c>
      <c r="C351" s="60"/>
      <c r="D351" s="20"/>
      <c r="E351" s="29"/>
      <c r="F351" s="64"/>
      <c r="G351" s="64"/>
    </row>
    <row r="352" spans="2:7">
      <c r="B352" s="60">
        <f t="shared" si="9"/>
        <v>1</v>
      </c>
      <c r="C352" s="60"/>
      <c r="D352" s="20"/>
      <c r="E352" s="29"/>
      <c r="F352" s="64"/>
      <c r="G352" s="64"/>
    </row>
    <row r="353" spans="2:7">
      <c r="B353" s="60">
        <f t="shared" si="9"/>
        <v>1</v>
      </c>
      <c r="C353" s="60"/>
      <c r="D353" s="20"/>
      <c r="E353" s="29"/>
      <c r="F353" s="64"/>
      <c r="G353" s="64"/>
    </row>
    <row r="354" spans="2:7">
      <c r="B354" s="60">
        <f t="shared" si="9"/>
        <v>1</v>
      </c>
      <c r="C354" s="60"/>
      <c r="D354" s="20"/>
      <c r="E354" s="29"/>
      <c r="F354" s="64"/>
      <c r="G354" s="64"/>
    </row>
    <row r="355" spans="2:7">
      <c r="B355" s="60">
        <f t="shared" si="9"/>
        <v>1</v>
      </c>
      <c r="C355" s="60"/>
      <c r="D355" s="20"/>
      <c r="E355" s="29"/>
      <c r="F355" s="64"/>
      <c r="G355" s="64"/>
    </row>
    <row r="356" spans="2:7">
      <c r="B356" s="60">
        <f t="shared" si="9"/>
        <v>1</v>
      </c>
      <c r="C356" s="60"/>
      <c r="D356" s="20"/>
      <c r="E356" s="29"/>
      <c r="F356" s="64"/>
      <c r="G356" s="64"/>
    </row>
    <row r="357" spans="2:7">
      <c r="B357" s="60">
        <f t="shared" si="9"/>
        <v>1</v>
      </c>
      <c r="C357" s="60"/>
      <c r="D357" s="20"/>
      <c r="E357" s="29"/>
      <c r="F357" s="64"/>
      <c r="G357" s="64"/>
    </row>
    <row r="358" spans="2:7">
      <c r="B358" s="60">
        <f t="shared" si="9"/>
        <v>1</v>
      </c>
      <c r="C358" s="60"/>
      <c r="D358" s="20"/>
      <c r="E358" s="29"/>
      <c r="F358" s="64"/>
      <c r="G358" s="64"/>
    </row>
    <row r="359" spans="2:7">
      <c r="B359" s="60">
        <f t="shared" si="9"/>
        <v>1</v>
      </c>
      <c r="C359" s="60"/>
      <c r="D359" s="20"/>
      <c r="E359" s="29"/>
      <c r="F359" s="64"/>
      <c r="G359" s="64"/>
    </row>
    <row r="360" spans="2:7">
      <c r="B360" s="60">
        <f t="shared" si="9"/>
        <v>1</v>
      </c>
      <c r="C360" s="60"/>
      <c r="D360" s="20"/>
      <c r="E360" s="29"/>
      <c r="F360" s="64"/>
      <c r="G360" s="64"/>
    </row>
    <row r="361" spans="2:7">
      <c r="B361" s="60">
        <f t="shared" ref="B361:B424" si="10">MONTH(G361)</f>
        <v>1</v>
      </c>
      <c r="C361" s="60"/>
      <c r="D361" s="20"/>
      <c r="E361" s="29"/>
      <c r="F361" s="64"/>
      <c r="G361" s="64"/>
    </row>
    <row r="362" spans="2:7">
      <c r="B362" s="60">
        <f t="shared" si="10"/>
        <v>1</v>
      </c>
      <c r="C362" s="60"/>
      <c r="D362" s="20"/>
      <c r="E362" s="29"/>
      <c r="F362" s="64"/>
      <c r="G362" s="64"/>
    </row>
    <row r="363" spans="2:7">
      <c r="B363" s="60">
        <f t="shared" si="10"/>
        <v>1</v>
      </c>
      <c r="C363" s="60"/>
      <c r="D363" s="20"/>
      <c r="E363" s="29"/>
      <c r="F363" s="64"/>
      <c r="G363" s="64"/>
    </row>
    <row r="364" spans="2:7">
      <c r="B364" s="60">
        <f t="shared" si="10"/>
        <v>1</v>
      </c>
      <c r="C364" s="60"/>
      <c r="D364" s="20"/>
      <c r="E364" s="29"/>
      <c r="F364" s="64"/>
      <c r="G364" s="64"/>
    </row>
    <row r="365" spans="2:7">
      <c r="B365" s="60">
        <f t="shared" si="10"/>
        <v>1</v>
      </c>
      <c r="C365" s="60"/>
      <c r="D365" s="20"/>
      <c r="E365" s="29"/>
      <c r="F365" s="64"/>
      <c r="G365" s="64"/>
    </row>
    <row r="366" spans="2:7">
      <c r="B366" s="60">
        <f t="shared" si="10"/>
        <v>1</v>
      </c>
      <c r="C366" s="60"/>
      <c r="D366" s="20"/>
      <c r="E366" s="29"/>
      <c r="F366" s="64"/>
      <c r="G366" s="64"/>
    </row>
    <row r="367" spans="2:7">
      <c r="B367" s="60">
        <f t="shared" si="10"/>
        <v>1</v>
      </c>
      <c r="C367" s="60"/>
      <c r="D367" s="20"/>
      <c r="E367" s="29"/>
      <c r="F367" s="64"/>
      <c r="G367" s="64"/>
    </row>
    <row r="368" spans="2:7">
      <c r="B368" s="60">
        <f t="shared" si="10"/>
        <v>1</v>
      </c>
      <c r="C368" s="60"/>
      <c r="D368" s="20"/>
      <c r="E368" s="29"/>
      <c r="F368" s="64"/>
      <c r="G368" s="64"/>
    </row>
    <row r="369" spans="2:7">
      <c r="B369" s="60">
        <f t="shared" si="10"/>
        <v>1</v>
      </c>
      <c r="C369" s="60"/>
      <c r="D369" s="20"/>
      <c r="E369" s="29"/>
      <c r="F369" s="64"/>
      <c r="G369" s="64"/>
    </row>
    <row r="370" spans="2:7">
      <c r="B370" s="60">
        <f t="shared" si="10"/>
        <v>1</v>
      </c>
      <c r="C370" s="60"/>
      <c r="D370" s="20"/>
      <c r="E370" s="29"/>
      <c r="F370" s="64"/>
      <c r="G370" s="64"/>
    </row>
    <row r="371" spans="2:7">
      <c r="B371" s="60">
        <f t="shared" si="10"/>
        <v>1</v>
      </c>
      <c r="C371" s="60"/>
      <c r="D371" s="20"/>
      <c r="E371" s="29"/>
      <c r="F371" s="64"/>
      <c r="G371" s="64"/>
    </row>
    <row r="372" spans="2:7">
      <c r="B372" s="60">
        <f t="shared" si="10"/>
        <v>1</v>
      </c>
      <c r="C372" s="60"/>
      <c r="D372" s="20"/>
      <c r="E372" s="29"/>
      <c r="F372" s="64"/>
      <c r="G372" s="64"/>
    </row>
    <row r="373" spans="2:7">
      <c r="B373" s="60">
        <f t="shared" si="10"/>
        <v>1</v>
      </c>
      <c r="C373" s="60"/>
      <c r="D373" s="20"/>
      <c r="E373" s="29"/>
      <c r="F373" s="64"/>
      <c r="G373" s="64"/>
    </row>
    <row r="374" spans="2:7">
      <c r="B374" s="60">
        <f t="shared" si="10"/>
        <v>1</v>
      </c>
      <c r="C374" s="60"/>
      <c r="D374" s="20"/>
      <c r="E374" s="29"/>
      <c r="F374" s="64"/>
      <c r="G374" s="64"/>
    </row>
    <row r="375" spans="2:7">
      <c r="B375" s="60">
        <f t="shared" si="10"/>
        <v>1</v>
      </c>
      <c r="C375" s="60"/>
      <c r="D375" s="20"/>
      <c r="E375" s="29"/>
      <c r="F375" s="64"/>
      <c r="G375" s="64"/>
    </row>
    <row r="376" spans="2:7">
      <c r="B376" s="60">
        <f t="shared" si="10"/>
        <v>1</v>
      </c>
      <c r="C376" s="60"/>
      <c r="D376" s="20"/>
      <c r="E376" s="29"/>
      <c r="F376" s="64"/>
      <c r="G376" s="64"/>
    </row>
    <row r="377" spans="2:7">
      <c r="B377" s="60">
        <f t="shared" si="10"/>
        <v>1</v>
      </c>
      <c r="C377" s="60"/>
      <c r="D377" s="20"/>
      <c r="E377" s="29"/>
      <c r="F377" s="64"/>
      <c r="G377" s="64"/>
    </row>
    <row r="378" spans="2:7">
      <c r="B378" s="60">
        <f t="shared" si="10"/>
        <v>1</v>
      </c>
      <c r="C378" s="60"/>
      <c r="D378" s="20"/>
      <c r="E378" s="29"/>
      <c r="F378" s="64"/>
      <c r="G378" s="64"/>
    </row>
    <row r="379" spans="2:7">
      <c r="B379" s="60">
        <f t="shared" si="10"/>
        <v>1</v>
      </c>
      <c r="C379" s="60"/>
      <c r="D379" s="20"/>
      <c r="E379" s="29"/>
      <c r="F379" s="64"/>
      <c r="G379" s="64"/>
    </row>
    <row r="380" spans="2:7">
      <c r="B380" s="60">
        <f t="shared" si="10"/>
        <v>1</v>
      </c>
      <c r="C380" s="60"/>
      <c r="D380" s="20"/>
      <c r="E380" s="29"/>
      <c r="F380" s="64"/>
      <c r="G380" s="64"/>
    </row>
    <row r="381" spans="2:7">
      <c r="B381" s="60">
        <f t="shared" si="10"/>
        <v>1</v>
      </c>
      <c r="C381" s="60"/>
      <c r="D381" s="20"/>
      <c r="E381" s="29"/>
      <c r="F381" s="64"/>
      <c r="G381" s="64"/>
    </row>
    <row r="382" spans="2:7">
      <c r="B382" s="60">
        <f t="shared" si="10"/>
        <v>1</v>
      </c>
      <c r="C382" s="60"/>
      <c r="D382" s="20"/>
      <c r="E382" s="29"/>
      <c r="F382" s="64"/>
      <c r="G382" s="64"/>
    </row>
    <row r="383" spans="2:7">
      <c r="B383" s="60">
        <f t="shared" si="10"/>
        <v>1</v>
      </c>
      <c r="C383" s="60"/>
      <c r="D383" s="20"/>
      <c r="E383" s="29"/>
      <c r="F383" s="64"/>
      <c r="G383" s="64"/>
    </row>
    <row r="384" spans="2:7">
      <c r="B384" s="60">
        <f t="shared" si="10"/>
        <v>1</v>
      </c>
      <c r="C384" s="60"/>
      <c r="D384" s="20"/>
      <c r="E384" s="29"/>
      <c r="F384" s="64"/>
      <c r="G384" s="64"/>
    </row>
    <row r="385" spans="2:7">
      <c r="B385" s="60">
        <f t="shared" si="10"/>
        <v>1</v>
      </c>
      <c r="C385" s="60"/>
      <c r="D385" s="20"/>
      <c r="E385" s="29"/>
      <c r="F385" s="64"/>
      <c r="G385" s="64"/>
    </row>
    <row r="386" spans="2:7">
      <c r="B386" s="60">
        <f t="shared" si="10"/>
        <v>1</v>
      </c>
      <c r="C386" s="60"/>
      <c r="D386" s="20"/>
      <c r="E386" s="29"/>
      <c r="F386" s="64"/>
      <c r="G386" s="64"/>
    </row>
    <row r="387" spans="2:7">
      <c r="B387" s="60">
        <f t="shared" si="10"/>
        <v>1</v>
      </c>
      <c r="C387" s="60"/>
      <c r="D387" s="20"/>
      <c r="E387" s="29"/>
      <c r="F387" s="64"/>
      <c r="G387" s="64"/>
    </row>
    <row r="388" spans="2:7">
      <c r="B388" s="60">
        <f t="shared" si="10"/>
        <v>1</v>
      </c>
      <c r="C388" s="60"/>
      <c r="D388" s="20"/>
      <c r="E388" s="29"/>
      <c r="F388" s="64"/>
      <c r="G388" s="64"/>
    </row>
    <row r="389" spans="2:7">
      <c r="B389" s="60">
        <f t="shared" si="10"/>
        <v>1</v>
      </c>
      <c r="C389" s="60"/>
      <c r="D389" s="20"/>
      <c r="E389" s="29"/>
      <c r="F389" s="64"/>
      <c r="G389" s="64"/>
    </row>
    <row r="390" spans="2:7">
      <c r="B390" s="60">
        <f t="shared" si="10"/>
        <v>1</v>
      </c>
      <c r="C390" s="60"/>
      <c r="D390" s="20"/>
      <c r="E390" s="29"/>
      <c r="F390" s="64"/>
      <c r="G390" s="64"/>
    </row>
    <row r="391" spans="2:7">
      <c r="B391" s="60">
        <f t="shared" si="10"/>
        <v>1</v>
      </c>
      <c r="C391" s="60"/>
      <c r="D391" s="20"/>
      <c r="E391" s="29"/>
      <c r="F391" s="64"/>
      <c r="G391" s="64"/>
    </row>
    <row r="392" spans="2:7">
      <c r="B392" s="60">
        <f t="shared" si="10"/>
        <v>1</v>
      </c>
      <c r="C392" s="60"/>
      <c r="D392" s="20"/>
      <c r="E392" s="29"/>
      <c r="F392" s="64"/>
      <c r="G392" s="64"/>
    </row>
    <row r="393" spans="2:7">
      <c r="B393" s="60">
        <f t="shared" si="10"/>
        <v>1</v>
      </c>
      <c r="C393" s="60"/>
      <c r="D393" s="20"/>
      <c r="E393" s="29"/>
      <c r="F393" s="64"/>
      <c r="G393" s="64"/>
    </row>
    <row r="394" spans="2:7">
      <c r="B394" s="60">
        <f t="shared" si="10"/>
        <v>1</v>
      </c>
      <c r="C394" s="60"/>
      <c r="D394" s="20"/>
      <c r="E394" s="29"/>
      <c r="F394" s="64"/>
      <c r="G394" s="64"/>
    </row>
    <row r="395" spans="2:7">
      <c r="B395" s="60">
        <f t="shared" si="10"/>
        <v>1</v>
      </c>
      <c r="C395" s="60"/>
      <c r="D395" s="20"/>
      <c r="E395" s="29"/>
      <c r="F395" s="64"/>
      <c r="G395" s="64"/>
    </row>
    <row r="396" spans="2:7">
      <c r="B396" s="60">
        <f t="shared" si="10"/>
        <v>1</v>
      </c>
      <c r="C396" s="60"/>
      <c r="D396" s="20"/>
      <c r="E396" s="29"/>
      <c r="F396" s="64"/>
      <c r="G396" s="64"/>
    </row>
    <row r="397" spans="2:7">
      <c r="B397" s="60">
        <f t="shared" si="10"/>
        <v>1</v>
      </c>
      <c r="C397" s="60"/>
      <c r="D397" s="20"/>
      <c r="E397" s="29"/>
      <c r="F397" s="64"/>
      <c r="G397" s="64"/>
    </row>
    <row r="398" spans="2:7">
      <c r="B398" s="60">
        <f t="shared" si="10"/>
        <v>1</v>
      </c>
      <c r="C398" s="60"/>
      <c r="D398" s="20"/>
      <c r="E398" s="29"/>
      <c r="F398" s="64"/>
      <c r="G398" s="64"/>
    </row>
    <row r="399" spans="2:7">
      <c r="B399" s="60">
        <f t="shared" si="10"/>
        <v>1</v>
      </c>
      <c r="C399" s="60"/>
      <c r="D399" s="20"/>
      <c r="E399" s="29"/>
      <c r="F399" s="64"/>
      <c r="G399" s="64"/>
    </row>
    <row r="400" spans="2:7">
      <c r="B400" s="60">
        <f t="shared" si="10"/>
        <v>1</v>
      </c>
      <c r="C400" s="60"/>
      <c r="D400" s="20"/>
      <c r="E400" s="29"/>
      <c r="F400" s="64"/>
      <c r="G400" s="64"/>
    </row>
    <row r="401" spans="2:7">
      <c r="B401" s="60">
        <f t="shared" si="10"/>
        <v>1</v>
      </c>
      <c r="C401" s="60"/>
      <c r="D401" s="20"/>
      <c r="E401" s="29"/>
      <c r="F401" s="64"/>
      <c r="G401" s="64"/>
    </row>
    <row r="402" spans="2:7">
      <c r="B402" s="60">
        <f t="shared" si="10"/>
        <v>1</v>
      </c>
      <c r="C402" s="60"/>
      <c r="D402" s="20"/>
      <c r="E402" s="29"/>
      <c r="F402" s="64"/>
      <c r="G402" s="64"/>
    </row>
    <row r="403" spans="2:7">
      <c r="B403" s="60">
        <f t="shared" si="10"/>
        <v>1</v>
      </c>
      <c r="C403" s="60"/>
      <c r="D403" s="20"/>
      <c r="E403" s="29"/>
      <c r="F403" s="64"/>
      <c r="G403" s="64"/>
    </row>
    <row r="404" spans="2:7">
      <c r="B404" s="60">
        <f t="shared" si="10"/>
        <v>1</v>
      </c>
      <c r="C404" s="60"/>
      <c r="D404" s="20"/>
      <c r="E404" s="29"/>
      <c r="F404" s="64"/>
      <c r="G404" s="64"/>
    </row>
    <row r="405" spans="2:7">
      <c r="B405" s="60">
        <f t="shared" si="10"/>
        <v>1</v>
      </c>
      <c r="C405" s="60"/>
      <c r="D405" s="20"/>
      <c r="E405" s="29"/>
      <c r="F405" s="64"/>
      <c r="G405" s="64"/>
    </row>
    <row r="406" spans="2:7">
      <c r="B406" s="60">
        <f t="shared" si="10"/>
        <v>1</v>
      </c>
      <c r="C406" s="60"/>
      <c r="D406" s="20"/>
      <c r="E406" s="29"/>
      <c r="F406" s="64"/>
      <c r="G406" s="64"/>
    </row>
    <row r="407" spans="2:7">
      <c r="B407" s="60">
        <f t="shared" si="10"/>
        <v>1</v>
      </c>
      <c r="C407" s="60"/>
      <c r="D407" s="20"/>
      <c r="E407" s="29"/>
      <c r="F407" s="64"/>
      <c r="G407" s="64"/>
    </row>
    <row r="408" spans="2:7">
      <c r="B408" s="60">
        <f t="shared" si="10"/>
        <v>1</v>
      </c>
      <c r="C408" s="60"/>
      <c r="D408" s="20"/>
      <c r="E408" s="29"/>
      <c r="F408" s="64"/>
      <c r="G408" s="64"/>
    </row>
    <row r="409" spans="2:7">
      <c r="B409" s="60">
        <f t="shared" si="10"/>
        <v>1</v>
      </c>
      <c r="C409" s="60"/>
      <c r="D409" s="20"/>
      <c r="E409" s="29"/>
      <c r="F409" s="64"/>
      <c r="G409" s="64"/>
    </row>
    <row r="410" spans="2:7">
      <c r="B410" s="60">
        <f t="shared" si="10"/>
        <v>1</v>
      </c>
      <c r="C410" s="60"/>
      <c r="D410" s="20"/>
      <c r="E410" s="29"/>
      <c r="F410" s="64"/>
      <c r="G410" s="64"/>
    </row>
    <row r="411" spans="2:7">
      <c r="B411" s="60">
        <f t="shared" si="10"/>
        <v>1</v>
      </c>
      <c r="C411" s="60"/>
      <c r="D411" s="20"/>
      <c r="E411" s="29"/>
      <c r="F411" s="64"/>
      <c r="G411" s="64"/>
    </row>
    <row r="412" spans="2:7">
      <c r="B412" s="60">
        <f t="shared" si="10"/>
        <v>1</v>
      </c>
      <c r="C412" s="60"/>
      <c r="D412" s="20"/>
      <c r="E412" s="29"/>
      <c r="F412" s="64"/>
      <c r="G412" s="64"/>
    </row>
    <row r="413" spans="2:7">
      <c r="B413" s="60">
        <f t="shared" si="10"/>
        <v>1</v>
      </c>
      <c r="C413" s="60"/>
      <c r="D413" s="20"/>
      <c r="E413" s="29"/>
      <c r="F413" s="64"/>
      <c r="G413" s="64"/>
    </row>
    <row r="414" spans="2:7">
      <c r="B414" s="60">
        <f t="shared" si="10"/>
        <v>1</v>
      </c>
      <c r="C414" s="60"/>
      <c r="D414" s="20"/>
      <c r="E414" s="29"/>
      <c r="F414" s="64"/>
      <c r="G414" s="64"/>
    </row>
    <row r="415" spans="2:7">
      <c r="B415" s="60">
        <f t="shared" si="10"/>
        <v>1</v>
      </c>
      <c r="C415" s="60"/>
      <c r="D415" s="20"/>
      <c r="E415" s="29"/>
      <c r="F415" s="64"/>
      <c r="G415" s="64"/>
    </row>
    <row r="416" spans="2:7">
      <c r="B416" s="60">
        <f t="shared" si="10"/>
        <v>1</v>
      </c>
      <c r="C416" s="60"/>
      <c r="D416" s="20"/>
      <c r="E416" s="29"/>
      <c r="F416" s="64"/>
      <c r="G416" s="64"/>
    </row>
    <row r="417" spans="2:7">
      <c r="B417" s="60">
        <f t="shared" si="10"/>
        <v>1</v>
      </c>
      <c r="C417" s="60"/>
      <c r="D417" s="20"/>
      <c r="E417" s="29"/>
      <c r="F417" s="64"/>
      <c r="G417" s="64"/>
    </row>
    <row r="418" spans="2:7">
      <c r="B418" s="60">
        <f t="shared" si="10"/>
        <v>1</v>
      </c>
      <c r="C418" s="60"/>
      <c r="D418" s="20"/>
      <c r="E418" s="29"/>
      <c r="F418" s="64"/>
      <c r="G418" s="64"/>
    </row>
    <row r="419" spans="2:7">
      <c r="B419" s="60">
        <f t="shared" si="10"/>
        <v>1</v>
      </c>
      <c r="C419" s="60"/>
      <c r="D419" s="20"/>
      <c r="E419" s="29"/>
      <c r="F419" s="64"/>
      <c r="G419" s="64"/>
    </row>
    <row r="420" spans="2:7">
      <c r="B420" s="60">
        <f t="shared" si="10"/>
        <v>1</v>
      </c>
      <c r="C420" s="60"/>
      <c r="D420" s="20"/>
      <c r="E420" s="29"/>
      <c r="F420" s="64"/>
      <c r="G420" s="64"/>
    </row>
    <row r="421" spans="2:7">
      <c r="B421" s="60">
        <f t="shared" si="10"/>
        <v>1</v>
      </c>
      <c r="C421" s="60"/>
      <c r="D421" s="20"/>
      <c r="E421" s="29"/>
      <c r="F421" s="64"/>
      <c r="G421" s="64"/>
    </row>
    <row r="422" spans="2:7">
      <c r="B422" s="60">
        <f t="shared" si="10"/>
        <v>1</v>
      </c>
      <c r="C422" s="60"/>
      <c r="D422" s="20"/>
      <c r="E422" s="29"/>
      <c r="F422" s="64"/>
      <c r="G422" s="64"/>
    </row>
    <row r="423" spans="2:7">
      <c r="B423" s="60">
        <f t="shared" si="10"/>
        <v>1</v>
      </c>
      <c r="C423" s="60"/>
      <c r="D423" s="20"/>
      <c r="E423" s="29"/>
      <c r="F423" s="64"/>
      <c r="G423" s="64"/>
    </row>
    <row r="424" spans="2:7">
      <c r="B424" s="60">
        <f t="shared" si="10"/>
        <v>1</v>
      </c>
      <c r="C424" s="60"/>
      <c r="D424" s="20"/>
      <c r="E424" s="29"/>
      <c r="F424" s="64"/>
      <c r="G424" s="64"/>
    </row>
    <row r="425" spans="2:7">
      <c r="B425" s="60">
        <f t="shared" ref="B425:B467" si="11">MONTH(G425)</f>
        <v>1</v>
      </c>
      <c r="C425" s="60"/>
      <c r="D425" s="20"/>
      <c r="E425" s="29"/>
      <c r="F425" s="64"/>
      <c r="G425" s="64"/>
    </row>
    <row r="426" spans="2:7">
      <c r="B426" s="60">
        <f t="shared" si="11"/>
        <v>1</v>
      </c>
      <c r="C426" s="60"/>
      <c r="D426" s="20"/>
      <c r="E426" s="29"/>
      <c r="F426" s="64"/>
      <c r="G426" s="64"/>
    </row>
    <row r="427" spans="2:7">
      <c r="B427" s="60">
        <f t="shared" si="11"/>
        <v>1</v>
      </c>
      <c r="C427" s="60"/>
      <c r="D427" s="20"/>
      <c r="E427" s="29"/>
      <c r="F427" s="64"/>
      <c r="G427" s="64"/>
    </row>
    <row r="428" spans="2:7">
      <c r="B428" s="60">
        <f t="shared" si="11"/>
        <v>1</v>
      </c>
      <c r="C428" s="60"/>
      <c r="D428" s="20"/>
      <c r="E428" s="29"/>
      <c r="F428" s="64"/>
      <c r="G428" s="64"/>
    </row>
    <row r="429" spans="2:7">
      <c r="B429" s="60">
        <f t="shared" si="11"/>
        <v>1</v>
      </c>
      <c r="C429" s="60"/>
      <c r="D429" s="20"/>
      <c r="E429" s="29"/>
      <c r="F429" s="64"/>
      <c r="G429" s="64"/>
    </row>
    <row r="430" spans="2:7">
      <c r="B430" s="60">
        <f t="shared" si="11"/>
        <v>1</v>
      </c>
      <c r="C430" s="60"/>
      <c r="D430" s="20"/>
      <c r="E430" s="29"/>
      <c r="F430" s="64"/>
      <c r="G430" s="64"/>
    </row>
    <row r="431" spans="2:7">
      <c r="B431" s="60">
        <f t="shared" si="11"/>
        <v>1</v>
      </c>
      <c r="C431" s="60"/>
      <c r="D431" s="20"/>
      <c r="E431" s="29"/>
      <c r="F431" s="64"/>
      <c r="G431" s="64"/>
    </row>
    <row r="432" spans="2:7">
      <c r="B432" s="60">
        <f t="shared" si="11"/>
        <v>1</v>
      </c>
      <c r="C432" s="60"/>
      <c r="D432" s="20"/>
      <c r="E432" s="29"/>
      <c r="F432" s="64"/>
      <c r="G432" s="64"/>
    </row>
    <row r="433" spans="2:7">
      <c r="B433" s="60">
        <f t="shared" si="11"/>
        <v>1</v>
      </c>
      <c r="C433" s="60"/>
      <c r="D433" s="20"/>
      <c r="E433" s="29"/>
      <c r="F433" s="64"/>
      <c r="G433" s="64"/>
    </row>
    <row r="434" spans="2:7">
      <c r="B434" s="60">
        <f t="shared" si="11"/>
        <v>1</v>
      </c>
      <c r="C434" s="60"/>
      <c r="D434" s="20"/>
      <c r="E434" s="29"/>
      <c r="F434" s="64"/>
      <c r="G434" s="64"/>
    </row>
    <row r="435" spans="2:7">
      <c r="B435" s="60">
        <f t="shared" si="11"/>
        <v>1</v>
      </c>
      <c r="C435" s="60"/>
      <c r="D435" s="20"/>
      <c r="E435" s="29"/>
      <c r="F435" s="64"/>
      <c r="G435" s="64"/>
    </row>
    <row r="436" spans="2:7">
      <c r="B436" s="60">
        <f t="shared" si="11"/>
        <v>1</v>
      </c>
      <c r="C436" s="60"/>
      <c r="D436" s="20"/>
      <c r="E436" s="29"/>
      <c r="F436" s="64"/>
      <c r="G436" s="64"/>
    </row>
    <row r="437" spans="2:7">
      <c r="B437" s="60">
        <f t="shared" si="11"/>
        <v>1</v>
      </c>
      <c r="C437" s="60"/>
      <c r="D437" s="20"/>
      <c r="E437" s="29"/>
      <c r="F437" s="64"/>
      <c r="G437" s="64"/>
    </row>
    <row r="438" spans="2:7">
      <c r="B438" s="60">
        <f t="shared" si="11"/>
        <v>1</v>
      </c>
      <c r="C438" s="60"/>
      <c r="D438" s="20"/>
      <c r="E438" s="29"/>
      <c r="F438" s="64"/>
      <c r="G438" s="64"/>
    </row>
    <row r="439" spans="2:7">
      <c r="B439" s="60">
        <f t="shared" si="11"/>
        <v>1</v>
      </c>
      <c r="C439" s="60"/>
      <c r="D439" s="20"/>
      <c r="E439" s="29"/>
      <c r="F439" s="64"/>
      <c r="G439" s="64"/>
    </row>
    <row r="440" spans="2:7">
      <c r="B440" s="60">
        <f t="shared" si="11"/>
        <v>1</v>
      </c>
      <c r="C440" s="60"/>
      <c r="D440" s="20"/>
      <c r="E440" s="29"/>
      <c r="F440" s="64"/>
      <c r="G440" s="64"/>
    </row>
    <row r="441" spans="2:7">
      <c r="B441" s="60">
        <f t="shared" si="11"/>
        <v>1</v>
      </c>
      <c r="C441" s="60"/>
      <c r="D441" s="20"/>
      <c r="E441" s="29"/>
      <c r="F441" s="64"/>
      <c r="G441" s="64"/>
    </row>
    <row r="442" spans="2:7">
      <c r="B442" s="60">
        <f t="shared" si="11"/>
        <v>1</v>
      </c>
      <c r="C442" s="60"/>
      <c r="D442" s="20"/>
      <c r="E442" s="29"/>
      <c r="F442" s="64"/>
      <c r="G442" s="64"/>
    </row>
    <row r="443" spans="2:7">
      <c r="B443" s="60">
        <f t="shared" si="11"/>
        <v>1</v>
      </c>
      <c r="C443" s="60"/>
      <c r="D443" s="20"/>
      <c r="E443" s="29"/>
      <c r="F443" s="64"/>
      <c r="G443" s="64"/>
    </row>
    <row r="444" spans="2:7">
      <c r="B444" s="60">
        <f t="shared" si="11"/>
        <v>1</v>
      </c>
      <c r="C444" s="60"/>
      <c r="D444" s="20"/>
      <c r="E444" s="29"/>
      <c r="F444" s="64"/>
      <c r="G444" s="64"/>
    </row>
    <row r="445" spans="2:7">
      <c r="B445" s="60">
        <f t="shared" si="11"/>
        <v>1</v>
      </c>
      <c r="C445" s="60"/>
      <c r="D445" s="20"/>
      <c r="E445" s="29"/>
      <c r="F445" s="64"/>
      <c r="G445" s="64"/>
    </row>
    <row r="446" spans="2:7">
      <c r="B446" s="60">
        <f t="shared" si="11"/>
        <v>1</v>
      </c>
      <c r="C446" s="60"/>
      <c r="D446" s="20"/>
      <c r="E446" s="29"/>
      <c r="F446" s="64"/>
      <c r="G446" s="64"/>
    </row>
    <row r="447" spans="2:7">
      <c r="B447" s="60">
        <f t="shared" si="11"/>
        <v>1</v>
      </c>
      <c r="C447" s="60"/>
      <c r="D447" s="20"/>
      <c r="E447" s="29"/>
      <c r="F447" s="64"/>
      <c r="G447" s="64"/>
    </row>
    <row r="448" spans="2:7">
      <c r="B448" s="60">
        <f t="shared" si="11"/>
        <v>1</v>
      </c>
      <c r="C448" s="60"/>
      <c r="D448" s="20"/>
      <c r="E448" s="29"/>
      <c r="F448" s="64"/>
      <c r="G448" s="64"/>
    </row>
    <row r="449" spans="2:7">
      <c r="B449" s="60">
        <f t="shared" si="11"/>
        <v>1</v>
      </c>
      <c r="C449" s="60"/>
      <c r="D449" s="20"/>
      <c r="E449" s="29"/>
      <c r="F449" s="64"/>
      <c r="G449" s="64"/>
    </row>
    <row r="450" spans="2:7">
      <c r="B450" s="60">
        <f t="shared" si="11"/>
        <v>1</v>
      </c>
      <c r="C450" s="60"/>
      <c r="D450" s="20"/>
      <c r="E450" s="29"/>
      <c r="F450" s="64"/>
      <c r="G450" s="64"/>
    </row>
    <row r="451" spans="2:7">
      <c r="B451" s="60">
        <f t="shared" si="11"/>
        <v>1</v>
      </c>
      <c r="C451" s="60"/>
      <c r="D451" s="20"/>
      <c r="E451" s="29"/>
      <c r="F451" s="64"/>
      <c r="G451" s="64"/>
    </row>
    <row r="452" spans="2:7">
      <c r="B452" s="60">
        <f t="shared" si="11"/>
        <v>1</v>
      </c>
      <c r="C452" s="60"/>
      <c r="D452" s="20"/>
      <c r="E452" s="29"/>
      <c r="F452" s="64"/>
      <c r="G452" s="64"/>
    </row>
    <row r="453" spans="2:7">
      <c r="B453" s="60">
        <f t="shared" si="11"/>
        <v>1</v>
      </c>
      <c r="C453" s="60"/>
      <c r="D453" s="20"/>
      <c r="E453" s="29"/>
      <c r="F453" s="64"/>
      <c r="G453" s="64"/>
    </row>
    <row r="454" spans="2:7">
      <c r="B454" s="60">
        <f t="shared" si="11"/>
        <v>1</v>
      </c>
      <c r="C454" s="60"/>
      <c r="D454" s="20"/>
      <c r="E454" s="29"/>
      <c r="F454" s="64"/>
      <c r="G454" s="64"/>
    </row>
    <row r="455" spans="2:7">
      <c r="B455" s="60">
        <f t="shared" si="11"/>
        <v>1</v>
      </c>
      <c r="C455" s="60"/>
      <c r="D455" s="20"/>
      <c r="E455" s="29"/>
      <c r="F455" s="64"/>
      <c r="G455" s="64"/>
    </row>
    <row r="456" spans="2:7">
      <c r="B456" s="60">
        <f t="shared" si="11"/>
        <v>1</v>
      </c>
      <c r="C456" s="60"/>
      <c r="D456" s="20"/>
      <c r="E456" s="29"/>
      <c r="F456" s="64"/>
      <c r="G456" s="64"/>
    </row>
    <row r="457" spans="2:7">
      <c r="B457" s="60">
        <f t="shared" si="11"/>
        <v>1</v>
      </c>
      <c r="C457" s="60"/>
      <c r="D457" s="20"/>
      <c r="E457" s="29"/>
      <c r="F457" s="64"/>
      <c r="G457" s="64"/>
    </row>
    <row r="458" spans="2:7">
      <c r="B458" s="60">
        <f t="shared" si="11"/>
        <v>1</v>
      </c>
      <c r="C458" s="60"/>
      <c r="D458" s="20"/>
      <c r="E458" s="29"/>
      <c r="F458" s="64"/>
      <c r="G458" s="64"/>
    </row>
    <row r="459" spans="2:7">
      <c r="B459" s="60">
        <f t="shared" si="11"/>
        <v>1</v>
      </c>
      <c r="C459" s="60"/>
      <c r="D459" s="20"/>
      <c r="E459" s="29"/>
      <c r="F459" s="64"/>
      <c r="G459" s="64"/>
    </row>
    <row r="460" spans="2:7">
      <c r="B460" s="60">
        <f t="shared" si="11"/>
        <v>1</v>
      </c>
      <c r="C460" s="60"/>
      <c r="D460" s="20"/>
      <c r="E460" s="29"/>
      <c r="F460" s="64"/>
      <c r="G460" s="64"/>
    </row>
    <row r="461" spans="2:7">
      <c r="B461" s="60">
        <f t="shared" si="11"/>
        <v>1</v>
      </c>
      <c r="C461" s="60"/>
      <c r="D461" s="20"/>
      <c r="E461" s="29"/>
      <c r="F461" s="64"/>
      <c r="G461" s="64"/>
    </row>
    <row r="462" spans="2:7">
      <c r="B462" s="60">
        <f t="shared" si="11"/>
        <v>1</v>
      </c>
      <c r="C462" s="60"/>
      <c r="D462" s="20"/>
      <c r="E462" s="29"/>
      <c r="F462" s="64"/>
      <c r="G462" s="64"/>
    </row>
    <row r="463" spans="2:7">
      <c r="B463" s="60">
        <f t="shared" si="11"/>
        <v>1</v>
      </c>
      <c r="C463" s="60"/>
      <c r="D463" s="20"/>
      <c r="E463" s="29"/>
      <c r="F463" s="64"/>
      <c r="G463" s="64"/>
    </row>
    <row r="464" spans="2:7">
      <c r="B464" s="60">
        <f t="shared" si="11"/>
        <v>1</v>
      </c>
      <c r="C464" s="60"/>
      <c r="D464" s="20"/>
      <c r="E464" s="29"/>
      <c r="F464" s="64"/>
      <c r="G464" s="64"/>
    </row>
    <row r="465" spans="2:7">
      <c r="B465" s="60">
        <f t="shared" si="11"/>
        <v>1</v>
      </c>
      <c r="C465" s="60"/>
      <c r="D465" s="20"/>
      <c r="E465" s="29"/>
      <c r="F465" s="64"/>
      <c r="G465" s="64"/>
    </row>
    <row r="466" spans="2:7">
      <c r="B466" s="60">
        <f t="shared" si="11"/>
        <v>1</v>
      </c>
      <c r="C466" s="60"/>
      <c r="D466" s="20"/>
      <c r="E466" s="29"/>
      <c r="F466" s="64"/>
      <c r="G466" s="64"/>
    </row>
    <row r="467" spans="2:7">
      <c r="B467" s="60">
        <f t="shared" si="11"/>
        <v>1</v>
      </c>
      <c r="C467" s="60"/>
      <c r="D467" s="20"/>
      <c r="E467" s="29"/>
      <c r="F467" s="64"/>
      <c r="G467" s="64"/>
    </row>
  </sheetData>
  <autoFilter ref="B2:I2"/>
  <sortState ref="B3:G468">
    <sortCondition ref="G3:G468"/>
    <sortCondition ref="D3:D468"/>
  </sortState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pageSetUpPr fitToPage="1"/>
  </sheetPr>
  <dimension ref="A1:U133"/>
  <sheetViews>
    <sheetView showGridLines="0" zoomScale="90" zoomScaleNormal="90" workbookViewId="0">
      <pane xSplit="2" ySplit="15" topLeftCell="C16" activePane="bottomRight" state="frozen"/>
      <selection pane="topRight" activeCell="M30" sqref="M30"/>
      <selection pane="bottomLeft" activeCell="M30" sqref="M30"/>
      <selection pane="bottomRight" activeCell="L16" sqref="L16"/>
    </sheetView>
  </sheetViews>
  <sheetFormatPr defaultColWidth="8.75" defaultRowHeight="14.25"/>
  <cols>
    <col min="1" max="1" width="3.5" style="124" bestFit="1" customWidth="1"/>
    <col min="2" max="2" width="17.375" style="1" customWidth="1"/>
    <col min="3" max="3" width="10" style="1" customWidth="1"/>
    <col min="4" max="14" width="9.75" style="1" customWidth="1"/>
    <col min="15" max="15" width="11.125" style="1" customWidth="1"/>
    <col min="16" max="16" width="10" style="1" bestFit="1" customWidth="1"/>
    <col min="17" max="17" width="8.75" style="1"/>
    <col min="18" max="18" width="9.125" style="1" bestFit="1" customWidth="1"/>
    <col min="19" max="16384" width="8.75" style="1"/>
  </cols>
  <sheetData>
    <row r="1" spans="1:21">
      <c r="C1" s="46">
        <v>1</v>
      </c>
      <c r="D1" s="46">
        <v>2</v>
      </c>
      <c r="E1" s="46">
        <v>3</v>
      </c>
      <c r="F1" s="46">
        <v>4</v>
      </c>
      <c r="G1" s="46">
        <v>5</v>
      </c>
      <c r="H1" s="46">
        <v>6</v>
      </c>
      <c r="I1" s="46">
        <v>7</v>
      </c>
      <c r="J1" s="46">
        <v>8</v>
      </c>
      <c r="K1" s="46">
        <v>9</v>
      </c>
      <c r="L1" s="46">
        <v>10</v>
      </c>
      <c r="M1" s="46">
        <v>11</v>
      </c>
      <c r="N1" s="46">
        <v>12</v>
      </c>
    </row>
    <row r="2" spans="1:21">
      <c r="B2" s="2"/>
      <c r="C2" s="3" t="s">
        <v>14</v>
      </c>
      <c r="D2" s="3" t="s">
        <v>33</v>
      </c>
      <c r="E2" s="3" t="s">
        <v>55</v>
      </c>
      <c r="F2" s="3" t="s">
        <v>59</v>
      </c>
      <c r="G2" s="3" t="s">
        <v>64</v>
      </c>
      <c r="H2" s="3" t="s">
        <v>66</v>
      </c>
      <c r="I2" s="3" t="s">
        <v>70</v>
      </c>
      <c r="J2" s="3" t="s">
        <v>75</v>
      </c>
      <c r="K2" s="3" t="s">
        <v>81</v>
      </c>
      <c r="L2" s="3" t="s">
        <v>82</v>
      </c>
      <c r="M2" s="3" t="s">
        <v>83</v>
      </c>
      <c r="N2" s="3" t="s">
        <v>84</v>
      </c>
      <c r="O2" s="6">
        <v>2019</v>
      </c>
      <c r="R2" s="14"/>
      <c r="U2" s="14"/>
    </row>
    <row r="3" spans="1:21">
      <c r="B3" s="4" t="s">
        <v>85</v>
      </c>
      <c r="C3" s="23">
        <f>-(SUMIFS(despesas!$D:$D,despesas!$B:$B,resumo_mens!C$1,despesas!$E:$E,resumo_mens!$B3))</f>
        <v>-2000</v>
      </c>
      <c r="D3" s="23">
        <f>-(SUMIFS(despesas!$D:$D,despesas!$B:$B,resumo_mens!D$1,despesas!$E:$E,resumo_mens!$B3))</f>
        <v>-2000</v>
      </c>
      <c r="E3" s="23">
        <f>-(SUMIFS(despesas!$D:$D,despesas!$B:$B,resumo_mens!E$1,despesas!$E:$E,resumo_mens!$B3))</f>
        <v>-2000</v>
      </c>
      <c r="F3" s="23">
        <f>-(SUMIFS(despesas!$D:$D,despesas!$B:$B,resumo_mens!F$1,despesas!$E:$E,resumo_mens!$B3))</f>
        <v>-2000</v>
      </c>
      <c r="G3" s="23">
        <f>-(SUMIFS(despesas!$D:$D,despesas!$B:$B,resumo_mens!G$1,despesas!$E:$E,resumo_mens!$B3))</f>
        <v>-2000</v>
      </c>
      <c r="H3" s="23">
        <f>-(SUMIFS(despesas!$D:$D,despesas!$B:$B,resumo_mens!H$1,despesas!$E:$E,resumo_mens!$B3))</f>
        <v>-2000</v>
      </c>
      <c r="I3" s="23">
        <f>-(SUMIFS(despesas!$D:$D,despesas!$B:$B,resumo_mens!I$1,despesas!$E:$E,resumo_mens!$B3))</f>
        <v>-2000</v>
      </c>
      <c r="J3" s="23">
        <f>-(SUMIFS(despesas!$D:$D,despesas!$B:$B,resumo_mens!J$1,despesas!$E:$E,resumo_mens!$B3))</f>
        <v>-1558</v>
      </c>
      <c r="K3" s="23">
        <f>-(SUMIFS(despesas!$D:$D,despesas!$B:$B,resumo_mens!K$1,despesas!$E:$E,resumo_mens!$B3))</f>
        <v>-2000</v>
      </c>
      <c r="L3" s="23">
        <f>-(SUMIFS(despesas!$D:$D,despesas!$B:$B,resumo_mens!L$1,despesas!$E:$E,resumo_mens!$B3))</f>
        <v>0</v>
      </c>
      <c r="M3" s="23">
        <f>-(SUMIFS(despesas!$D:$D,despesas!$B:$B,resumo_mens!M$1,despesas!$E:$E,resumo_mens!$B3))</f>
        <v>0</v>
      </c>
      <c r="N3" s="23">
        <f>-(SUMIFS(despesas!$D:$D,despesas!$B:$B,resumo_mens!N$1,despesas!$E:$E,resumo_mens!$B3))</f>
        <v>0</v>
      </c>
      <c r="O3" s="24">
        <f>SUM(C3:N3)</f>
        <v>-17558</v>
      </c>
      <c r="R3" s="14"/>
      <c r="U3" s="14"/>
    </row>
    <row r="4" spans="1:21">
      <c r="B4" s="4" t="s">
        <v>86</v>
      </c>
      <c r="C4" s="23">
        <f>-(SUMIFS(despesas!$D:$D,despesas!$B:$B,resumo_mens!C$1,despesas!$E:$E,resumo_mens!$B4))</f>
        <v>-515.87</v>
      </c>
      <c r="D4" s="23">
        <f>-(SUMIFS(despesas!$D:$D,despesas!$B:$B,resumo_mens!D$1,despesas!$E:$E,resumo_mens!$B4))</f>
        <v>-306.17</v>
      </c>
      <c r="E4" s="23">
        <f>-(SUMIFS(despesas!$D:$D,despesas!$B:$B,resumo_mens!E$1,despesas!$E:$E,resumo_mens!$B4))</f>
        <v>-357.43</v>
      </c>
      <c r="F4" s="23">
        <f>-(SUMIFS(despesas!$D:$D,despesas!$B:$B,resumo_mens!F$1,despesas!$E:$E,resumo_mens!$B4))</f>
        <v>0</v>
      </c>
      <c r="G4" s="23">
        <f>-(SUMIFS(despesas!$D:$D,despesas!$B:$B,resumo_mens!G$1,despesas!$E:$E,resumo_mens!$B4))</f>
        <v>0</v>
      </c>
      <c r="H4" s="23">
        <f>-(SUMIFS(despesas!$D:$D,despesas!$B:$B,resumo_mens!H$1,despesas!$E:$E,resumo_mens!$B4))</f>
        <v>0</v>
      </c>
      <c r="I4" s="23">
        <f>-(SUMIFS(despesas!$D:$D,despesas!$B:$B,resumo_mens!I$1,despesas!$E:$E,resumo_mens!$B4))</f>
        <v>0</v>
      </c>
      <c r="J4" s="23">
        <f>-(SUMIFS(despesas!$D:$D,despesas!$B:$B,resumo_mens!J$1,despesas!$E:$E,resumo_mens!$B4))</f>
        <v>-217.42</v>
      </c>
      <c r="K4" s="23">
        <f>-(SUMIFS(despesas!$D:$D,despesas!$B:$B,resumo_mens!K$1,despesas!$E:$E,resumo_mens!$B4))</f>
        <v>-217</v>
      </c>
      <c r="L4" s="23">
        <f>-(SUMIFS(despesas!$D:$D,despesas!$B:$B,resumo_mens!L$1,despesas!$E:$E,resumo_mens!$B4))</f>
        <v>0</v>
      </c>
      <c r="M4" s="23">
        <f>-(SUMIFS(despesas!$D:$D,despesas!$B:$B,resumo_mens!M$1,despesas!$E:$E,resumo_mens!$B4))</f>
        <v>0</v>
      </c>
      <c r="N4" s="23">
        <f>-(SUMIFS(despesas!$D:$D,despesas!$B:$B,resumo_mens!N$1,despesas!$E:$E,resumo_mens!$B4))</f>
        <v>0</v>
      </c>
      <c r="O4" s="24">
        <f t="shared" ref="O4:O10" si="0">SUM(C4:N4)</f>
        <v>-1613.89</v>
      </c>
      <c r="Q4" s="14"/>
    </row>
    <row r="5" spans="1:21">
      <c r="B5" s="4" t="s">
        <v>87</v>
      </c>
      <c r="C5" s="23">
        <f>-(SUMIFS(despesas!$D:$D,despesas!$B:$B,resumo_mens!C$1,despesas!$E:$E,resumo_mens!$B5))</f>
        <v>-102</v>
      </c>
      <c r="D5" s="23">
        <f>-(SUMIFS(despesas!$D:$D,despesas!$B:$B,resumo_mens!D$1,despesas!$E:$E,resumo_mens!$B5))</f>
        <v>-102</v>
      </c>
      <c r="E5" s="23">
        <f>-(SUMIFS(despesas!$D:$D,despesas!$B:$B,resumo_mens!E$1,despesas!$E:$E,resumo_mens!$B5))</f>
        <v>-102</v>
      </c>
      <c r="F5" s="23">
        <f>-(SUMIFS(despesas!$D:$D,despesas!$B:$B,resumo_mens!F$1,despesas!$E:$E,resumo_mens!$B5))</f>
        <v>-102</v>
      </c>
      <c r="G5" s="23">
        <f>-(SUMIFS(despesas!$D:$D,despesas!$B:$B,resumo_mens!G$1,despesas!$E:$E,resumo_mens!$B5))</f>
        <v>-102</v>
      </c>
      <c r="H5" s="23">
        <f>-(SUMIFS(despesas!$D:$D,despesas!$B:$B,resumo_mens!H$1,despesas!$E:$E,resumo_mens!$B5))</f>
        <v>-102</v>
      </c>
      <c r="I5" s="23">
        <f>-(SUMIFS(despesas!$D:$D,despesas!$B:$B,resumo_mens!I$1,despesas!$E:$E,resumo_mens!$B5))</f>
        <v>-102</v>
      </c>
      <c r="J5" s="23">
        <f>-(SUMIFS(despesas!$D:$D,despesas!$B:$B,resumo_mens!J$1,despesas!$E:$E,resumo_mens!$B5))</f>
        <v>-102</v>
      </c>
      <c r="K5" s="23">
        <f>-(SUMIFS(despesas!$D:$D,despesas!$B:$B,resumo_mens!K$1,despesas!$E:$E,resumo_mens!$B5))</f>
        <v>-102</v>
      </c>
      <c r="L5" s="23">
        <f>-(SUMIFS(despesas!$D:$D,despesas!$B:$B,resumo_mens!L$1,despesas!$E:$E,resumo_mens!$B5))</f>
        <v>0</v>
      </c>
      <c r="M5" s="23">
        <f>-(SUMIFS(despesas!$D:$D,despesas!$B:$B,resumo_mens!M$1,despesas!$E:$E,resumo_mens!$B5))</f>
        <v>0</v>
      </c>
      <c r="N5" s="23">
        <f>-(SUMIFS(despesas!$D:$D,despesas!$B:$B,resumo_mens!N$1,despesas!$E:$E,resumo_mens!$B5))</f>
        <v>0</v>
      </c>
      <c r="O5" s="24">
        <f t="shared" si="0"/>
        <v>-918</v>
      </c>
      <c r="Q5" s="14"/>
    </row>
    <row r="6" spans="1:21">
      <c r="B6" s="130" t="s">
        <v>88</v>
      </c>
      <c r="C6" s="23">
        <f>-(SUMIFS(despesas!$D:$D,despesas!$B:$B,resumo_mens!C$1,despesas!$E:$E,resumo_mens!$B6))</f>
        <v>0</v>
      </c>
      <c r="D6" s="23">
        <f>-(SUMIFS(despesas!$D:$D,despesas!$B:$B,resumo_mens!D$1,despesas!$E:$E,resumo_mens!$B6))</f>
        <v>-202.4</v>
      </c>
      <c r="E6" s="23">
        <f>-(SUMIFS(despesas!$D:$D,despesas!$B:$B,resumo_mens!E$1,despesas!$E:$E,resumo_mens!$B6))</f>
        <v>-202.4</v>
      </c>
      <c r="F6" s="23">
        <f>-(SUMIFS(despesas!$D:$D,despesas!$B:$B,resumo_mens!F$1,despesas!$E:$E,resumo_mens!$B6))</f>
        <v>-202.4</v>
      </c>
      <c r="G6" s="23">
        <f>-(SUMIFS(despesas!$D:$D,despesas!$B:$B,resumo_mens!G$1,despesas!$E:$E,resumo_mens!$B6))</f>
        <v>-202.4</v>
      </c>
      <c r="H6" s="23">
        <f>-(SUMIFS(despesas!$D:$D,despesas!$B:$B,resumo_mens!H$1,despesas!$E:$E,resumo_mens!$B6))</f>
        <v>-202.4</v>
      </c>
      <c r="I6" s="23">
        <f>-(SUMIFS(despesas!$D:$D,despesas!$B:$B,resumo_mens!I$1,despesas!$E:$E,resumo_mens!$B6))</f>
        <v>-202.4</v>
      </c>
      <c r="J6" s="23">
        <f>-(SUMIFS(despesas!$D:$D,despesas!$B:$B,resumo_mens!J$1,despesas!$E:$E,resumo_mens!$B6))</f>
        <v>0</v>
      </c>
      <c r="K6" s="23">
        <f>-(SUMIFS(despesas!$D:$D,despesas!$B:$B,resumo_mens!K$1,despesas!$E:$E,resumo_mens!$B6))</f>
        <v>-23.2</v>
      </c>
      <c r="L6" s="23">
        <f>-(SUMIFS(despesas!$D:$D,despesas!$B:$B,resumo_mens!L$1,despesas!$E:$E,resumo_mens!$B6))</f>
        <v>0</v>
      </c>
      <c r="M6" s="23">
        <f>-(SUMIFS(despesas!$D:$D,despesas!$B:$B,resumo_mens!M$1,despesas!$E:$E,resumo_mens!$B6))</f>
        <v>0</v>
      </c>
      <c r="N6" s="23">
        <f>-(SUMIFS(despesas!$D:$D,despesas!$B:$B,resumo_mens!N$1,despesas!$E:$E,resumo_mens!$B6))</f>
        <v>0</v>
      </c>
      <c r="O6" s="24">
        <f t="shared" si="0"/>
        <v>-1237.6000000000001</v>
      </c>
      <c r="Q6" s="14"/>
    </row>
    <row r="7" spans="1:21">
      <c r="B7" s="130" t="s">
        <v>89</v>
      </c>
      <c r="C7" s="131">
        <f>SUMIF($C$1:$N$1,'Eventos e Doações'!$C$1:$N$1,'Eventos e Doações'!$C$8:$N$8)</f>
        <v>0</v>
      </c>
      <c r="D7" s="131">
        <f>SUMIF($C$1:$N$1,'Eventos e Doações'!$C$1:$N$1,'Eventos e Doações'!$C$8:$N$8)</f>
        <v>0</v>
      </c>
      <c r="E7" s="131">
        <f>SUMIF($C$1:$N$1,'Eventos e Doações'!$C$1:$N$1,'Eventos e Doações'!$C$8:$N$8)</f>
        <v>0</v>
      </c>
      <c r="F7" s="131">
        <f>SUMIF($C$1:$N$1,'Eventos e Doações'!$C$1:$N$1,'Eventos e Doações'!$C$8:$N$8)</f>
        <v>0</v>
      </c>
      <c r="G7" s="131">
        <f>SUMIF($C$1:$N$1,'Eventos e Doações'!$C$1:$N$1,'Eventos e Doações'!$C$8:$N$8)</f>
        <v>0</v>
      </c>
      <c r="H7" s="131">
        <f>SUMIF($C$1:$N$1,'Eventos e Doações'!$C$1:$N$1,'Eventos e Doações'!$C$8:$N$8)</f>
        <v>0</v>
      </c>
      <c r="I7" s="131">
        <f>SUMIF($C$1:$N$1,'Eventos e Doações'!$C$1:$N$1,'Eventos e Doações'!$C$8:$N$8)</f>
        <v>0</v>
      </c>
      <c r="J7" s="131">
        <f>SUMIF($C$1:$N$1,'Eventos e Doações'!$C$1:$N$1,'Eventos e Doações'!$C$8:$N$8)</f>
        <v>-258</v>
      </c>
      <c r="K7" s="131">
        <f>SUMIF($C$1:$N$1,'Eventos e Doações'!$C$1:$N$1,'Eventos e Doações'!$C$8:$N$8)</f>
        <v>-44</v>
      </c>
      <c r="L7" s="131">
        <f>SUMIF($C$1:$N$1,'Eventos e Doações'!$C$1:$N$1,'Eventos e Doações'!$C$8:$N$8)</f>
        <v>0</v>
      </c>
      <c r="M7" s="131">
        <f>SUMIF($C$1:$N$1,'Eventos e Doações'!$C$1:$N$1,'Eventos e Doações'!$C$8:$N$8)</f>
        <v>0</v>
      </c>
      <c r="N7" s="131">
        <f>SUMIF($C$1:$N$1,'Eventos e Doações'!$C$1:$N$1,'Eventos e Doações'!$C$8:$N$8)</f>
        <v>0</v>
      </c>
      <c r="O7" s="24">
        <f t="shared" si="0"/>
        <v>-302</v>
      </c>
      <c r="Q7" s="14"/>
    </row>
    <row r="8" spans="1:21" ht="15" thickBot="1">
      <c r="B8" s="8" t="s">
        <v>90</v>
      </c>
      <c r="C8" s="25">
        <f>-(SUMIFS(despesas!$D:$D,despesas!$B:$B,resumo_mens!C$1,despesas!$E:$E,resumo_mens!$B8))</f>
        <v>0</v>
      </c>
      <c r="D8" s="25">
        <f>-(SUMIFS(despesas!$D:$D,despesas!$B:$B,resumo_mens!D$1,despesas!$E:$E,resumo_mens!$B8))</f>
        <v>0</v>
      </c>
      <c r="E8" s="25">
        <f>-(SUMIFS(despesas!$D:$D,despesas!$B:$B,resumo_mens!E$1,despesas!$E:$E,resumo_mens!$B8))</f>
        <v>0</v>
      </c>
      <c r="F8" s="25">
        <f>-(SUMIFS(despesas!$D:$D,despesas!$B:$B,resumo_mens!F$1,despesas!$E:$E,resumo_mens!$B8))</f>
        <v>0</v>
      </c>
      <c r="G8" s="25">
        <f>-(SUMIFS(despesas!$D:$D,despesas!$B:$B,resumo_mens!G$1,despesas!$E:$E,resumo_mens!$B8))</f>
        <v>0</v>
      </c>
      <c r="H8" s="25">
        <f>-(SUMIFS(despesas!$D:$D,despesas!$B:$B,resumo_mens!H$1,despesas!$E:$E,resumo_mens!$B8))</f>
        <v>-50</v>
      </c>
      <c r="I8" s="25">
        <f>-(SUMIFS(despesas!$D:$D,despesas!$B:$B,resumo_mens!I$1,despesas!$E:$E,resumo_mens!$B8))</f>
        <v>0</v>
      </c>
      <c r="J8" s="25">
        <f>-(SUMIFS(despesas!$D:$D,despesas!$B:$B,resumo_mens!J$1,despesas!$E:$E,resumo_mens!$B8))</f>
        <v>-50</v>
      </c>
      <c r="K8" s="25">
        <f>-(SUMIFS(despesas!$D:$D,despesas!$B:$B,resumo_mens!K$1,despesas!$E:$E,resumo_mens!$B8))</f>
        <v>0</v>
      </c>
      <c r="L8" s="25">
        <f>-(SUMIFS(despesas!$D:$D,despesas!$B:$B,resumo_mens!L$1,despesas!$E:$E,resumo_mens!$B8))</f>
        <v>0</v>
      </c>
      <c r="M8" s="25">
        <f>-(SUMIFS(despesas!$D:$D,despesas!$B:$B,resumo_mens!M$1,despesas!$E:$E,resumo_mens!$B8))</f>
        <v>0</v>
      </c>
      <c r="N8" s="25">
        <f>-(SUMIFS(despesas!$D:$D,despesas!$B:$B,resumo_mens!N$1,despesas!$E:$E,resumo_mens!$B8))</f>
        <v>0</v>
      </c>
      <c r="O8" s="26">
        <f t="shared" si="0"/>
        <v>-100</v>
      </c>
      <c r="S8" s="14"/>
    </row>
    <row r="9" spans="1:21" ht="16.5" thickTop="1" thickBot="1">
      <c r="B9" s="7" t="s">
        <v>554</v>
      </c>
      <c r="C9" s="150">
        <f>SUM(C3:C8)</f>
        <v>-2617.87</v>
      </c>
      <c r="D9" s="150">
        <f t="shared" ref="D9:N9" si="1">SUM(D3:D8)</f>
        <v>-2610.5700000000002</v>
      </c>
      <c r="E9" s="150">
        <f t="shared" si="1"/>
        <v>-2661.83</v>
      </c>
      <c r="F9" s="150">
        <f t="shared" si="1"/>
        <v>-2304.4</v>
      </c>
      <c r="G9" s="150">
        <f t="shared" si="1"/>
        <v>-2304.4</v>
      </c>
      <c r="H9" s="150">
        <f t="shared" si="1"/>
        <v>-2354.4</v>
      </c>
      <c r="I9" s="150">
        <f t="shared" si="1"/>
        <v>-2304.4</v>
      </c>
      <c r="J9" s="150">
        <f t="shared" si="1"/>
        <v>-2185.42</v>
      </c>
      <c r="K9" s="150">
        <f t="shared" si="1"/>
        <v>-2386.1999999999998</v>
      </c>
      <c r="L9" s="150">
        <f t="shared" si="1"/>
        <v>0</v>
      </c>
      <c r="M9" s="150">
        <f t="shared" si="1"/>
        <v>0</v>
      </c>
      <c r="N9" s="150">
        <f t="shared" si="1"/>
        <v>0</v>
      </c>
      <c r="O9" s="26">
        <f t="shared" si="0"/>
        <v>-21729.49</v>
      </c>
      <c r="S9" s="14"/>
    </row>
    <row r="10" spans="1:21" ht="16.5" hidden="1" thickTop="1" thickBot="1">
      <c r="B10" s="7" t="s">
        <v>158</v>
      </c>
      <c r="C10" s="27">
        <f>SUM(C3:C8)</f>
        <v>-2617.87</v>
      </c>
      <c r="D10" s="27">
        <f>SUM(D3:D8)+SUMIF(Prato!$B:$B,resumo_mens!D1,Prato!$E:$E)+SUMIF(banho!$A:$A,resumo_mens!D1,banho!$E:$E)+SUMIF(arrecadações!$A:$A,resumo_mens!D1,arrecadações!$E:$E)</f>
        <v>-2610.5700000000002</v>
      </c>
      <c r="E10" s="27">
        <f>SUM(E3:E8)+SUMIF(Prato!$B:$B,resumo_mens!E1,Prato!$E:$E)+SUMIF(banho!$A:$A,resumo_mens!E1,banho!$E:$E)+SUMIF(arrecadações!$A:$A,resumo_mens!E1,arrecadações!$E:$E)</f>
        <v>-2661.83</v>
      </c>
      <c r="F10" s="27">
        <f>SUM(F3:F8)+SUMIF(Prato!$B:$B,resumo_mens!F1,Prato!$E:$E)+SUMIF(banho!$A:$A,resumo_mens!F1,banho!$E:$E)+SUMIF(arrecadações!$A:$A,resumo_mens!F1,arrecadações!$E:$E)</f>
        <v>-2079.4</v>
      </c>
      <c r="G10" s="27">
        <f>SUM(G3:G8)+SUMIF(Prato!$B:$B,resumo_mens!G1,Prato!$E:$E)+SUMIF(banho!$A:$A,resumo_mens!G1,banho!$E:$E)+SUMIF(arrecadações!$A:$A,resumo_mens!G1,arrecadações!$E:$E)</f>
        <v>-2013.4</v>
      </c>
      <c r="H10" s="27">
        <f>SUM(H3:H8)+SUMIF(Prato!$B:$B,resumo_mens!H1,Prato!$E:$E)+SUMIF(banho!$A:$A,resumo_mens!H1,banho!$E:$E)+SUMIF(arrecadações!$A:$A,resumo_mens!H1,arrecadações!$E:$E)</f>
        <v>-2048.4</v>
      </c>
      <c r="I10" s="27">
        <f>SUM(I3:I8)+SUMIF(Prato!$B:$B,resumo_mens!I1,Prato!$E:$E)+SUMIF(banho!$A:$A,resumo_mens!I1,banho!$E:$E)+SUMIF(arrecadações!$A:$A,resumo_mens!I1,arrecadações!$E:$E)</f>
        <v>-2063.4</v>
      </c>
      <c r="J10" s="27">
        <f>SUM(J3:J8)+SUMIF(Prato!$B:$B,resumo_mens!J1,Prato!$E:$E)+SUMIF(banho!$A:$A,resumo_mens!J1,banho!$E:$E)+SUMIF(arrecadações!$A:$A,resumo_mens!J1,arrecadações!$E:$E)</f>
        <v>-2077.42</v>
      </c>
      <c r="K10" s="27">
        <f>SUM(K3:K8)+SUMIF(Prato!$B:$B,resumo_mens!K1,Prato!$E:$E)+SUMIF(banho!$A:$A,resumo_mens!K1,banho!$E:$E)+SUMIF(arrecadações!$A:$A,resumo_mens!K1,arrecadações!$E:$E)</f>
        <v>-2386.1999999999998</v>
      </c>
      <c r="L10" s="27">
        <f>SUM(L3:L8)+SUMIF(Prato!$B:$B,resumo_mens!L1,Prato!$E:$E)+SUMIF(banho!$A:$A,resumo_mens!L1,banho!$E:$E)+SUMIF(arrecadações!$A:$A,resumo_mens!L1,arrecadações!$E:$E)</f>
        <v>0</v>
      </c>
      <c r="M10" s="27">
        <f>SUM(M3:M8)+SUMIF(Prato!$B:$B,resumo_mens!M1,Prato!$E:$E)+SUMIF(banho!$A:$A,resumo_mens!M1,banho!$E:$E)+SUMIF(arrecadações!$A:$A,resumo_mens!M1,arrecadações!$E:$E)</f>
        <v>0</v>
      </c>
      <c r="N10" s="27">
        <f>SUM(N3:N8)+SUMIF(Prato!$B:$B,resumo_mens!N1,Prato!$E:$E)+SUMIF(banho!$A:$A,resumo_mens!N1,banho!$E:$E)+SUMIF(arrecadações!$A:$A,resumo_mens!N1,arrecadações!$E:$E)</f>
        <v>0</v>
      </c>
      <c r="O10" s="28">
        <f t="shared" si="0"/>
        <v>-20558.490000000002</v>
      </c>
      <c r="P10" s="77"/>
    </row>
    <row r="11" spans="1:21" ht="15" thickTop="1">
      <c r="C11" s="14"/>
      <c r="D11" s="14"/>
      <c r="E11" s="14"/>
      <c r="F11" s="14"/>
      <c r="G11" s="14"/>
      <c r="H11" s="14"/>
      <c r="I11" s="14"/>
      <c r="J11" s="14"/>
      <c r="R11" s="79"/>
      <c r="S11" s="78"/>
    </row>
    <row r="12" spans="1:21">
      <c r="B12" s="22" t="s">
        <v>92</v>
      </c>
      <c r="C12" s="137">
        <f>(C14+C9)+SUMIF('Eventos e Doações'!$C$1:$N$1,resumo_mens!$C$1:$N$1,'Eventos e Doações'!$C$12:$N$12)</f>
        <v>-1667.87</v>
      </c>
      <c r="D12" s="137">
        <f>C12+(D14+D9)+SUMIF('Eventos e Doações'!$C$1:$N$1,resumo_mens!$C$1:$N$1,'Eventos e Doações'!$C$12:$N$12)</f>
        <v>-1648.44</v>
      </c>
      <c r="E12" s="137">
        <f>D12+(E14+E9)+SUMIF('Eventos e Doações'!$C$1:$N$1,resumo_mens!$C$1:$N$1,'Eventos e Doações'!$C$12:$N$12)</f>
        <v>-1790.27</v>
      </c>
      <c r="F12" s="137">
        <f>E12+(F14+F9)+SUMIF('Eventos e Doações'!$C$1:$N$1,resumo_mens!$C$1:$N$1,'Eventos e Doações'!$C$12:$N$12)</f>
        <v>-1169.67</v>
      </c>
      <c r="G12" s="137">
        <f>F12+(G14+G9)+SUMIF('Eventos e Doações'!$C$1:$N$1,resumo_mens!$C$1:$N$1,'Eventos e Doações'!$C$12:$N$12)</f>
        <v>-883.07000000000016</v>
      </c>
      <c r="H12" s="137">
        <f>G12+(H14+H9)+SUMIF('Eventos e Doações'!$C$1:$N$1,resumo_mens!$C$1:$N$1,'Eventos e Doações'!$C$12:$N$12)</f>
        <v>-439.47000000000025</v>
      </c>
      <c r="I12" s="137">
        <f>H12+(I14+I9)+SUMIF('Eventos e Doações'!$C$1:$N$1,resumo_mens!$C$1:$N$1,'Eventos e Doações'!$C$12:$N$12)</f>
        <v>72.129999999999654</v>
      </c>
      <c r="J12" s="137">
        <f>I12+(J14+J9)+SUMIF('Eventos e Doações'!$C$1:$N$1,resumo_mens!$C$1:$N$1,'Eventos e Doações'!$C$12:$N$12)</f>
        <v>1066.7099999999996</v>
      </c>
      <c r="K12" s="137">
        <f>J12+(K14+K9)+SUMIF('Eventos e Doações'!$C$1:$N$1,resumo_mens!$C$1:$N$1,'Eventos e Doações'!$C$12:$N$12)</f>
        <v>-1299.4900000000002</v>
      </c>
      <c r="L12" s="137">
        <f>K12+(L14+L9)+SUMIF('Eventos e Doações'!$C$1:$N$1,resumo_mens!$C$1:$N$1,'Eventos e Doações'!$C$12:$N$12)</f>
        <v>-1299.4900000000002</v>
      </c>
      <c r="M12" s="137">
        <f>L12+(M14+M9)+SUMIF('Eventos e Doações'!$C$1:$N$1,resumo_mens!$C$1:$N$1,'Eventos e Doações'!$C$12:$N$12)</f>
        <v>-1299.4900000000002</v>
      </c>
      <c r="N12" s="137">
        <f>M12+(N14+N9)+SUMIF('Eventos e Doações'!$C$1:$N$1,resumo_mens!$C$1:$N$1,'Eventos e Doações'!$C$12:$N$12)</f>
        <v>-1299.4900000000002</v>
      </c>
      <c r="O12" s="137">
        <f>SUM(C12:N12)</f>
        <v>-11657.91</v>
      </c>
      <c r="Q12" s="79"/>
      <c r="R12" s="79"/>
      <c r="S12" s="79"/>
      <c r="T12" s="14"/>
      <c r="U12" s="14"/>
    </row>
    <row r="13" spans="1:21" ht="15" thickBot="1">
      <c r="A13" s="124">
        <f>-COUNTA(A16:A66)</f>
        <v>-16</v>
      </c>
      <c r="B13" s="32">
        <f>COUNTA(B16:B66)+A13</f>
        <v>35</v>
      </c>
      <c r="C13" s="62">
        <f t="shared" ref="C13:N13" si="2">COUNTIF(C16:C66,"&gt;1")</f>
        <v>10</v>
      </c>
      <c r="D13" s="62">
        <f t="shared" si="2"/>
        <v>24</v>
      </c>
      <c r="E13" s="62">
        <f t="shared" si="2"/>
        <v>24</v>
      </c>
      <c r="F13" s="62">
        <f t="shared" si="2"/>
        <v>25</v>
      </c>
      <c r="G13" s="62">
        <f t="shared" si="2"/>
        <v>23</v>
      </c>
      <c r="H13" s="62">
        <f t="shared" si="2"/>
        <v>25</v>
      </c>
      <c r="I13" s="62">
        <f t="shared" si="2"/>
        <v>19</v>
      </c>
      <c r="J13" s="62">
        <f t="shared" si="2"/>
        <v>23</v>
      </c>
      <c r="K13" s="62">
        <f t="shared" si="2"/>
        <v>0</v>
      </c>
      <c r="L13" s="62">
        <f t="shared" si="2"/>
        <v>0</v>
      </c>
      <c r="M13" s="62">
        <f t="shared" si="2"/>
        <v>0</v>
      </c>
      <c r="N13" s="62">
        <f t="shared" si="2"/>
        <v>0</v>
      </c>
      <c r="O13" s="32"/>
      <c r="Q13" s="79"/>
      <c r="R13" s="79"/>
      <c r="S13" s="79"/>
      <c r="T13" s="14"/>
    </row>
    <row r="14" spans="1:21" ht="16.5" thickTop="1" thickBot="1">
      <c r="B14" s="12" t="s">
        <v>91</v>
      </c>
      <c r="C14" s="13">
        <f t="shared" ref="C14:N14" si="3">SUM(C16:C66)</f>
        <v>950</v>
      </c>
      <c r="D14" s="13">
        <f t="shared" si="3"/>
        <v>2630</v>
      </c>
      <c r="E14" s="13">
        <f t="shared" si="3"/>
        <v>2520</v>
      </c>
      <c r="F14" s="13">
        <f t="shared" si="3"/>
        <v>2700</v>
      </c>
      <c r="G14" s="13">
        <f t="shared" si="3"/>
        <v>2300</v>
      </c>
      <c r="H14" s="13">
        <f t="shared" si="3"/>
        <v>2492</v>
      </c>
      <c r="I14" s="13">
        <f t="shared" si="3"/>
        <v>2350</v>
      </c>
      <c r="J14" s="13">
        <f t="shared" si="3"/>
        <v>2772</v>
      </c>
      <c r="K14" s="13">
        <f t="shared" si="3"/>
        <v>0</v>
      </c>
      <c r="L14" s="13">
        <f t="shared" si="3"/>
        <v>0</v>
      </c>
      <c r="M14" s="13">
        <f t="shared" si="3"/>
        <v>0</v>
      </c>
      <c r="N14" s="13">
        <f t="shared" si="3"/>
        <v>0</v>
      </c>
      <c r="O14" s="13">
        <f t="shared" ref="O14" si="4">SUM(C14:N14)</f>
        <v>18714</v>
      </c>
      <c r="P14" s="77"/>
      <c r="Q14" s="79"/>
      <c r="R14" s="79"/>
      <c r="S14" s="79"/>
      <c r="T14" s="14"/>
    </row>
    <row r="15" spans="1:21" ht="15" thickTop="1">
      <c r="B15" s="9"/>
      <c r="C15" s="10" t="s">
        <v>14</v>
      </c>
      <c r="D15" s="10" t="s">
        <v>33</v>
      </c>
      <c r="E15" s="10" t="s">
        <v>55</v>
      </c>
      <c r="F15" s="10" t="s">
        <v>59</v>
      </c>
      <c r="G15" s="10" t="s">
        <v>64</v>
      </c>
      <c r="H15" s="10" t="s">
        <v>66</v>
      </c>
      <c r="I15" s="10" t="s">
        <v>70</v>
      </c>
      <c r="J15" s="10" t="s">
        <v>75</v>
      </c>
      <c r="K15" s="10" t="s">
        <v>81</v>
      </c>
      <c r="L15" s="10" t="s">
        <v>82</v>
      </c>
      <c r="M15" s="10" t="s">
        <v>83</v>
      </c>
      <c r="N15" s="10" t="s">
        <v>84</v>
      </c>
      <c r="O15" s="11">
        <v>2019</v>
      </c>
      <c r="Q15" s="80"/>
      <c r="R15" s="81"/>
      <c r="S15" s="79"/>
    </row>
    <row r="16" spans="1:21">
      <c r="B16" s="4" t="s">
        <v>93</v>
      </c>
      <c r="C16" s="29">
        <f>(SUMIFS(mensalidades!$E:$E,mensalidades!$B:$B,resumo_mens!C$1,mensalidades!$D:$D,resumo_mens!$B16))</f>
        <v>0</v>
      </c>
      <c r="D16" s="29">
        <f>(SUMIFS(mensalidades!$E:$E,mensalidades!$B:$B,resumo_mens!D$1,mensalidades!$D:$D,resumo_mens!$B16))</f>
        <v>0</v>
      </c>
      <c r="E16" s="29">
        <f>(SUMIFS(mensalidades!$E:$E,mensalidades!$B:$B,resumo_mens!E$1,mensalidades!$D:$D,resumo_mens!$B16))</f>
        <v>0</v>
      </c>
      <c r="F16" s="29">
        <f>(SUMIFS(mensalidades!$E:$E,mensalidades!$B:$B,resumo_mens!F$1,mensalidades!$D:$D,resumo_mens!$B16))</f>
        <v>0</v>
      </c>
      <c r="G16" s="29">
        <f>(SUMIFS(mensalidades!$E:$E,mensalidades!$B:$B,resumo_mens!G$1,mensalidades!$D:$D,resumo_mens!$B16))</f>
        <v>0</v>
      </c>
      <c r="H16" s="29">
        <f>(SUMIFS(mensalidades!$E:$E,mensalidades!$B:$B,resumo_mens!H$1,mensalidades!$D:$D,resumo_mens!$B16))</f>
        <v>0</v>
      </c>
      <c r="I16" s="29">
        <f>(SUMIFS(mensalidades!$E:$E,mensalidades!$B:$B,resumo_mens!I$1,mensalidades!$D:$D,resumo_mens!$B16))</f>
        <v>0</v>
      </c>
      <c r="J16" s="29">
        <f>(SUMIFS(mensalidades!$E:$E,mensalidades!$B:$B,resumo_mens!J$1,mensalidades!$D:$D,resumo_mens!$B16))</f>
        <v>0</v>
      </c>
      <c r="K16" s="29">
        <f>(SUMIFS(mensalidades!$E:$E,mensalidades!$B:$B,resumo_mens!K$1,mensalidades!$D:$D,resumo_mens!$B16))</f>
        <v>0</v>
      </c>
      <c r="L16" s="29">
        <f>(SUMIFS(mensalidades!$E:$E,mensalidades!$B:$B,resumo_mens!L$1,mensalidades!$D:$D,resumo_mens!$B16))</f>
        <v>0</v>
      </c>
      <c r="M16" s="29">
        <f>(SUMIFS(mensalidades!$E:$E,mensalidades!$B:$B,resumo_mens!M$1,mensalidades!$D:$D,resumo_mens!$B16))</f>
        <v>0</v>
      </c>
      <c r="N16" s="29">
        <f>(SUMIFS(mensalidades!$E:$E,mensalidades!$B:$B,resumo_mens!N$1,mensalidades!$D:$D,resumo_mens!$B16))</f>
        <v>0</v>
      </c>
      <c r="O16" s="24">
        <f t="shared" ref="O16:O47" si="5">SUM(C16:N16)</f>
        <v>0</v>
      </c>
    </row>
    <row r="17" spans="1:20" hidden="1">
      <c r="A17" s="124" t="s">
        <v>7</v>
      </c>
      <c r="B17" s="4" t="s">
        <v>71</v>
      </c>
      <c r="C17" s="29">
        <f>(SUMIFS(mensalidades!$E:$E,mensalidades!$B:$B,resumo_mens!C$1,mensalidades!$D:$D,resumo_mens!$B17))</f>
        <v>0</v>
      </c>
      <c r="D17" s="29">
        <f>(SUMIFS(mensalidades!$E:$E,mensalidades!$B:$B,resumo_mens!D$1,mensalidades!$D:$D,resumo_mens!$B17))</f>
        <v>0</v>
      </c>
      <c r="E17" s="29">
        <f>(SUMIFS(mensalidades!$E:$E,mensalidades!$B:$B,resumo_mens!E$1,mensalidades!$D:$D,resumo_mens!$B17))</f>
        <v>0</v>
      </c>
      <c r="F17" s="29">
        <f>(SUMIFS(mensalidades!$E:$E,mensalidades!$B:$B,resumo_mens!F$1,mensalidades!$D:$D,resumo_mens!$B17))</f>
        <v>0</v>
      </c>
      <c r="G17" s="29">
        <f>(SUMIFS(mensalidades!$E:$E,mensalidades!$B:$B,resumo_mens!G$1,mensalidades!$D:$D,resumo_mens!$B17))</f>
        <v>0</v>
      </c>
      <c r="H17" s="29">
        <f>(SUMIFS(mensalidades!$E:$E,mensalidades!$B:$B,resumo_mens!H$1,mensalidades!$D:$D,resumo_mens!$B17))</f>
        <v>0</v>
      </c>
      <c r="I17" s="29">
        <f>(SUMIFS(mensalidades!$E:$E,mensalidades!$B:$B,resumo_mens!I$1,mensalidades!$D:$D,resumo_mens!$B17))</f>
        <v>700</v>
      </c>
      <c r="J17" s="29">
        <f>(SUMIFS(mensalidades!$E:$E,mensalidades!$B:$B,resumo_mens!J$1,mensalidades!$D:$D,resumo_mens!$B17))</f>
        <v>0</v>
      </c>
      <c r="K17" s="29">
        <f>(SUMIFS(mensalidades!$E:$E,mensalidades!$B:$B,resumo_mens!K$1,mensalidades!$D:$D,resumo_mens!$B17))</f>
        <v>0</v>
      </c>
      <c r="L17" s="29">
        <f>(SUMIFS(mensalidades!$E:$E,mensalidades!$B:$B,resumo_mens!L$1,mensalidades!$D:$D,resumo_mens!$B17))</f>
        <v>0</v>
      </c>
      <c r="M17" s="29">
        <f>(SUMIFS(mensalidades!$E:$E,mensalidades!$B:$B,resumo_mens!M$1,mensalidades!$D:$D,resumo_mens!$B17))</f>
        <v>0</v>
      </c>
      <c r="N17" s="29">
        <f>(SUMIFS(mensalidades!$E:$E,mensalidades!$B:$B,resumo_mens!N$1,mensalidades!$D:$D,resumo_mens!$B17))</f>
        <v>0</v>
      </c>
      <c r="O17" s="24">
        <f t="shared" si="5"/>
        <v>700</v>
      </c>
    </row>
    <row r="18" spans="1:20" hidden="1">
      <c r="A18" s="124" t="s">
        <v>7</v>
      </c>
      <c r="B18" s="4" t="s">
        <v>94</v>
      </c>
      <c r="C18" s="29">
        <f>(SUMIFS(mensalidades!$E:$E,mensalidades!$B:$B,resumo_mens!C$1,mensalidades!$D:$D,resumo_mens!$B18))</f>
        <v>0</v>
      </c>
      <c r="D18" s="29">
        <f>(SUMIFS(mensalidades!$E:$E,mensalidades!$B:$B,resumo_mens!D$1,mensalidades!$D:$D,resumo_mens!$B18))</f>
        <v>0</v>
      </c>
      <c r="E18" s="29">
        <f>(SUMIFS(mensalidades!$E:$E,mensalidades!$B:$B,resumo_mens!E$1,mensalidades!$D:$D,resumo_mens!$B18))</f>
        <v>0</v>
      </c>
      <c r="F18" s="29">
        <f>(SUMIFS(mensalidades!$E:$E,mensalidades!$B:$B,resumo_mens!F$1,mensalidades!$D:$D,resumo_mens!$B18))</f>
        <v>0</v>
      </c>
      <c r="G18" s="29">
        <f>(SUMIFS(mensalidades!$E:$E,mensalidades!$B:$B,resumo_mens!G$1,mensalidades!$D:$D,resumo_mens!$B18))</f>
        <v>0</v>
      </c>
      <c r="H18" s="29">
        <f>(SUMIFS(mensalidades!$E:$E,mensalidades!$B:$B,resumo_mens!H$1,mensalidades!$D:$D,resumo_mens!$B18))</f>
        <v>0</v>
      </c>
      <c r="I18" s="29">
        <f>(SUMIFS(mensalidades!$E:$E,mensalidades!$B:$B,resumo_mens!I$1,mensalidades!$D:$D,resumo_mens!$B18))</f>
        <v>0</v>
      </c>
      <c r="J18" s="29">
        <f>(SUMIFS(mensalidades!$E:$E,mensalidades!$B:$B,resumo_mens!J$1,mensalidades!$D:$D,resumo_mens!$B18))</f>
        <v>0</v>
      </c>
      <c r="K18" s="29">
        <f>(SUMIFS(mensalidades!$E:$E,mensalidades!$B:$B,resumo_mens!K$1,mensalidades!$D:$D,resumo_mens!$B18))</f>
        <v>0</v>
      </c>
      <c r="L18" s="29">
        <f>(SUMIFS(mensalidades!$E:$E,mensalidades!$B:$B,resumo_mens!L$1,mensalidades!$D:$D,resumo_mens!$B18))</f>
        <v>0</v>
      </c>
      <c r="M18" s="29">
        <f>(SUMIFS(mensalidades!$E:$E,mensalidades!$B:$B,resumo_mens!M$1,mensalidades!$D:$D,resumo_mens!$B18))</f>
        <v>0</v>
      </c>
      <c r="N18" s="29">
        <f>(SUMIFS(mensalidades!$E:$E,mensalidades!$B:$B,resumo_mens!N$1,mensalidades!$D:$D,resumo_mens!$B18))</f>
        <v>0</v>
      </c>
      <c r="O18" s="24">
        <f t="shared" si="5"/>
        <v>0</v>
      </c>
      <c r="Q18" s="79"/>
      <c r="R18" s="78"/>
      <c r="S18" s="79"/>
    </row>
    <row r="19" spans="1:20">
      <c r="B19" s="4" t="s">
        <v>95</v>
      </c>
      <c r="C19" s="29">
        <f>(SUMIFS(mensalidades!$E:$E,mensalidades!$B:$B,resumo_mens!C$1,mensalidades!$D:$D,resumo_mens!$B19))</f>
        <v>0</v>
      </c>
      <c r="D19" s="29">
        <f>(SUMIFS(mensalidades!$E:$E,mensalidades!$B:$B,resumo_mens!D$1,mensalidades!$D:$D,resumo_mens!$B19))</f>
        <v>0</v>
      </c>
      <c r="E19" s="29">
        <f>(SUMIFS(mensalidades!$E:$E,mensalidades!$B:$B,resumo_mens!E$1,mensalidades!$D:$D,resumo_mens!$B19))</f>
        <v>0</v>
      </c>
      <c r="F19" s="29">
        <f>(SUMIFS(mensalidades!$E:$E,mensalidades!$B:$B,resumo_mens!F$1,mensalidades!$D:$D,resumo_mens!$B19))</f>
        <v>0</v>
      </c>
      <c r="G19" s="29">
        <f>(SUMIFS(mensalidades!$E:$E,mensalidades!$B:$B,resumo_mens!G$1,mensalidades!$D:$D,resumo_mens!$B19))</f>
        <v>0</v>
      </c>
      <c r="H19" s="29">
        <f>(SUMIFS(mensalidades!$E:$E,mensalidades!$B:$B,resumo_mens!H$1,mensalidades!$D:$D,resumo_mens!$B19))</f>
        <v>0</v>
      </c>
      <c r="I19" s="29">
        <f>(SUMIFS(mensalidades!$E:$E,mensalidades!$B:$B,resumo_mens!I$1,mensalidades!$D:$D,resumo_mens!$B19))</f>
        <v>0</v>
      </c>
      <c r="J19" s="29">
        <f>(SUMIFS(mensalidades!$E:$E,mensalidades!$B:$B,resumo_mens!J$1,mensalidades!$D:$D,resumo_mens!$B19))</f>
        <v>0</v>
      </c>
      <c r="K19" s="29">
        <f>(SUMIFS(mensalidades!$E:$E,mensalidades!$B:$B,resumo_mens!K$1,mensalidades!$D:$D,resumo_mens!$B19))</f>
        <v>0</v>
      </c>
      <c r="L19" s="29">
        <f>(SUMIFS(mensalidades!$E:$E,mensalidades!$B:$B,resumo_mens!L$1,mensalidades!$D:$D,resumo_mens!$B19))</f>
        <v>0</v>
      </c>
      <c r="M19" s="29">
        <f>(SUMIFS(mensalidades!$E:$E,mensalidades!$B:$B,resumo_mens!M$1,mensalidades!$D:$D,resumo_mens!$B19))</f>
        <v>0</v>
      </c>
      <c r="N19" s="29">
        <f>(SUMIFS(mensalidades!$E:$E,mensalidades!$B:$B,resumo_mens!N$1,mensalidades!$D:$D,resumo_mens!$B19))</f>
        <v>0</v>
      </c>
      <c r="O19" s="24">
        <f t="shared" si="5"/>
        <v>0</v>
      </c>
      <c r="Q19" s="78"/>
      <c r="R19" s="78"/>
      <c r="S19" s="79"/>
    </row>
    <row r="20" spans="1:20">
      <c r="A20" s="32"/>
      <c r="B20" s="4" t="s">
        <v>73</v>
      </c>
      <c r="C20" s="29">
        <f>(SUMIFS(mensalidades!$E:$E,mensalidades!$B:$B,resumo_mens!C$1,mensalidades!$D:$D,resumo_mens!$B20))</f>
        <v>0</v>
      </c>
      <c r="D20" s="29">
        <f>(SUMIFS(mensalidades!$E:$E,mensalidades!$B:$B,resumo_mens!D$1,mensalidades!$D:$D,resumo_mens!$B20))</f>
        <v>0</v>
      </c>
      <c r="E20" s="29">
        <f>(SUMIFS(mensalidades!$E:$E,mensalidades!$B:$B,resumo_mens!E$1,mensalidades!$D:$D,resumo_mens!$B20))</f>
        <v>0</v>
      </c>
      <c r="F20" s="29">
        <f>(SUMIFS(mensalidades!$E:$E,mensalidades!$B:$B,resumo_mens!F$1,mensalidades!$D:$D,resumo_mens!$B20))</f>
        <v>0</v>
      </c>
      <c r="G20" s="29">
        <f>(SUMIFS(mensalidades!$E:$E,mensalidades!$B:$B,resumo_mens!G$1,mensalidades!$D:$D,resumo_mens!$B20))</f>
        <v>0</v>
      </c>
      <c r="H20" s="29">
        <f>(SUMIFS(mensalidades!$E:$E,mensalidades!$B:$B,resumo_mens!H$1,mensalidades!$D:$D,resumo_mens!$B20))</f>
        <v>0</v>
      </c>
      <c r="I20" s="29">
        <f>(SUMIFS(mensalidades!$E:$E,mensalidades!$B:$B,resumo_mens!I$1,mensalidades!$D:$D,resumo_mens!$B20))</f>
        <v>50</v>
      </c>
      <c r="J20" s="29">
        <f>(SUMIFS(mensalidades!$E:$E,mensalidades!$B:$B,resumo_mens!J$1,mensalidades!$D:$D,resumo_mens!$B20))</f>
        <v>100</v>
      </c>
      <c r="K20" s="29">
        <f>(SUMIFS(mensalidades!$E:$E,mensalidades!$B:$B,resumo_mens!K$1,mensalidades!$D:$D,resumo_mens!$B20))</f>
        <v>0</v>
      </c>
      <c r="L20" s="29">
        <f>(SUMIFS(mensalidades!$E:$E,mensalidades!$B:$B,resumo_mens!L$1,mensalidades!$D:$D,resumo_mens!$B20))</f>
        <v>0</v>
      </c>
      <c r="M20" s="29">
        <f>(SUMIFS(mensalidades!$E:$E,mensalidades!$B:$B,resumo_mens!M$1,mensalidades!$D:$D,resumo_mens!$B20))</f>
        <v>0</v>
      </c>
      <c r="N20" s="29">
        <f>(SUMIFS(mensalidades!$E:$E,mensalidades!$B:$B,resumo_mens!N$1,mensalidades!$D:$D,resumo_mens!$B20))</f>
        <v>0</v>
      </c>
      <c r="O20" s="24">
        <f t="shared" si="5"/>
        <v>150</v>
      </c>
      <c r="Q20" s="78"/>
      <c r="R20" s="78"/>
      <c r="S20" s="79"/>
    </row>
    <row r="21" spans="1:20">
      <c r="A21" s="32"/>
      <c r="B21" s="4" t="s">
        <v>34</v>
      </c>
      <c r="C21" s="29">
        <f>(SUMIFS(mensalidades!$E:$E,mensalidades!$B:$B,resumo_mens!C$1,mensalidades!$D:$D,resumo_mens!$B21))</f>
        <v>0</v>
      </c>
      <c r="D21" s="29">
        <f>(SUMIFS(mensalidades!$E:$E,mensalidades!$B:$B,resumo_mens!D$1,mensalidades!$D:$D,resumo_mens!$B21))</f>
        <v>100</v>
      </c>
      <c r="E21" s="29">
        <f>(SUMIFS(mensalidades!$E:$E,mensalidades!$B:$B,resumo_mens!E$1,mensalidades!$D:$D,resumo_mens!$B21))</f>
        <v>100</v>
      </c>
      <c r="F21" s="29">
        <f>(SUMIFS(mensalidades!$E:$E,mensalidades!$B:$B,resumo_mens!F$1,mensalidades!$D:$D,resumo_mens!$B21))</f>
        <v>100</v>
      </c>
      <c r="G21" s="29">
        <f>(SUMIFS(mensalidades!$E:$E,mensalidades!$B:$B,resumo_mens!G$1,mensalidades!$D:$D,resumo_mens!$B21))</f>
        <v>100</v>
      </c>
      <c r="H21" s="29">
        <f>(SUMIFS(mensalidades!$E:$E,mensalidades!$B:$B,resumo_mens!H$1,mensalidades!$D:$D,resumo_mens!$B21))</f>
        <v>100</v>
      </c>
      <c r="I21" s="29">
        <f>(SUMIFS(mensalidades!$E:$E,mensalidades!$B:$B,resumo_mens!I$1,mensalidades!$D:$D,resumo_mens!$B21))</f>
        <v>100</v>
      </c>
      <c r="J21" s="29">
        <f>(SUMIFS(mensalidades!$E:$E,mensalidades!$B:$B,resumo_mens!J$1,mensalidades!$D:$D,resumo_mens!$B21))</f>
        <v>0</v>
      </c>
      <c r="K21" s="29">
        <f>(SUMIFS(mensalidades!$E:$E,mensalidades!$B:$B,resumo_mens!K$1,mensalidades!$D:$D,resumo_mens!$B21))</f>
        <v>0</v>
      </c>
      <c r="L21" s="29">
        <f>(SUMIFS(mensalidades!$E:$E,mensalidades!$B:$B,resumo_mens!L$1,mensalidades!$D:$D,resumo_mens!$B21))</f>
        <v>0</v>
      </c>
      <c r="M21" s="29">
        <f>(SUMIFS(mensalidades!$E:$E,mensalidades!$B:$B,resumo_mens!M$1,mensalidades!$D:$D,resumo_mens!$B21))</f>
        <v>0</v>
      </c>
      <c r="N21" s="29">
        <f>(SUMIFS(mensalidades!$E:$E,mensalidades!$B:$B,resumo_mens!N$1,mensalidades!$D:$D,resumo_mens!$B21))</f>
        <v>0</v>
      </c>
      <c r="O21" s="24">
        <f t="shared" si="5"/>
        <v>600</v>
      </c>
      <c r="Q21" s="78"/>
      <c r="R21" s="78"/>
      <c r="S21" s="79"/>
    </row>
    <row r="22" spans="1:20">
      <c r="A22" s="32"/>
      <c r="B22" s="4" t="s">
        <v>96</v>
      </c>
      <c r="C22" s="29">
        <f>(SUMIFS(mensalidades!$E:$E,mensalidades!$B:$B,resumo_mens!C$1,mensalidades!$D:$D,resumo_mens!$B22))</f>
        <v>0</v>
      </c>
      <c r="D22" s="29">
        <f>(SUMIFS(mensalidades!$E:$E,mensalidades!$B:$B,resumo_mens!D$1,mensalidades!$D:$D,resumo_mens!$B22))</f>
        <v>0</v>
      </c>
      <c r="E22" s="29">
        <f>(SUMIFS(mensalidades!$E:$E,mensalidades!$B:$B,resumo_mens!E$1,mensalidades!$D:$D,resumo_mens!$B22))</f>
        <v>0</v>
      </c>
      <c r="F22" s="29">
        <f>(SUMIFS(mensalidades!$E:$E,mensalidades!$B:$B,resumo_mens!F$1,mensalidades!$D:$D,resumo_mens!$B22))</f>
        <v>0</v>
      </c>
      <c r="G22" s="29">
        <f>(SUMIFS(mensalidades!$E:$E,mensalidades!$B:$B,resumo_mens!G$1,mensalidades!$D:$D,resumo_mens!$B22))</f>
        <v>0</v>
      </c>
      <c r="H22" s="29">
        <f>(SUMIFS(mensalidades!$E:$E,mensalidades!$B:$B,resumo_mens!H$1,mensalidades!$D:$D,resumo_mens!$B22))</f>
        <v>0</v>
      </c>
      <c r="I22" s="29">
        <f>(SUMIFS(mensalidades!$E:$E,mensalidades!$B:$B,resumo_mens!I$1,mensalidades!$D:$D,resumo_mens!$B22))</f>
        <v>0</v>
      </c>
      <c r="J22" s="29">
        <f>(SUMIFS(mensalidades!$E:$E,mensalidades!$B:$B,resumo_mens!J$1,mensalidades!$D:$D,resumo_mens!$B22))</f>
        <v>0</v>
      </c>
      <c r="K22" s="29">
        <f>(SUMIFS(mensalidades!$E:$E,mensalidades!$B:$B,resumo_mens!K$1,mensalidades!$D:$D,resumo_mens!$B22))</f>
        <v>0</v>
      </c>
      <c r="L22" s="29">
        <f>(SUMIFS(mensalidades!$E:$E,mensalidades!$B:$B,resumo_mens!L$1,mensalidades!$D:$D,resumo_mens!$B22))</f>
        <v>0</v>
      </c>
      <c r="M22" s="29">
        <f>(SUMIFS(mensalidades!$E:$E,mensalidades!$B:$B,resumo_mens!M$1,mensalidades!$D:$D,resumo_mens!$B22))</f>
        <v>0</v>
      </c>
      <c r="N22" s="29">
        <f>(SUMIFS(mensalidades!$E:$E,mensalidades!$B:$B,resumo_mens!N$1,mensalidades!$D:$D,resumo_mens!$B22))</f>
        <v>0</v>
      </c>
      <c r="O22" s="24">
        <f t="shared" si="5"/>
        <v>0</v>
      </c>
      <c r="Q22" s="78"/>
      <c r="R22" s="78"/>
      <c r="S22" s="78"/>
    </row>
    <row r="23" spans="1:20">
      <c r="B23" s="4" t="s">
        <v>53</v>
      </c>
      <c r="C23" s="29">
        <f>(SUMIFS(mensalidades!$E:$E,mensalidades!$B:$B,resumo_mens!C$1,mensalidades!$D:$D,resumo_mens!$B23))</f>
        <v>0</v>
      </c>
      <c r="D23" s="29">
        <f>(SUMIFS(mensalidades!$E:$E,mensalidades!$B:$B,resumo_mens!D$1,mensalidades!$D:$D,resumo_mens!$B23))</f>
        <v>50</v>
      </c>
      <c r="E23" s="29">
        <f>(SUMIFS(mensalidades!$E:$E,mensalidades!$B:$B,resumo_mens!E$1,mensalidades!$D:$D,resumo_mens!$B23))</f>
        <v>0</v>
      </c>
      <c r="F23" s="29">
        <f>(SUMIFS(mensalidades!$E:$E,mensalidades!$B:$B,resumo_mens!F$1,mensalidades!$D:$D,resumo_mens!$B23))</f>
        <v>0</v>
      </c>
      <c r="G23" s="29">
        <f>(SUMIFS(mensalidades!$E:$E,mensalidades!$B:$B,resumo_mens!G$1,mensalidades!$D:$D,resumo_mens!$B23))</f>
        <v>0</v>
      </c>
      <c r="H23" s="29">
        <f>(SUMIFS(mensalidades!$E:$E,mensalidades!$B:$B,resumo_mens!H$1,mensalidades!$D:$D,resumo_mens!$B23))</f>
        <v>0</v>
      </c>
      <c r="I23" s="29">
        <f>(SUMIFS(mensalidades!$E:$E,mensalidades!$B:$B,resumo_mens!I$1,mensalidades!$D:$D,resumo_mens!$B23))</f>
        <v>0</v>
      </c>
      <c r="J23" s="29">
        <f>(SUMIFS(mensalidades!$E:$E,mensalidades!$B:$B,resumo_mens!J$1,mensalidades!$D:$D,resumo_mens!$B23))</f>
        <v>0</v>
      </c>
      <c r="K23" s="29">
        <f>(SUMIFS(mensalidades!$E:$E,mensalidades!$B:$B,resumo_mens!K$1,mensalidades!$D:$D,resumo_mens!$B23))</f>
        <v>0</v>
      </c>
      <c r="L23" s="29">
        <f>(SUMIFS(mensalidades!$E:$E,mensalidades!$B:$B,resumo_mens!L$1,mensalidades!$D:$D,resumo_mens!$B23))</f>
        <v>0</v>
      </c>
      <c r="M23" s="29">
        <f>(SUMIFS(mensalidades!$E:$E,mensalidades!$B:$B,resumo_mens!M$1,mensalidades!$D:$D,resumo_mens!$B23))</f>
        <v>0</v>
      </c>
      <c r="N23" s="29">
        <f>(SUMIFS(mensalidades!$E:$E,mensalidades!$B:$B,resumo_mens!N$1,mensalidades!$D:$D,resumo_mens!$B23))</f>
        <v>0</v>
      </c>
      <c r="O23" s="24">
        <f t="shared" si="5"/>
        <v>50</v>
      </c>
      <c r="Q23" s="78"/>
      <c r="R23" s="78"/>
      <c r="S23" s="79"/>
    </row>
    <row r="24" spans="1:20">
      <c r="B24" s="4" t="s">
        <v>97</v>
      </c>
      <c r="C24" s="29">
        <f>(SUMIFS(mensalidades!$E:$E,mensalidades!$B:$B,resumo_mens!C$1,mensalidades!$D:$D,resumo_mens!$B24))</f>
        <v>0</v>
      </c>
      <c r="D24" s="29">
        <f>(SUMIFS(mensalidades!$E:$E,mensalidades!$B:$B,resumo_mens!D$1,mensalidades!$D:$D,resumo_mens!$B24))</f>
        <v>0</v>
      </c>
      <c r="E24" s="29">
        <f>(SUMIFS(mensalidades!$E:$E,mensalidades!$B:$B,resumo_mens!E$1,mensalidades!$D:$D,resumo_mens!$B24))</f>
        <v>0</v>
      </c>
      <c r="F24" s="29">
        <f>(SUMIFS(mensalidades!$E:$E,mensalidades!$B:$B,resumo_mens!F$1,mensalidades!$D:$D,resumo_mens!$B24))</f>
        <v>0</v>
      </c>
      <c r="G24" s="29">
        <f>(SUMIFS(mensalidades!$E:$E,mensalidades!$B:$B,resumo_mens!G$1,mensalidades!$D:$D,resumo_mens!$B24))</f>
        <v>0</v>
      </c>
      <c r="H24" s="29">
        <f>(SUMIFS(mensalidades!$E:$E,mensalidades!$B:$B,resumo_mens!H$1,mensalidades!$D:$D,resumo_mens!$B24))</f>
        <v>0</v>
      </c>
      <c r="I24" s="29">
        <f>(SUMIFS(mensalidades!$E:$E,mensalidades!$B:$B,resumo_mens!I$1,mensalidades!$D:$D,resumo_mens!$B24))</f>
        <v>0</v>
      </c>
      <c r="J24" s="29">
        <f>(SUMIFS(mensalidades!$E:$E,mensalidades!$B:$B,resumo_mens!J$1,mensalidades!$D:$D,resumo_mens!$B24))</f>
        <v>0</v>
      </c>
      <c r="K24" s="29">
        <f>(SUMIFS(mensalidades!$E:$E,mensalidades!$B:$B,resumo_mens!K$1,mensalidades!$D:$D,resumo_mens!$B24))</f>
        <v>0</v>
      </c>
      <c r="L24" s="29">
        <f>(SUMIFS(mensalidades!$E:$E,mensalidades!$B:$B,resumo_mens!L$1,mensalidades!$D:$D,resumo_mens!$B24))</f>
        <v>0</v>
      </c>
      <c r="M24" s="29">
        <f>(SUMIFS(mensalidades!$E:$E,mensalidades!$B:$B,resumo_mens!M$1,mensalidades!$D:$D,resumo_mens!$B24))</f>
        <v>0</v>
      </c>
      <c r="N24" s="29">
        <f>(SUMIFS(mensalidades!$E:$E,mensalidades!$B:$B,resumo_mens!N$1,mensalidades!$D:$D,resumo_mens!$B24))</f>
        <v>0</v>
      </c>
      <c r="O24" s="24">
        <f t="shared" si="5"/>
        <v>0</v>
      </c>
      <c r="S24" s="14"/>
      <c r="T24" s="14"/>
    </row>
    <row r="25" spans="1:20" hidden="1">
      <c r="A25" s="124" t="s">
        <v>7</v>
      </c>
      <c r="B25" s="4" t="s">
        <v>27</v>
      </c>
      <c r="C25" s="29">
        <f>(SUMIFS(mensalidades!$E:$E,mensalidades!$B:$B,resumo_mens!C$1,mensalidades!$D:$D,resumo_mens!$B25))</f>
        <v>100</v>
      </c>
      <c r="D25" s="29">
        <f>(SUMIFS(mensalidades!$E:$E,mensalidades!$B:$B,resumo_mens!D$1,mensalidades!$D:$D,resumo_mens!$B25))</f>
        <v>0</v>
      </c>
      <c r="E25" s="29">
        <f>(SUMIFS(mensalidades!$E:$E,mensalidades!$B:$B,resumo_mens!E$1,mensalidades!$D:$D,resumo_mens!$B25))</f>
        <v>0</v>
      </c>
      <c r="F25" s="29">
        <f>(SUMIFS(mensalidades!$E:$E,mensalidades!$B:$B,resumo_mens!F$1,mensalidades!$D:$D,resumo_mens!$B25))</f>
        <v>200</v>
      </c>
      <c r="G25" s="29">
        <f>(SUMIFS(mensalidades!$E:$E,mensalidades!$B:$B,resumo_mens!G$1,mensalidades!$D:$D,resumo_mens!$B25))</f>
        <v>0</v>
      </c>
      <c r="H25" s="29">
        <f>(SUMIFS(mensalidades!$E:$E,mensalidades!$B:$B,resumo_mens!H$1,mensalidades!$D:$D,resumo_mens!$B25))</f>
        <v>0</v>
      </c>
      <c r="I25" s="29">
        <f>(SUMIFS(mensalidades!$E:$E,mensalidades!$B:$B,resumo_mens!I$1,mensalidades!$D:$D,resumo_mens!$B25))</f>
        <v>0</v>
      </c>
      <c r="J25" s="29">
        <f>(SUMIFS(mensalidades!$E:$E,mensalidades!$B:$B,resumo_mens!J$1,mensalidades!$D:$D,resumo_mens!$B25))</f>
        <v>0</v>
      </c>
      <c r="K25" s="29">
        <f>(SUMIFS(mensalidades!$E:$E,mensalidades!$B:$B,resumo_mens!K$1,mensalidades!$D:$D,resumo_mens!$B25))</f>
        <v>0</v>
      </c>
      <c r="L25" s="29">
        <f>(SUMIFS(mensalidades!$E:$E,mensalidades!$B:$B,resumo_mens!L$1,mensalidades!$D:$D,resumo_mens!$B25))</f>
        <v>0</v>
      </c>
      <c r="M25" s="29">
        <f>(SUMIFS(mensalidades!$E:$E,mensalidades!$B:$B,resumo_mens!M$1,mensalidades!$D:$D,resumo_mens!$B25))</f>
        <v>0</v>
      </c>
      <c r="N25" s="29">
        <f>(SUMIFS(mensalidades!$E:$E,mensalidades!$B:$B,resumo_mens!N$1,mensalidades!$D:$D,resumo_mens!$B25))</f>
        <v>0</v>
      </c>
      <c r="O25" s="24">
        <f t="shared" si="5"/>
        <v>300</v>
      </c>
    </row>
    <row r="26" spans="1:20">
      <c r="A26" s="32"/>
      <c r="B26" s="4" t="s">
        <v>23</v>
      </c>
      <c r="C26" s="29">
        <f>(SUMIFS(mensalidades!$E:$E,mensalidades!$B:$B,resumo_mens!C$1,mensalidades!$D:$D,resumo_mens!$B26))</f>
        <v>100</v>
      </c>
      <c r="D26" s="29">
        <f>(SUMIFS(mensalidades!$E:$E,mensalidades!$B:$B,resumo_mens!D$1,mensalidades!$D:$D,resumo_mens!$B26))</f>
        <v>100</v>
      </c>
      <c r="E26" s="29">
        <f>(SUMIFS(mensalidades!$E:$E,mensalidades!$B:$B,resumo_mens!E$1,mensalidades!$D:$D,resumo_mens!$B26))</f>
        <v>100</v>
      </c>
      <c r="F26" s="29">
        <f>(SUMIFS(mensalidades!$E:$E,mensalidades!$B:$B,resumo_mens!F$1,mensalidades!$D:$D,resumo_mens!$B26))</f>
        <v>100</v>
      </c>
      <c r="G26" s="29">
        <f>(SUMIFS(mensalidades!$E:$E,mensalidades!$B:$B,resumo_mens!G$1,mensalidades!$D:$D,resumo_mens!$B26))</f>
        <v>100</v>
      </c>
      <c r="H26" s="29">
        <f>(SUMIFS(mensalidades!$E:$E,mensalidades!$B:$B,resumo_mens!H$1,mensalidades!$D:$D,resumo_mens!$B26))</f>
        <v>100</v>
      </c>
      <c r="I26" s="29">
        <f>(SUMIFS(mensalidades!$E:$E,mensalidades!$B:$B,resumo_mens!I$1,mensalidades!$D:$D,resumo_mens!$B26))</f>
        <v>100</v>
      </c>
      <c r="J26" s="29">
        <f>(SUMIFS(mensalidades!$E:$E,mensalidades!$B:$B,resumo_mens!J$1,mensalidades!$D:$D,resumo_mens!$B26))</f>
        <v>100</v>
      </c>
      <c r="K26" s="29">
        <f>(SUMIFS(mensalidades!$E:$E,mensalidades!$B:$B,resumo_mens!K$1,mensalidades!$D:$D,resumo_mens!$B26))</f>
        <v>0</v>
      </c>
      <c r="L26" s="29">
        <f>(SUMIFS(mensalidades!$E:$E,mensalidades!$B:$B,resumo_mens!L$1,mensalidades!$D:$D,resumo_mens!$B26))</f>
        <v>0</v>
      </c>
      <c r="M26" s="29">
        <f>(SUMIFS(mensalidades!$E:$E,mensalidades!$B:$B,resumo_mens!M$1,mensalidades!$D:$D,resumo_mens!$B26))</f>
        <v>0</v>
      </c>
      <c r="N26" s="29">
        <f>(SUMIFS(mensalidades!$E:$E,mensalidades!$B:$B,resumo_mens!N$1,mensalidades!$D:$D,resumo_mens!$B26))</f>
        <v>0</v>
      </c>
      <c r="O26" s="24">
        <f t="shared" si="5"/>
        <v>800</v>
      </c>
    </row>
    <row r="27" spans="1:20">
      <c r="B27" s="4" t="s">
        <v>98</v>
      </c>
      <c r="C27" s="29">
        <f>(SUMIFS(mensalidades!$E:$E,mensalidades!$B:$B,resumo_mens!C$1,mensalidades!$D:$D,resumo_mens!$B27))</f>
        <v>0</v>
      </c>
      <c r="D27" s="29">
        <f>(SUMIFS(mensalidades!$E:$E,mensalidades!$B:$B,resumo_mens!D$1,mensalidades!$D:$D,resumo_mens!$B27))</f>
        <v>0</v>
      </c>
      <c r="E27" s="29">
        <f>(SUMIFS(mensalidades!$E:$E,mensalidades!$B:$B,resumo_mens!E$1,mensalidades!$D:$D,resumo_mens!$B27))</f>
        <v>0</v>
      </c>
      <c r="F27" s="29">
        <f>(SUMIFS(mensalidades!$E:$E,mensalidades!$B:$B,resumo_mens!F$1,mensalidades!$D:$D,resumo_mens!$B27))</f>
        <v>0</v>
      </c>
      <c r="G27" s="29">
        <f>(SUMIFS(mensalidades!$E:$E,mensalidades!$B:$B,resumo_mens!G$1,mensalidades!$D:$D,resumo_mens!$B27))</f>
        <v>0</v>
      </c>
      <c r="H27" s="29">
        <f>(SUMIFS(mensalidades!$E:$E,mensalidades!$B:$B,resumo_mens!H$1,mensalidades!$D:$D,resumo_mens!$B27))</f>
        <v>0</v>
      </c>
      <c r="I27" s="29">
        <f>(SUMIFS(mensalidades!$E:$E,mensalidades!$B:$B,resumo_mens!I$1,mensalidades!$D:$D,resumo_mens!$B27))</f>
        <v>0</v>
      </c>
      <c r="J27" s="29">
        <f>(SUMIFS(mensalidades!$E:$E,mensalidades!$B:$B,resumo_mens!J$1,mensalidades!$D:$D,resumo_mens!$B27))</f>
        <v>0</v>
      </c>
      <c r="K27" s="29">
        <f>(SUMIFS(mensalidades!$E:$E,mensalidades!$B:$B,resumo_mens!K$1,mensalidades!$D:$D,resumo_mens!$B27))</f>
        <v>0</v>
      </c>
      <c r="L27" s="29">
        <f>(SUMIFS(mensalidades!$E:$E,mensalidades!$B:$B,resumo_mens!L$1,mensalidades!$D:$D,resumo_mens!$B27))</f>
        <v>0</v>
      </c>
      <c r="M27" s="29">
        <f>(SUMIFS(mensalidades!$E:$E,mensalidades!$B:$B,resumo_mens!M$1,mensalidades!$D:$D,resumo_mens!$B27))</f>
        <v>0</v>
      </c>
      <c r="N27" s="29">
        <f>(SUMIFS(mensalidades!$E:$E,mensalidades!$B:$B,resumo_mens!N$1,mensalidades!$D:$D,resumo_mens!$B27))</f>
        <v>0</v>
      </c>
      <c r="O27" s="24">
        <f t="shared" si="5"/>
        <v>0</v>
      </c>
    </row>
    <row r="28" spans="1:20" hidden="1">
      <c r="A28" s="124" t="s">
        <v>7</v>
      </c>
      <c r="B28" s="4" t="s">
        <v>54</v>
      </c>
      <c r="C28" s="29">
        <f>(SUMIFS(mensalidades!$E:$E,mensalidades!$B:$B,resumo_mens!C$1,mensalidades!$D:$D,resumo_mens!$B28))</f>
        <v>0</v>
      </c>
      <c r="D28" s="29">
        <f>(SUMIFS(mensalidades!$E:$E,mensalidades!$B:$B,resumo_mens!D$1,mensalidades!$D:$D,resumo_mens!$B28))</f>
        <v>100</v>
      </c>
      <c r="E28" s="29">
        <f>(SUMIFS(mensalidades!$E:$E,mensalidades!$B:$B,resumo_mens!E$1,mensalidades!$D:$D,resumo_mens!$B28))</f>
        <v>100</v>
      </c>
      <c r="F28" s="29">
        <f>(SUMIFS(mensalidades!$E:$E,mensalidades!$B:$B,resumo_mens!F$1,mensalidades!$D:$D,resumo_mens!$B28))</f>
        <v>0</v>
      </c>
      <c r="G28" s="29">
        <f>(SUMIFS(mensalidades!$E:$E,mensalidades!$B:$B,resumo_mens!G$1,mensalidades!$D:$D,resumo_mens!$B28))</f>
        <v>0</v>
      </c>
      <c r="H28" s="29">
        <f>(SUMIFS(mensalidades!$E:$E,mensalidades!$B:$B,resumo_mens!H$1,mensalidades!$D:$D,resumo_mens!$B28))</f>
        <v>0</v>
      </c>
      <c r="I28" s="29">
        <f>(SUMIFS(mensalidades!$E:$E,mensalidades!$B:$B,resumo_mens!I$1,mensalidades!$D:$D,resumo_mens!$B28))</f>
        <v>0</v>
      </c>
      <c r="J28" s="29">
        <f>(SUMIFS(mensalidades!$E:$E,mensalidades!$B:$B,resumo_mens!J$1,mensalidades!$D:$D,resumo_mens!$B28))</f>
        <v>0</v>
      </c>
      <c r="K28" s="29">
        <f>(SUMIFS(mensalidades!$E:$E,mensalidades!$B:$B,resumo_mens!K$1,mensalidades!$D:$D,resumo_mens!$B28))</f>
        <v>0</v>
      </c>
      <c r="L28" s="29">
        <f>(SUMIFS(mensalidades!$E:$E,mensalidades!$B:$B,resumo_mens!L$1,mensalidades!$D:$D,resumo_mens!$B28))</f>
        <v>0</v>
      </c>
      <c r="M28" s="29">
        <f>(SUMIFS(mensalidades!$E:$E,mensalidades!$B:$B,resumo_mens!M$1,mensalidades!$D:$D,resumo_mens!$B28))</f>
        <v>0</v>
      </c>
      <c r="N28" s="29">
        <f>(SUMIFS(mensalidades!$E:$E,mensalidades!$B:$B,resumo_mens!N$1,mensalidades!$D:$D,resumo_mens!$B28))</f>
        <v>0</v>
      </c>
      <c r="O28" s="24">
        <f t="shared" si="5"/>
        <v>200</v>
      </c>
    </row>
    <row r="29" spans="1:20">
      <c r="A29" s="32"/>
      <c r="B29" s="4" t="s">
        <v>31</v>
      </c>
      <c r="C29" s="29">
        <f>(SUMIFS(mensalidades!$E:$E,mensalidades!$B:$B,resumo_mens!C$1,mensalidades!$D:$D,resumo_mens!$B29))</f>
        <v>100</v>
      </c>
      <c r="D29" s="29">
        <f>(SUMIFS(mensalidades!$E:$E,mensalidades!$B:$B,resumo_mens!D$1,mensalidades!$D:$D,resumo_mens!$B29))</f>
        <v>0</v>
      </c>
      <c r="E29" s="29">
        <f>(SUMIFS(mensalidades!$E:$E,mensalidades!$B:$B,resumo_mens!E$1,mensalidades!$D:$D,resumo_mens!$B29))</f>
        <v>200</v>
      </c>
      <c r="F29" s="29">
        <f>(SUMIFS(mensalidades!$E:$E,mensalidades!$B:$B,resumo_mens!F$1,mensalidades!$D:$D,resumo_mens!$B29))</f>
        <v>0</v>
      </c>
      <c r="G29" s="29">
        <f>(SUMIFS(mensalidades!$E:$E,mensalidades!$B:$B,resumo_mens!G$1,mensalidades!$D:$D,resumo_mens!$B29))</f>
        <v>100</v>
      </c>
      <c r="H29" s="29">
        <f>(SUMIFS(mensalidades!$E:$E,mensalidades!$B:$B,resumo_mens!H$1,mensalidades!$D:$D,resumo_mens!$B29))</f>
        <v>100</v>
      </c>
      <c r="I29" s="29">
        <f>(SUMIFS(mensalidades!$E:$E,mensalidades!$B:$B,resumo_mens!I$1,mensalidades!$D:$D,resumo_mens!$B29))</f>
        <v>100</v>
      </c>
      <c r="J29" s="29">
        <f>(SUMIFS(mensalidades!$E:$E,mensalidades!$B:$B,resumo_mens!J$1,mensalidades!$D:$D,resumo_mens!$B29))</f>
        <v>100</v>
      </c>
      <c r="K29" s="29">
        <f>(SUMIFS(mensalidades!$E:$E,mensalidades!$B:$B,resumo_mens!K$1,mensalidades!$D:$D,resumo_mens!$B29))</f>
        <v>0</v>
      </c>
      <c r="L29" s="29">
        <f>(SUMIFS(mensalidades!$E:$E,mensalidades!$B:$B,resumo_mens!L$1,mensalidades!$D:$D,resumo_mens!$B29))</f>
        <v>0</v>
      </c>
      <c r="M29" s="29">
        <f>(SUMIFS(mensalidades!$E:$E,mensalidades!$B:$B,resumo_mens!M$1,mensalidades!$D:$D,resumo_mens!$B29))</f>
        <v>0</v>
      </c>
      <c r="N29" s="29">
        <f>(SUMIFS(mensalidades!$E:$E,mensalidades!$B:$B,resumo_mens!N$1,mensalidades!$D:$D,resumo_mens!$B29))</f>
        <v>0</v>
      </c>
      <c r="O29" s="24">
        <f t="shared" si="5"/>
        <v>700</v>
      </c>
    </row>
    <row r="30" spans="1:20">
      <c r="A30" s="32"/>
      <c r="B30" s="4" t="s">
        <v>35</v>
      </c>
      <c r="C30" s="29">
        <f>(SUMIFS(mensalidades!$E:$E,mensalidades!$B:$B,resumo_mens!C$1,mensalidades!$D:$D,resumo_mens!$B30))</f>
        <v>0</v>
      </c>
      <c r="D30" s="29">
        <f>(SUMIFS(mensalidades!$E:$E,mensalidades!$B:$B,resumo_mens!D$1,mensalidades!$D:$D,resumo_mens!$B30))</f>
        <v>200</v>
      </c>
      <c r="E30" s="29">
        <f>(SUMIFS(mensalidades!$E:$E,mensalidades!$B:$B,resumo_mens!E$1,mensalidades!$D:$D,resumo_mens!$B30))</f>
        <v>100</v>
      </c>
      <c r="F30" s="29">
        <f>(SUMIFS(mensalidades!$E:$E,mensalidades!$B:$B,resumo_mens!F$1,mensalidades!$D:$D,resumo_mens!$B30))</f>
        <v>0</v>
      </c>
      <c r="G30" s="29">
        <f>(SUMIFS(mensalidades!$E:$E,mensalidades!$B:$B,resumo_mens!G$1,mensalidades!$D:$D,resumo_mens!$B30))</f>
        <v>0</v>
      </c>
      <c r="H30" s="29">
        <f>(SUMIFS(mensalidades!$E:$E,mensalidades!$B:$B,resumo_mens!H$1,mensalidades!$D:$D,resumo_mens!$B30))</f>
        <v>0</v>
      </c>
      <c r="I30" s="29">
        <f>(SUMIFS(mensalidades!$E:$E,mensalidades!$B:$B,resumo_mens!I$1,mensalidades!$D:$D,resumo_mens!$B30))</f>
        <v>0</v>
      </c>
      <c r="J30" s="29">
        <f>(SUMIFS(mensalidades!$E:$E,mensalidades!$B:$B,resumo_mens!J$1,mensalidades!$D:$D,resumo_mens!$B30))</f>
        <v>0</v>
      </c>
      <c r="K30" s="29">
        <f>(SUMIFS(mensalidades!$E:$E,mensalidades!$B:$B,resumo_mens!K$1,mensalidades!$D:$D,resumo_mens!$B30))</f>
        <v>0</v>
      </c>
      <c r="L30" s="29">
        <f>(SUMIFS(mensalidades!$E:$E,mensalidades!$B:$B,resumo_mens!L$1,mensalidades!$D:$D,resumo_mens!$B30))</f>
        <v>0</v>
      </c>
      <c r="M30" s="29">
        <f>(SUMIFS(mensalidades!$E:$E,mensalidades!$B:$B,resumo_mens!M$1,mensalidades!$D:$D,resumo_mens!$B30))</f>
        <v>0</v>
      </c>
      <c r="N30" s="29">
        <f>(SUMIFS(mensalidades!$E:$E,mensalidades!$B:$B,resumo_mens!N$1,mensalidades!$D:$D,resumo_mens!$B30))</f>
        <v>0</v>
      </c>
      <c r="O30" s="24">
        <f t="shared" si="5"/>
        <v>300</v>
      </c>
    </row>
    <row r="31" spans="1:20">
      <c r="A31" s="32"/>
      <c r="B31" s="4" t="s">
        <v>46</v>
      </c>
      <c r="C31" s="29">
        <f>(SUMIFS(mensalidades!$E:$E,mensalidades!$B:$B,resumo_mens!C$1,mensalidades!$D:$D,resumo_mens!$B31))</f>
        <v>0</v>
      </c>
      <c r="D31" s="29">
        <f>(SUMIFS(mensalidades!$E:$E,mensalidades!$B:$B,resumo_mens!D$1,mensalidades!$D:$D,resumo_mens!$B31))</f>
        <v>80</v>
      </c>
      <c r="E31" s="29">
        <f>(SUMIFS(mensalidades!$E:$E,mensalidades!$B:$B,resumo_mens!E$1,mensalidades!$D:$D,resumo_mens!$B31))</f>
        <v>20</v>
      </c>
      <c r="F31" s="29">
        <f>(SUMIFS(mensalidades!$E:$E,mensalidades!$B:$B,resumo_mens!F$1,mensalidades!$D:$D,resumo_mens!$B31))</f>
        <v>100</v>
      </c>
      <c r="G31" s="29">
        <f>(SUMIFS(mensalidades!$E:$E,mensalidades!$B:$B,resumo_mens!G$1,mensalidades!$D:$D,resumo_mens!$B31))</f>
        <v>100</v>
      </c>
      <c r="H31" s="29">
        <f>(SUMIFS(mensalidades!$E:$E,mensalidades!$B:$B,resumo_mens!H$1,mensalidades!$D:$D,resumo_mens!$B31))</f>
        <v>92</v>
      </c>
      <c r="I31" s="29">
        <f>(SUMIFS(mensalidades!$E:$E,mensalidades!$B:$B,resumo_mens!I$1,mensalidades!$D:$D,resumo_mens!$B31))</f>
        <v>50</v>
      </c>
      <c r="J31" s="29">
        <f>(SUMIFS(mensalidades!$E:$E,mensalidades!$B:$B,resumo_mens!J$1,mensalidades!$D:$D,resumo_mens!$B31))</f>
        <v>72</v>
      </c>
      <c r="K31" s="29">
        <f>(SUMIFS(mensalidades!$E:$E,mensalidades!$B:$B,resumo_mens!K$1,mensalidades!$D:$D,resumo_mens!$B31))</f>
        <v>0</v>
      </c>
      <c r="L31" s="29">
        <f>(SUMIFS(mensalidades!$E:$E,mensalidades!$B:$B,resumo_mens!L$1,mensalidades!$D:$D,resumo_mens!$B31))</f>
        <v>0</v>
      </c>
      <c r="M31" s="29">
        <f>(SUMIFS(mensalidades!$E:$E,mensalidades!$B:$B,resumo_mens!M$1,mensalidades!$D:$D,resumo_mens!$B31))</f>
        <v>0</v>
      </c>
      <c r="N31" s="29">
        <f>(SUMIFS(mensalidades!$E:$E,mensalidades!$B:$B,resumo_mens!N$1,mensalidades!$D:$D,resumo_mens!$B31))</f>
        <v>0</v>
      </c>
      <c r="O31" s="24">
        <f t="shared" si="5"/>
        <v>514</v>
      </c>
    </row>
    <row r="32" spans="1:20" hidden="1">
      <c r="A32" s="124" t="s">
        <v>99</v>
      </c>
      <c r="B32" s="4" t="s">
        <v>100</v>
      </c>
      <c r="C32" s="29">
        <f>(SUMIFS(mensalidades!$E:$E,mensalidades!$B:$B,resumo_mens!C$1,mensalidades!$D:$D,resumo_mens!$B32))</f>
        <v>0</v>
      </c>
      <c r="D32" s="29">
        <f>(SUMIFS(mensalidades!$E:$E,mensalidades!$B:$B,resumo_mens!D$1,mensalidades!$D:$D,resumo_mens!$B32))</f>
        <v>0</v>
      </c>
      <c r="E32" s="29">
        <f>(SUMIFS(mensalidades!$E:$E,mensalidades!$B:$B,resumo_mens!E$1,mensalidades!$D:$D,resumo_mens!$B32))</f>
        <v>0</v>
      </c>
      <c r="F32" s="29">
        <f>(SUMIFS(mensalidades!$E:$E,mensalidades!$B:$B,resumo_mens!F$1,mensalidades!$D:$D,resumo_mens!$B32))</f>
        <v>0</v>
      </c>
      <c r="G32" s="29">
        <f>(SUMIFS(mensalidades!$E:$E,mensalidades!$B:$B,resumo_mens!G$1,mensalidades!$D:$D,resumo_mens!$B32))</f>
        <v>0</v>
      </c>
      <c r="H32" s="29">
        <f>(SUMIFS(mensalidades!$E:$E,mensalidades!$B:$B,resumo_mens!H$1,mensalidades!$D:$D,resumo_mens!$B32))</f>
        <v>0</v>
      </c>
      <c r="I32" s="29">
        <f>(SUMIFS(mensalidades!$E:$E,mensalidades!$B:$B,resumo_mens!I$1,mensalidades!$D:$D,resumo_mens!$B32))</f>
        <v>0</v>
      </c>
      <c r="J32" s="29">
        <f>(SUMIFS(mensalidades!$E:$E,mensalidades!$B:$B,resumo_mens!J$1,mensalidades!$D:$D,resumo_mens!$B32))</f>
        <v>0</v>
      </c>
      <c r="K32" s="29">
        <f>(SUMIFS(mensalidades!$E:$E,mensalidades!$B:$B,resumo_mens!K$1,mensalidades!$D:$D,resumo_mens!$B32))</f>
        <v>0</v>
      </c>
      <c r="L32" s="29">
        <f>(SUMIFS(mensalidades!$E:$E,mensalidades!$B:$B,resumo_mens!L$1,mensalidades!$D:$D,resumo_mens!$B32))</f>
        <v>0</v>
      </c>
      <c r="M32" s="29">
        <f>(SUMIFS(mensalidades!$E:$E,mensalidades!$B:$B,resumo_mens!M$1,mensalidades!$D:$D,resumo_mens!$B32))</f>
        <v>0</v>
      </c>
      <c r="N32" s="29">
        <f>(SUMIFS(mensalidades!$E:$E,mensalidades!$B:$B,resumo_mens!N$1,mensalidades!$D:$D,resumo_mens!$B32))</f>
        <v>0</v>
      </c>
      <c r="O32" s="24">
        <f t="shared" si="5"/>
        <v>0</v>
      </c>
    </row>
    <row r="33" spans="1:17" hidden="1">
      <c r="A33" s="124" t="s">
        <v>7</v>
      </c>
      <c r="B33" s="4" t="s">
        <v>101</v>
      </c>
      <c r="C33" s="29">
        <f>(SUMIFS(mensalidades!$E:$E,mensalidades!$B:$B,resumo_mens!C$1,mensalidades!$D:$D,resumo_mens!$B33))</f>
        <v>0</v>
      </c>
      <c r="D33" s="29">
        <f>(SUMIFS(mensalidades!$E:$E,mensalidades!$B:$B,resumo_mens!D$1,mensalidades!$D:$D,resumo_mens!$B33))</f>
        <v>0</v>
      </c>
      <c r="E33" s="29">
        <f>(SUMIFS(mensalidades!$E:$E,mensalidades!$B:$B,resumo_mens!E$1,mensalidades!$D:$D,resumo_mens!$B33))</f>
        <v>0</v>
      </c>
      <c r="F33" s="29">
        <f>(SUMIFS(mensalidades!$E:$E,mensalidades!$B:$B,resumo_mens!F$1,mensalidades!$D:$D,resumo_mens!$B33))</f>
        <v>0</v>
      </c>
      <c r="G33" s="29">
        <f>(SUMIFS(mensalidades!$E:$E,mensalidades!$B:$B,resumo_mens!G$1,mensalidades!$D:$D,resumo_mens!$B33))</f>
        <v>0</v>
      </c>
      <c r="H33" s="29">
        <f>(SUMIFS(mensalidades!$E:$E,mensalidades!$B:$B,resumo_mens!H$1,mensalidades!$D:$D,resumo_mens!$B33))</f>
        <v>0</v>
      </c>
      <c r="I33" s="29">
        <f>(SUMIFS(mensalidades!$E:$E,mensalidades!$B:$B,resumo_mens!I$1,mensalidades!$D:$D,resumo_mens!$B33))</f>
        <v>0</v>
      </c>
      <c r="J33" s="29">
        <f>(SUMIFS(mensalidades!$E:$E,mensalidades!$B:$B,resumo_mens!J$1,mensalidades!$D:$D,resumo_mens!$B33))</f>
        <v>0</v>
      </c>
      <c r="K33" s="29">
        <f>(SUMIFS(mensalidades!$E:$E,mensalidades!$B:$B,resumo_mens!K$1,mensalidades!$D:$D,resumo_mens!$B33))</f>
        <v>0</v>
      </c>
      <c r="L33" s="29">
        <f>(SUMIFS(mensalidades!$E:$E,mensalidades!$B:$B,resumo_mens!L$1,mensalidades!$D:$D,resumo_mens!$B33))</f>
        <v>0</v>
      </c>
      <c r="M33" s="29">
        <f>(SUMIFS(mensalidades!$E:$E,mensalidades!$B:$B,resumo_mens!M$1,mensalidades!$D:$D,resumo_mens!$B33))</f>
        <v>0</v>
      </c>
      <c r="N33" s="29">
        <f>(SUMIFS(mensalidades!$E:$E,mensalidades!$B:$B,resumo_mens!N$1,mensalidades!$D:$D,resumo_mens!$B33))</f>
        <v>0</v>
      </c>
      <c r="O33" s="24">
        <f t="shared" si="5"/>
        <v>0</v>
      </c>
    </row>
    <row r="34" spans="1:17" hidden="1">
      <c r="A34" s="124" t="s">
        <v>7</v>
      </c>
      <c r="B34" s="4" t="s">
        <v>57</v>
      </c>
      <c r="C34" s="29">
        <f>(SUMIFS(mensalidades!$E:$E,mensalidades!$B:$B,resumo_mens!C$1,mensalidades!$D:$D,resumo_mens!$B34))</f>
        <v>0</v>
      </c>
      <c r="D34" s="29">
        <f>(SUMIFS(mensalidades!$E:$E,mensalidades!$B:$B,resumo_mens!D$1,mensalidades!$D:$D,resumo_mens!$B34))</f>
        <v>0</v>
      </c>
      <c r="E34" s="29">
        <f>(SUMIFS(mensalidades!$E:$E,mensalidades!$B:$B,resumo_mens!E$1,mensalidades!$D:$D,resumo_mens!$B34))</f>
        <v>100</v>
      </c>
      <c r="F34" s="29">
        <f>(SUMIFS(mensalidades!$E:$E,mensalidades!$B:$B,resumo_mens!F$1,mensalidades!$D:$D,resumo_mens!$B34))</f>
        <v>100</v>
      </c>
      <c r="G34" s="29">
        <f>(SUMIFS(mensalidades!$E:$E,mensalidades!$B:$B,resumo_mens!G$1,mensalidades!$D:$D,resumo_mens!$B34))</f>
        <v>100</v>
      </c>
      <c r="H34" s="29">
        <f>(SUMIFS(mensalidades!$E:$E,mensalidades!$B:$B,resumo_mens!H$1,mensalidades!$D:$D,resumo_mens!$B34))</f>
        <v>0</v>
      </c>
      <c r="I34" s="29">
        <f>(SUMIFS(mensalidades!$E:$E,mensalidades!$B:$B,resumo_mens!I$1,mensalidades!$D:$D,resumo_mens!$B34))</f>
        <v>0</v>
      </c>
      <c r="J34" s="29">
        <f>(SUMIFS(mensalidades!$E:$E,mensalidades!$B:$B,resumo_mens!J$1,mensalidades!$D:$D,resumo_mens!$B34))</f>
        <v>0</v>
      </c>
      <c r="K34" s="29">
        <f>(SUMIFS(mensalidades!$E:$E,mensalidades!$B:$B,resumo_mens!K$1,mensalidades!$D:$D,resumo_mens!$B34))</f>
        <v>0</v>
      </c>
      <c r="L34" s="29">
        <f>(SUMIFS(mensalidades!$E:$E,mensalidades!$B:$B,resumo_mens!L$1,mensalidades!$D:$D,resumo_mens!$B34))</f>
        <v>0</v>
      </c>
      <c r="M34" s="29">
        <f>(SUMIFS(mensalidades!$E:$E,mensalidades!$B:$B,resumo_mens!M$1,mensalidades!$D:$D,resumo_mens!$B34))</f>
        <v>0</v>
      </c>
      <c r="N34" s="29">
        <f>(SUMIFS(mensalidades!$E:$E,mensalidades!$B:$B,resumo_mens!N$1,mensalidades!$D:$D,resumo_mens!$B34))</f>
        <v>0</v>
      </c>
      <c r="O34" s="24">
        <f t="shared" si="5"/>
        <v>300</v>
      </c>
    </row>
    <row r="35" spans="1:17">
      <c r="A35" s="32"/>
      <c r="B35" s="4" t="s">
        <v>37</v>
      </c>
      <c r="C35" s="29">
        <f>(SUMIFS(mensalidades!$E:$E,mensalidades!$B:$B,resumo_mens!C$1,mensalidades!$D:$D,resumo_mens!$B35))</f>
        <v>0</v>
      </c>
      <c r="D35" s="29">
        <f>(SUMIFS(mensalidades!$E:$E,mensalidades!$B:$B,resumo_mens!D$1,mensalidades!$D:$D,resumo_mens!$B35))</f>
        <v>100</v>
      </c>
      <c r="E35" s="29">
        <f>(SUMIFS(mensalidades!$E:$E,mensalidades!$B:$B,resumo_mens!E$1,mensalidades!$D:$D,resumo_mens!$B35))</f>
        <v>100</v>
      </c>
      <c r="F35" s="29">
        <f>(SUMIFS(mensalidades!$E:$E,mensalidades!$B:$B,resumo_mens!F$1,mensalidades!$D:$D,resumo_mens!$B35))</f>
        <v>100</v>
      </c>
      <c r="G35" s="29">
        <f>(SUMIFS(mensalidades!$E:$E,mensalidades!$B:$B,resumo_mens!G$1,mensalidades!$D:$D,resumo_mens!$B35))</f>
        <v>100</v>
      </c>
      <c r="H35" s="29">
        <f>(SUMIFS(mensalidades!$E:$E,mensalidades!$B:$B,resumo_mens!H$1,mensalidades!$D:$D,resumo_mens!$B35))</f>
        <v>100</v>
      </c>
      <c r="I35" s="29">
        <f>(SUMIFS(mensalidades!$E:$E,mensalidades!$B:$B,resumo_mens!I$1,mensalidades!$D:$D,resumo_mens!$B35))</f>
        <v>100</v>
      </c>
      <c r="J35" s="29">
        <f>(SUMIFS(mensalidades!$E:$E,mensalidades!$B:$B,resumo_mens!J$1,mensalidades!$D:$D,resumo_mens!$B35))</f>
        <v>100</v>
      </c>
      <c r="K35" s="29">
        <f>(SUMIFS(mensalidades!$E:$E,mensalidades!$B:$B,resumo_mens!K$1,mensalidades!$D:$D,resumo_mens!$B35))</f>
        <v>0</v>
      </c>
      <c r="L35" s="29">
        <f>(SUMIFS(mensalidades!$E:$E,mensalidades!$B:$B,resumo_mens!L$1,mensalidades!$D:$D,resumo_mens!$B35))</f>
        <v>0</v>
      </c>
      <c r="M35" s="29">
        <f>(SUMIFS(mensalidades!$E:$E,mensalidades!$B:$B,resumo_mens!M$1,mensalidades!$D:$D,resumo_mens!$B35))</f>
        <v>0</v>
      </c>
      <c r="N35" s="29">
        <f>(SUMIFS(mensalidades!$E:$E,mensalidades!$B:$B,resumo_mens!N$1,mensalidades!$D:$D,resumo_mens!$B35))</f>
        <v>0</v>
      </c>
      <c r="O35" s="24">
        <f t="shared" si="5"/>
        <v>700</v>
      </c>
      <c r="Q35" s="14"/>
    </row>
    <row r="36" spans="1:17">
      <c r="A36" s="32"/>
      <c r="B36" s="4" t="s">
        <v>52</v>
      </c>
      <c r="C36" s="29">
        <f>(SUMIFS(mensalidades!$E:$E,mensalidades!$B:$B,resumo_mens!C$1,mensalidades!$D:$D,resumo_mens!$B36))</f>
        <v>0</v>
      </c>
      <c r="D36" s="29">
        <f>(SUMIFS(mensalidades!$E:$E,mensalidades!$B:$B,resumo_mens!D$1,mensalidades!$D:$D,resumo_mens!$B36))</f>
        <v>100</v>
      </c>
      <c r="E36" s="29">
        <f>(SUMIFS(mensalidades!$E:$E,mensalidades!$B:$B,resumo_mens!E$1,mensalidades!$D:$D,resumo_mens!$B36))</f>
        <v>100</v>
      </c>
      <c r="F36" s="29">
        <f>(SUMIFS(mensalidades!$E:$E,mensalidades!$B:$B,resumo_mens!F$1,mensalidades!$D:$D,resumo_mens!$B36))</f>
        <v>100</v>
      </c>
      <c r="G36" s="29">
        <f>(SUMIFS(mensalidades!$E:$E,mensalidades!$B:$B,resumo_mens!G$1,mensalidades!$D:$D,resumo_mens!$B36))</f>
        <v>100</v>
      </c>
      <c r="H36" s="29">
        <f>(SUMIFS(mensalidades!$E:$E,mensalidades!$B:$B,resumo_mens!H$1,mensalidades!$D:$D,resumo_mens!$B36))</f>
        <v>0</v>
      </c>
      <c r="I36" s="29">
        <f>(SUMIFS(mensalidades!$E:$E,mensalidades!$B:$B,resumo_mens!I$1,mensalidades!$D:$D,resumo_mens!$B36))</f>
        <v>0</v>
      </c>
      <c r="J36" s="29">
        <f>(SUMIFS(mensalidades!$E:$E,mensalidades!$B:$B,resumo_mens!J$1,mensalidades!$D:$D,resumo_mens!$B36))</f>
        <v>100</v>
      </c>
      <c r="K36" s="29">
        <f>(SUMIFS(mensalidades!$E:$E,mensalidades!$B:$B,resumo_mens!K$1,mensalidades!$D:$D,resumo_mens!$B36))</f>
        <v>0</v>
      </c>
      <c r="L36" s="29">
        <f>(SUMIFS(mensalidades!$E:$E,mensalidades!$B:$B,resumo_mens!L$1,mensalidades!$D:$D,resumo_mens!$B36))</f>
        <v>0</v>
      </c>
      <c r="M36" s="29">
        <f>(SUMIFS(mensalidades!$E:$E,mensalidades!$B:$B,resumo_mens!M$1,mensalidades!$D:$D,resumo_mens!$B36))</f>
        <v>0</v>
      </c>
      <c r="N36" s="29">
        <f>(SUMIFS(mensalidades!$E:$E,mensalidades!$B:$B,resumo_mens!N$1,mensalidades!$D:$D,resumo_mens!$B36))</f>
        <v>0</v>
      </c>
      <c r="O36" s="24">
        <f t="shared" si="5"/>
        <v>500</v>
      </c>
    </row>
    <row r="37" spans="1:17">
      <c r="B37" s="4" t="s">
        <v>102</v>
      </c>
      <c r="C37" s="29">
        <f>(SUMIFS(mensalidades!$E:$E,mensalidades!$B:$B,resumo_mens!C$1,mensalidades!$D:$D,resumo_mens!$B37))</f>
        <v>0</v>
      </c>
      <c r="D37" s="29">
        <f>(SUMIFS(mensalidades!$E:$E,mensalidades!$B:$B,resumo_mens!D$1,mensalidades!$D:$D,resumo_mens!$B37))</f>
        <v>0</v>
      </c>
      <c r="E37" s="29">
        <f>(SUMIFS(mensalidades!$E:$E,mensalidades!$B:$B,resumo_mens!E$1,mensalidades!$D:$D,resumo_mens!$B37))</f>
        <v>0</v>
      </c>
      <c r="F37" s="29">
        <f>(SUMIFS(mensalidades!$E:$E,mensalidades!$B:$B,resumo_mens!F$1,mensalidades!$D:$D,resumo_mens!$B37))</f>
        <v>0</v>
      </c>
      <c r="G37" s="29">
        <f>(SUMIFS(mensalidades!$E:$E,mensalidades!$B:$B,resumo_mens!G$1,mensalidades!$D:$D,resumo_mens!$B37))</f>
        <v>0</v>
      </c>
      <c r="H37" s="29">
        <f>(SUMIFS(mensalidades!$E:$E,mensalidades!$B:$B,resumo_mens!H$1,mensalidades!$D:$D,resumo_mens!$B37))</f>
        <v>0</v>
      </c>
      <c r="I37" s="29">
        <f>(SUMIFS(mensalidades!$E:$E,mensalidades!$B:$B,resumo_mens!I$1,mensalidades!$D:$D,resumo_mens!$B37))</f>
        <v>0</v>
      </c>
      <c r="J37" s="29">
        <f>(SUMIFS(mensalidades!$E:$E,mensalidades!$B:$B,resumo_mens!J$1,mensalidades!$D:$D,resumo_mens!$B37))</f>
        <v>0</v>
      </c>
      <c r="K37" s="29">
        <f>(SUMIFS(mensalidades!$E:$E,mensalidades!$B:$B,resumo_mens!K$1,mensalidades!$D:$D,resumo_mens!$B37))</f>
        <v>0</v>
      </c>
      <c r="L37" s="29">
        <f>(SUMIFS(mensalidades!$E:$E,mensalidades!$B:$B,resumo_mens!L$1,mensalidades!$D:$D,resumo_mens!$B37))</f>
        <v>0</v>
      </c>
      <c r="M37" s="29">
        <f>(SUMIFS(mensalidades!$E:$E,mensalidades!$B:$B,resumo_mens!M$1,mensalidades!$D:$D,resumo_mens!$B37))</f>
        <v>0</v>
      </c>
      <c r="N37" s="29">
        <f>(SUMIFS(mensalidades!$E:$E,mensalidades!$B:$B,resumo_mens!N$1,mensalidades!$D:$D,resumo_mens!$B37))</f>
        <v>0</v>
      </c>
      <c r="O37" s="24">
        <f t="shared" si="5"/>
        <v>0</v>
      </c>
    </row>
    <row r="38" spans="1:17">
      <c r="A38" s="32"/>
      <c r="B38" s="4" t="s">
        <v>38</v>
      </c>
      <c r="C38" s="29">
        <f>(SUMIFS(mensalidades!$E:$E,mensalidades!$B:$B,resumo_mens!C$1,mensalidades!$D:$D,resumo_mens!$B38))</f>
        <v>0</v>
      </c>
      <c r="D38" s="29">
        <f>(SUMIFS(mensalidades!$E:$E,mensalidades!$B:$B,resumo_mens!D$1,mensalidades!$D:$D,resumo_mens!$B38))</f>
        <v>100</v>
      </c>
      <c r="E38" s="29">
        <f>(SUMIFS(mensalidades!$E:$E,mensalidades!$B:$B,resumo_mens!E$1,mensalidades!$D:$D,resumo_mens!$B38))</f>
        <v>100</v>
      </c>
      <c r="F38" s="29">
        <f>(SUMIFS(mensalidades!$E:$E,mensalidades!$B:$B,resumo_mens!F$1,mensalidades!$D:$D,resumo_mens!$B38))</f>
        <v>100</v>
      </c>
      <c r="G38" s="29">
        <f>(SUMIFS(mensalidades!$E:$E,mensalidades!$B:$B,resumo_mens!G$1,mensalidades!$D:$D,resumo_mens!$B38))</f>
        <v>100</v>
      </c>
      <c r="H38" s="29">
        <f>(SUMIFS(mensalidades!$E:$E,mensalidades!$B:$B,resumo_mens!H$1,mensalidades!$D:$D,resumo_mens!$B38))</f>
        <v>100</v>
      </c>
      <c r="I38" s="29">
        <f>(SUMIFS(mensalidades!$E:$E,mensalidades!$B:$B,resumo_mens!I$1,mensalidades!$D:$D,resumo_mens!$B38))</f>
        <v>100</v>
      </c>
      <c r="J38" s="29">
        <f>(SUMIFS(mensalidades!$E:$E,mensalidades!$B:$B,resumo_mens!J$1,mensalidades!$D:$D,resumo_mens!$B38))</f>
        <v>100</v>
      </c>
      <c r="K38" s="29">
        <f>(SUMIFS(mensalidades!$E:$E,mensalidades!$B:$B,resumo_mens!K$1,mensalidades!$D:$D,resumo_mens!$B38))</f>
        <v>0</v>
      </c>
      <c r="L38" s="29">
        <f>(SUMIFS(mensalidades!$E:$E,mensalidades!$B:$B,resumo_mens!L$1,mensalidades!$D:$D,resumo_mens!$B38))</f>
        <v>0</v>
      </c>
      <c r="M38" s="29">
        <f>(SUMIFS(mensalidades!$E:$E,mensalidades!$B:$B,resumo_mens!M$1,mensalidades!$D:$D,resumo_mens!$B38))</f>
        <v>0</v>
      </c>
      <c r="N38" s="29">
        <f>(SUMIFS(mensalidades!$E:$E,mensalidades!$B:$B,resumo_mens!N$1,mensalidades!$D:$D,resumo_mens!$B38))</f>
        <v>0</v>
      </c>
      <c r="O38" s="24">
        <f t="shared" si="5"/>
        <v>700</v>
      </c>
    </row>
    <row r="39" spans="1:17">
      <c r="A39" s="32"/>
      <c r="B39" s="4" t="s">
        <v>32</v>
      </c>
      <c r="C39" s="29">
        <f>(SUMIFS(mensalidades!$E:$E,mensalidades!$B:$B,resumo_mens!C$1,mensalidades!$D:$D,resumo_mens!$B39))</f>
        <v>100</v>
      </c>
      <c r="D39" s="29">
        <f>(SUMIFS(mensalidades!$E:$E,mensalidades!$B:$B,resumo_mens!D$1,mensalidades!$D:$D,resumo_mens!$B39))</f>
        <v>0</v>
      </c>
      <c r="E39" s="29">
        <f>(SUMIFS(mensalidades!$E:$E,mensalidades!$B:$B,resumo_mens!E$1,mensalidades!$D:$D,resumo_mens!$B39))</f>
        <v>200</v>
      </c>
      <c r="F39" s="29">
        <f>(SUMIFS(mensalidades!$E:$E,mensalidades!$B:$B,resumo_mens!F$1,mensalidades!$D:$D,resumo_mens!$B39))</f>
        <v>0</v>
      </c>
      <c r="G39" s="29">
        <f>(SUMIFS(mensalidades!$E:$E,mensalidades!$B:$B,resumo_mens!G$1,mensalidades!$D:$D,resumo_mens!$B39))</f>
        <v>100</v>
      </c>
      <c r="H39" s="29">
        <f>(SUMIFS(mensalidades!$E:$E,mensalidades!$B:$B,resumo_mens!H$1,mensalidades!$D:$D,resumo_mens!$B39))</f>
        <v>100</v>
      </c>
      <c r="I39" s="29">
        <f>(SUMIFS(mensalidades!$E:$E,mensalidades!$B:$B,resumo_mens!I$1,mensalidades!$D:$D,resumo_mens!$B39))</f>
        <v>100</v>
      </c>
      <c r="J39" s="29">
        <f>(SUMIFS(mensalidades!$E:$E,mensalidades!$B:$B,resumo_mens!J$1,mensalidades!$D:$D,resumo_mens!$B39))</f>
        <v>100</v>
      </c>
      <c r="K39" s="29">
        <f>(SUMIFS(mensalidades!$E:$E,mensalidades!$B:$B,resumo_mens!K$1,mensalidades!$D:$D,resumo_mens!$B39))</f>
        <v>0</v>
      </c>
      <c r="L39" s="29">
        <f>(SUMIFS(mensalidades!$E:$E,mensalidades!$B:$B,resumo_mens!L$1,mensalidades!$D:$D,resumo_mens!$B39))</f>
        <v>0</v>
      </c>
      <c r="M39" s="29">
        <f>(SUMIFS(mensalidades!$E:$E,mensalidades!$B:$B,resumo_mens!M$1,mensalidades!$D:$D,resumo_mens!$B39))</f>
        <v>0</v>
      </c>
      <c r="N39" s="29">
        <f>(SUMIFS(mensalidades!$E:$E,mensalidades!$B:$B,resumo_mens!N$1,mensalidades!$D:$D,resumo_mens!$B39))</f>
        <v>0</v>
      </c>
      <c r="O39" s="24">
        <f t="shared" si="5"/>
        <v>700</v>
      </c>
    </row>
    <row r="40" spans="1:17" hidden="1">
      <c r="A40" s="124" t="s">
        <v>99</v>
      </c>
      <c r="B40" s="4" t="s">
        <v>60</v>
      </c>
      <c r="C40" s="29">
        <f>(SUMIFS(mensalidades!$E:$E,mensalidades!$B:$B,resumo_mens!C$1,mensalidades!$D:$D,resumo_mens!$B40))</f>
        <v>0</v>
      </c>
      <c r="D40" s="29">
        <f>(SUMIFS(mensalidades!$E:$E,mensalidades!$B:$B,resumo_mens!D$1,mensalidades!$D:$D,resumo_mens!$B40))</f>
        <v>0</v>
      </c>
      <c r="E40" s="29">
        <f>(SUMIFS(mensalidades!$E:$E,mensalidades!$B:$B,resumo_mens!E$1,mensalidades!$D:$D,resumo_mens!$B40))</f>
        <v>0</v>
      </c>
      <c r="F40" s="29">
        <f>(SUMIFS(mensalidades!$E:$E,mensalidades!$B:$B,resumo_mens!F$1,mensalidades!$D:$D,resumo_mens!$B40))</f>
        <v>100</v>
      </c>
      <c r="G40" s="29">
        <f>(SUMIFS(mensalidades!$E:$E,mensalidades!$B:$B,resumo_mens!G$1,mensalidades!$D:$D,resumo_mens!$B40))</f>
        <v>0</v>
      </c>
      <c r="H40" s="29">
        <f>(SUMIFS(mensalidades!$E:$E,mensalidades!$B:$B,resumo_mens!H$1,mensalidades!$D:$D,resumo_mens!$B40))</f>
        <v>0</v>
      </c>
      <c r="I40" s="29">
        <f>(SUMIFS(mensalidades!$E:$E,mensalidades!$B:$B,resumo_mens!I$1,mensalidades!$D:$D,resumo_mens!$B40))</f>
        <v>0</v>
      </c>
      <c r="J40" s="29">
        <f>(SUMIFS(mensalidades!$E:$E,mensalidades!$B:$B,resumo_mens!J$1,mensalidades!$D:$D,resumo_mens!$B40))</f>
        <v>0</v>
      </c>
      <c r="K40" s="29">
        <f>(SUMIFS(mensalidades!$E:$E,mensalidades!$B:$B,resumo_mens!K$1,mensalidades!$D:$D,resumo_mens!$B40))</f>
        <v>0</v>
      </c>
      <c r="L40" s="29">
        <f>(SUMIFS(mensalidades!$E:$E,mensalidades!$B:$B,resumo_mens!L$1,mensalidades!$D:$D,resumo_mens!$B40))</f>
        <v>0</v>
      </c>
      <c r="M40" s="29">
        <f>(SUMIFS(mensalidades!$E:$E,mensalidades!$B:$B,resumo_mens!M$1,mensalidades!$D:$D,resumo_mens!$B40))</f>
        <v>0</v>
      </c>
      <c r="N40" s="29">
        <f>(SUMIFS(mensalidades!$E:$E,mensalidades!$B:$B,resumo_mens!N$1,mensalidades!$D:$D,resumo_mens!$B40))</f>
        <v>0</v>
      </c>
      <c r="O40" s="24">
        <f t="shared" si="5"/>
        <v>100</v>
      </c>
    </row>
    <row r="41" spans="1:17">
      <c r="A41" s="32"/>
      <c r="B41" s="4" t="s">
        <v>39</v>
      </c>
      <c r="C41" s="29">
        <f>(SUMIFS(mensalidades!$E:$E,mensalidades!$B:$B,resumo_mens!C$1,mensalidades!$D:$D,resumo_mens!$B41))</f>
        <v>0</v>
      </c>
      <c r="D41" s="29">
        <f>(SUMIFS(mensalidades!$E:$E,mensalidades!$B:$B,resumo_mens!D$1,mensalidades!$D:$D,resumo_mens!$B41))</f>
        <v>200</v>
      </c>
      <c r="E41" s="29">
        <f>(SUMIFS(mensalidades!$E:$E,mensalidades!$B:$B,resumo_mens!E$1,mensalidades!$D:$D,resumo_mens!$B41))</f>
        <v>100</v>
      </c>
      <c r="F41" s="29">
        <f>(SUMIFS(mensalidades!$E:$E,mensalidades!$B:$B,resumo_mens!F$1,mensalidades!$D:$D,resumo_mens!$B41))</f>
        <v>100</v>
      </c>
      <c r="G41" s="29">
        <f>(SUMIFS(mensalidades!$E:$E,mensalidades!$B:$B,resumo_mens!G$1,mensalidades!$D:$D,resumo_mens!$B41))</f>
        <v>100</v>
      </c>
      <c r="H41" s="29">
        <f>(SUMIFS(mensalidades!$E:$E,mensalidades!$B:$B,resumo_mens!H$1,mensalidades!$D:$D,resumo_mens!$B41))</f>
        <v>100</v>
      </c>
      <c r="I41" s="29">
        <f>(SUMIFS(mensalidades!$E:$E,mensalidades!$B:$B,resumo_mens!I$1,mensalidades!$D:$D,resumo_mens!$B41))</f>
        <v>0</v>
      </c>
      <c r="J41" s="29">
        <f>(SUMIFS(mensalidades!$E:$E,mensalidades!$B:$B,resumo_mens!J$1,mensalidades!$D:$D,resumo_mens!$B41))</f>
        <v>100</v>
      </c>
      <c r="K41" s="29">
        <f>(SUMIFS(mensalidades!$E:$E,mensalidades!$B:$B,resumo_mens!K$1,mensalidades!$D:$D,resumo_mens!$B41))</f>
        <v>0</v>
      </c>
      <c r="L41" s="29">
        <f>(SUMIFS(mensalidades!$E:$E,mensalidades!$B:$B,resumo_mens!L$1,mensalidades!$D:$D,resumo_mens!$B41))</f>
        <v>0</v>
      </c>
      <c r="M41" s="29">
        <f>(SUMIFS(mensalidades!$E:$E,mensalidades!$B:$B,resumo_mens!M$1,mensalidades!$D:$D,resumo_mens!$B41))</f>
        <v>0</v>
      </c>
      <c r="N41" s="29">
        <f>(SUMIFS(mensalidades!$E:$E,mensalidades!$B:$B,resumo_mens!N$1,mensalidades!$D:$D,resumo_mens!$B41))</f>
        <v>0</v>
      </c>
      <c r="O41" s="24">
        <f t="shared" si="5"/>
        <v>700</v>
      </c>
    </row>
    <row r="42" spans="1:17">
      <c r="A42" s="32"/>
      <c r="B42" s="4" t="s">
        <v>74</v>
      </c>
      <c r="C42" s="29">
        <f>(SUMIFS(mensalidades!$E:$E,mensalidades!$B:$B,resumo_mens!C$1,mensalidades!$D:$D,resumo_mens!$B42))</f>
        <v>0</v>
      </c>
      <c r="D42" s="29">
        <f>(SUMIFS(mensalidades!$E:$E,mensalidades!$B:$B,resumo_mens!D$1,mensalidades!$D:$D,resumo_mens!$B42))</f>
        <v>0</v>
      </c>
      <c r="E42" s="29">
        <f>(SUMIFS(mensalidades!$E:$E,mensalidades!$B:$B,resumo_mens!E$1,mensalidades!$D:$D,resumo_mens!$B42))</f>
        <v>0</v>
      </c>
      <c r="F42" s="29">
        <f>(SUMIFS(mensalidades!$E:$E,mensalidades!$B:$B,resumo_mens!F$1,mensalidades!$D:$D,resumo_mens!$B42))</f>
        <v>0</v>
      </c>
      <c r="G42" s="29">
        <f>(SUMIFS(mensalidades!$E:$E,mensalidades!$B:$B,resumo_mens!G$1,mensalidades!$D:$D,resumo_mens!$B42))</f>
        <v>0</v>
      </c>
      <c r="H42" s="29">
        <f>(SUMIFS(mensalidades!$E:$E,mensalidades!$B:$B,resumo_mens!H$1,mensalidades!$D:$D,resumo_mens!$B42))</f>
        <v>0</v>
      </c>
      <c r="I42" s="29">
        <f>(SUMIFS(mensalidades!$E:$E,mensalidades!$B:$B,resumo_mens!I$1,mensalidades!$D:$D,resumo_mens!$B42))</f>
        <v>100</v>
      </c>
      <c r="J42" s="29">
        <f>(SUMIFS(mensalidades!$E:$E,mensalidades!$B:$B,resumo_mens!J$1,mensalidades!$D:$D,resumo_mens!$B42))</f>
        <v>100</v>
      </c>
      <c r="K42" s="29">
        <f>(SUMIFS(mensalidades!$E:$E,mensalidades!$B:$B,resumo_mens!K$1,mensalidades!$D:$D,resumo_mens!$B42))</f>
        <v>0</v>
      </c>
      <c r="L42" s="29">
        <f>(SUMIFS(mensalidades!$E:$E,mensalidades!$B:$B,resumo_mens!L$1,mensalidades!$D:$D,resumo_mens!$B42))</f>
        <v>0</v>
      </c>
      <c r="M42" s="29">
        <f>(SUMIFS(mensalidades!$E:$E,mensalidades!$B:$B,resumo_mens!M$1,mensalidades!$D:$D,resumo_mens!$B42))</f>
        <v>0</v>
      </c>
      <c r="N42" s="29">
        <f>(SUMIFS(mensalidades!$E:$E,mensalidades!$B:$B,resumo_mens!N$1,mensalidades!$D:$D,resumo_mens!$B42))</f>
        <v>0</v>
      </c>
      <c r="O42" s="24">
        <f t="shared" si="5"/>
        <v>200</v>
      </c>
    </row>
    <row r="43" spans="1:17">
      <c r="A43" s="32"/>
      <c r="B43" s="4" t="s">
        <v>68</v>
      </c>
      <c r="C43" s="29">
        <f>(SUMIFS(mensalidades!$E:$E,mensalidades!$B:$B,resumo_mens!C$1,mensalidades!$D:$D,resumo_mens!$B43))</f>
        <v>0</v>
      </c>
      <c r="D43" s="29">
        <f>(SUMIFS(mensalidades!$E:$E,mensalidades!$B:$B,resumo_mens!D$1,mensalidades!$D:$D,resumo_mens!$B43))</f>
        <v>0</v>
      </c>
      <c r="E43" s="29">
        <f>(SUMIFS(mensalidades!$E:$E,mensalidades!$B:$B,resumo_mens!E$1,mensalidades!$D:$D,resumo_mens!$B43))</f>
        <v>0</v>
      </c>
      <c r="F43" s="29">
        <f>(SUMIFS(mensalidades!$E:$E,mensalidades!$B:$B,resumo_mens!F$1,mensalidades!$D:$D,resumo_mens!$B43))</f>
        <v>0</v>
      </c>
      <c r="G43" s="29">
        <f>(SUMIFS(mensalidades!$E:$E,mensalidades!$B:$B,resumo_mens!G$1,mensalidades!$D:$D,resumo_mens!$B43))</f>
        <v>0</v>
      </c>
      <c r="H43" s="29">
        <f>(SUMIFS(mensalidades!$E:$E,mensalidades!$B:$B,resumo_mens!H$1,mensalidades!$D:$D,resumo_mens!$B43))</f>
        <v>100</v>
      </c>
      <c r="I43" s="29">
        <f>(SUMIFS(mensalidades!$E:$E,mensalidades!$B:$B,resumo_mens!I$1,mensalidades!$D:$D,resumo_mens!$B43))</f>
        <v>0</v>
      </c>
      <c r="J43" s="29">
        <f>(SUMIFS(mensalidades!$E:$E,mensalidades!$B:$B,resumo_mens!J$1,mensalidades!$D:$D,resumo_mens!$B43))</f>
        <v>0</v>
      </c>
      <c r="K43" s="29">
        <f>(SUMIFS(mensalidades!$E:$E,mensalidades!$B:$B,resumo_mens!K$1,mensalidades!$D:$D,resumo_mens!$B43))</f>
        <v>0</v>
      </c>
      <c r="L43" s="29">
        <f>(SUMIFS(mensalidades!$E:$E,mensalidades!$B:$B,resumo_mens!L$1,mensalidades!$D:$D,resumo_mens!$B43))</f>
        <v>0</v>
      </c>
      <c r="M43" s="29">
        <f>(SUMIFS(mensalidades!$E:$E,mensalidades!$B:$B,resumo_mens!M$1,mensalidades!$D:$D,resumo_mens!$B43))</f>
        <v>0</v>
      </c>
      <c r="N43" s="29">
        <f>(SUMIFS(mensalidades!$E:$E,mensalidades!$B:$B,resumo_mens!N$1,mensalidades!$D:$D,resumo_mens!$B43))</f>
        <v>0</v>
      </c>
      <c r="O43" s="24">
        <f t="shared" si="5"/>
        <v>100</v>
      </c>
    </row>
    <row r="44" spans="1:17">
      <c r="A44" s="32"/>
      <c r="B44" s="4" t="s">
        <v>25</v>
      </c>
      <c r="C44" s="29">
        <f>(SUMIFS(mensalidades!$E:$E,mensalidades!$B:$B,resumo_mens!C$1,mensalidades!$D:$D,resumo_mens!$B44))</f>
        <v>100</v>
      </c>
      <c r="D44" s="29">
        <f>(SUMIFS(mensalidades!$E:$E,mensalidades!$B:$B,resumo_mens!D$1,mensalidades!$D:$D,resumo_mens!$B44))</f>
        <v>100</v>
      </c>
      <c r="E44" s="29">
        <f>(SUMIFS(mensalidades!$E:$E,mensalidades!$B:$B,resumo_mens!E$1,mensalidades!$D:$D,resumo_mens!$B44))</f>
        <v>100</v>
      </c>
      <c r="F44" s="29">
        <f>(SUMIFS(mensalidades!$E:$E,mensalidades!$B:$B,resumo_mens!F$1,mensalidades!$D:$D,resumo_mens!$B44))</f>
        <v>100</v>
      </c>
      <c r="G44" s="29">
        <f>(SUMIFS(mensalidades!$E:$E,mensalidades!$B:$B,resumo_mens!G$1,mensalidades!$D:$D,resumo_mens!$B44))</f>
        <v>100</v>
      </c>
      <c r="H44" s="29">
        <f>(SUMIFS(mensalidades!$E:$E,mensalidades!$B:$B,resumo_mens!H$1,mensalidades!$D:$D,resumo_mens!$B44))</f>
        <v>100</v>
      </c>
      <c r="I44" s="29">
        <f>(SUMIFS(mensalidades!$E:$E,mensalidades!$B:$B,resumo_mens!I$1,mensalidades!$D:$D,resumo_mens!$B44))</f>
        <v>100</v>
      </c>
      <c r="J44" s="29">
        <f>(SUMIFS(mensalidades!$E:$E,mensalidades!$B:$B,resumo_mens!J$1,mensalidades!$D:$D,resumo_mens!$B44))</f>
        <v>100</v>
      </c>
      <c r="K44" s="29">
        <f>(SUMIFS(mensalidades!$E:$E,mensalidades!$B:$B,resumo_mens!K$1,mensalidades!$D:$D,resumo_mens!$B44))</f>
        <v>0</v>
      </c>
      <c r="L44" s="29">
        <f>(SUMIFS(mensalidades!$E:$E,mensalidades!$B:$B,resumo_mens!L$1,mensalidades!$D:$D,resumo_mens!$B44))</f>
        <v>0</v>
      </c>
      <c r="M44" s="29">
        <f>(SUMIFS(mensalidades!$E:$E,mensalidades!$B:$B,resumo_mens!M$1,mensalidades!$D:$D,resumo_mens!$B44))</f>
        <v>0</v>
      </c>
      <c r="N44" s="29">
        <f>(SUMIFS(mensalidades!$E:$E,mensalidades!$B:$B,resumo_mens!N$1,mensalidades!$D:$D,resumo_mens!$B44))</f>
        <v>0</v>
      </c>
      <c r="O44" s="24">
        <f t="shared" si="5"/>
        <v>800</v>
      </c>
    </row>
    <row r="45" spans="1:17" hidden="1">
      <c r="A45" s="124" t="s">
        <v>7</v>
      </c>
      <c r="B45" s="4" t="s">
        <v>40</v>
      </c>
      <c r="C45" s="29">
        <f>(SUMIFS(mensalidades!$E:$E,mensalidades!$B:$B,resumo_mens!C$1,mensalidades!$D:$D,resumo_mens!$B45))</f>
        <v>0</v>
      </c>
      <c r="D45" s="29">
        <f>(SUMIFS(mensalidades!$E:$E,mensalidades!$B:$B,resumo_mens!D$1,mensalidades!$D:$D,resumo_mens!$B45))</f>
        <v>100</v>
      </c>
      <c r="E45" s="29">
        <f>(SUMIFS(mensalidades!$E:$E,mensalidades!$B:$B,resumo_mens!E$1,mensalidades!$D:$D,resumo_mens!$B45))</f>
        <v>100</v>
      </c>
      <c r="F45" s="29">
        <f>(SUMIFS(mensalidades!$E:$E,mensalidades!$B:$B,resumo_mens!F$1,mensalidades!$D:$D,resumo_mens!$B45))</f>
        <v>100</v>
      </c>
      <c r="G45" s="29">
        <f>(SUMIFS(mensalidades!$E:$E,mensalidades!$B:$B,resumo_mens!G$1,mensalidades!$D:$D,resumo_mens!$B45))</f>
        <v>0</v>
      </c>
      <c r="H45" s="29">
        <f>(SUMIFS(mensalidades!$E:$E,mensalidades!$B:$B,resumo_mens!H$1,mensalidades!$D:$D,resumo_mens!$B45))</f>
        <v>0</v>
      </c>
      <c r="I45" s="29">
        <f>(SUMIFS(mensalidades!$E:$E,mensalidades!$B:$B,resumo_mens!I$1,mensalidades!$D:$D,resumo_mens!$B45))</f>
        <v>0</v>
      </c>
      <c r="J45" s="29">
        <f>(SUMIFS(mensalidades!$E:$E,mensalidades!$B:$B,resumo_mens!J$1,mensalidades!$D:$D,resumo_mens!$B45))</f>
        <v>0</v>
      </c>
      <c r="K45" s="29">
        <f>(SUMIFS(mensalidades!$E:$E,mensalidades!$B:$B,resumo_mens!K$1,mensalidades!$D:$D,resumo_mens!$B45))</f>
        <v>0</v>
      </c>
      <c r="L45" s="29">
        <f>(SUMIFS(mensalidades!$E:$E,mensalidades!$B:$B,resumo_mens!L$1,mensalidades!$D:$D,resumo_mens!$B45))</f>
        <v>0</v>
      </c>
      <c r="M45" s="29">
        <f>(SUMIFS(mensalidades!$E:$E,mensalidades!$B:$B,resumo_mens!M$1,mensalidades!$D:$D,resumo_mens!$B45))</f>
        <v>0</v>
      </c>
      <c r="N45" s="29">
        <f>(SUMIFS(mensalidades!$E:$E,mensalidades!$B:$B,resumo_mens!N$1,mensalidades!$D:$D,resumo_mens!$B45))</f>
        <v>0</v>
      </c>
      <c r="O45" s="24">
        <f t="shared" si="5"/>
        <v>300</v>
      </c>
    </row>
    <row r="46" spans="1:17">
      <c r="A46" s="32"/>
      <c r="B46" s="4" t="s">
        <v>47</v>
      </c>
      <c r="C46" s="29">
        <f>(SUMIFS(mensalidades!$E:$E,mensalidades!$B:$B,resumo_mens!C$1,mensalidades!$D:$D,resumo_mens!$B46))</f>
        <v>0</v>
      </c>
      <c r="D46" s="29">
        <f>(SUMIFS(mensalidades!$E:$E,mensalidades!$B:$B,resumo_mens!D$1,mensalidades!$D:$D,resumo_mens!$B46))</f>
        <v>100</v>
      </c>
      <c r="E46" s="29">
        <f>(SUMIFS(mensalidades!$E:$E,mensalidades!$B:$B,resumo_mens!E$1,mensalidades!$D:$D,resumo_mens!$B46))</f>
        <v>100</v>
      </c>
      <c r="F46" s="29">
        <f>(SUMIFS(mensalidades!$E:$E,mensalidades!$B:$B,resumo_mens!F$1,mensalidades!$D:$D,resumo_mens!$B46))</f>
        <v>100</v>
      </c>
      <c r="G46" s="29">
        <f>(SUMIFS(mensalidades!$E:$E,mensalidades!$B:$B,resumo_mens!G$1,mensalidades!$D:$D,resumo_mens!$B46))</f>
        <v>100</v>
      </c>
      <c r="H46" s="29">
        <f>(SUMIFS(mensalidades!$E:$E,mensalidades!$B:$B,resumo_mens!H$1,mensalidades!$D:$D,resumo_mens!$B46))</f>
        <v>100</v>
      </c>
      <c r="I46" s="29">
        <f>(SUMIFS(mensalidades!$E:$E,mensalidades!$B:$B,resumo_mens!I$1,mensalidades!$D:$D,resumo_mens!$B46))</f>
        <v>0</v>
      </c>
      <c r="J46" s="29">
        <f>(SUMIFS(mensalidades!$E:$E,mensalidades!$B:$B,resumo_mens!J$1,mensalidades!$D:$D,resumo_mens!$B46))</f>
        <v>100</v>
      </c>
      <c r="K46" s="29">
        <f>(SUMIFS(mensalidades!$E:$E,mensalidades!$B:$B,resumo_mens!K$1,mensalidades!$D:$D,resumo_mens!$B46))</f>
        <v>0</v>
      </c>
      <c r="L46" s="29">
        <f>(SUMIFS(mensalidades!$E:$E,mensalidades!$B:$B,resumo_mens!L$1,mensalidades!$D:$D,resumo_mens!$B46))</f>
        <v>0</v>
      </c>
      <c r="M46" s="29">
        <f>(SUMIFS(mensalidades!$E:$E,mensalidades!$B:$B,resumo_mens!M$1,mensalidades!$D:$D,resumo_mens!$B46))</f>
        <v>0</v>
      </c>
      <c r="N46" s="29">
        <f>(SUMIFS(mensalidades!$E:$E,mensalidades!$B:$B,resumo_mens!N$1,mensalidades!$D:$D,resumo_mens!$B46))</f>
        <v>0</v>
      </c>
      <c r="O46" s="24">
        <f t="shared" si="5"/>
        <v>600</v>
      </c>
    </row>
    <row r="47" spans="1:17">
      <c r="A47" s="32"/>
      <c r="B47" s="4" t="s">
        <v>17</v>
      </c>
      <c r="C47" s="29">
        <f>(SUMIFS(mensalidades!$E:$E,mensalidades!$B:$B,resumo_mens!C$1,mensalidades!$D:$D,resumo_mens!$B47))</f>
        <v>100</v>
      </c>
      <c r="D47" s="29">
        <f>(SUMIFS(mensalidades!$E:$E,mensalidades!$B:$B,resumo_mens!D$1,mensalidades!$D:$D,resumo_mens!$B47))</f>
        <v>100</v>
      </c>
      <c r="E47" s="29">
        <f>(SUMIFS(mensalidades!$E:$E,mensalidades!$B:$B,resumo_mens!E$1,mensalidades!$D:$D,resumo_mens!$B47))</f>
        <v>0</v>
      </c>
      <c r="F47" s="29">
        <f>(SUMIFS(mensalidades!$E:$E,mensalidades!$B:$B,resumo_mens!F$1,mensalidades!$D:$D,resumo_mens!$B47))</f>
        <v>100</v>
      </c>
      <c r="G47" s="29">
        <f>(SUMIFS(mensalidades!$E:$E,mensalidades!$B:$B,resumo_mens!G$1,mensalidades!$D:$D,resumo_mens!$B47))</f>
        <v>100</v>
      </c>
      <c r="H47" s="29">
        <f>(SUMIFS(mensalidades!$E:$E,mensalidades!$B:$B,resumo_mens!H$1,mensalidades!$D:$D,resumo_mens!$B47))</f>
        <v>100</v>
      </c>
      <c r="I47" s="29">
        <f>(SUMIFS(mensalidades!$E:$E,mensalidades!$B:$B,resumo_mens!I$1,mensalidades!$D:$D,resumo_mens!$B47))</f>
        <v>100</v>
      </c>
      <c r="J47" s="29">
        <f>(SUMIFS(mensalidades!$E:$E,mensalidades!$B:$B,resumo_mens!J$1,mensalidades!$D:$D,resumo_mens!$B47))</f>
        <v>100</v>
      </c>
      <c r="K47" s="29">
        <f>(SUMIFS(mensalidades!$E:$E,mensalidades!$B:$B,resumo_mens!K$1,mensalidades!$D:$D,resumo_mens!$B47))</f>
        <v>0</v>
      </c>
      <c r="L47" s="29">
        <f>(SUMIFS(mensalidades!$E:$E,mensalidades!$B:$B,resumo_mens!L$1,mensalidades!$D:$D,resumo_mens!$B47))</f>
        <v>0</v>
      </c>
      <c r="M47" s="29">
        <f>(SUMIFS(mensalidades!$E:$E,mensalidades!$B:$B,resumo_mens!M$1,mensalidades!$D:$D,resumo_mens!$B47))</f>
        <v>0</v>
      </c>
      <c r="N47" s="29">
        <f>(SUMIFS(mensalidades!$E:$E,mensalidades!$B:$B,resumo_mens!N$1,mensalidades!$D:$D,resumo_mens!$B47))</f>
        <v>0</v>
      </c>
      <c r="O47" s="24">
        <f t="shared" si="5"/>
        <v>700</v>
      </c>
    </row>
    <row r="48" spans="1:17" hidden="1">
      <c r="A48" s="124" t="s">
        <v>7</v>
      </c>
      <c r="B48" s="4" t="s">
        <v>29</v>
      </c>
      <c r="C48" s="29">
        <f>(SUMIFS(mensalidades!$E:$E,mensalidades!$B:$B,resumo_mens!C$1,mensalidades!$D:$D,resumo_mens!$B48))</f>
        <v>100</v>
      </c>
      <c r="D48" s="29">
        <f>(SUMIFS(mensalidades!$E:$E,mensalidades!$B:$B,resumo_mens!D$1,mensalidades!$D:$D,resumo_mens!$B48))</f>
        <v>0</v>
      </c>
      <c r="E48" s="29">
        <f>(SUMIFS(mensalidades!$E:$E,mensalidades!$B:$B,resumo_mens!E$1,mensalidades!$D:$D,resumo_mens!$B48))</f>
        <v>0</v>
      </c>
      <c r="F48" s="29">
        <f>(SUMIFS(mensalidades!$E:$E,mensalidades!$B:$B,resumo_mens!F$1,mensalidades!$D:$D,resumo_mens!$B48))</f>
        <v>200</v>
      </c>
      <c r="G48" s="29">
        <f>(SUMIFS(mensalidades!$E:$E,mensalidades!$B:$B,resumo_mens!G$1,mensalidades!$D:$D,resumo_mens!$B48))</f>
        <v>0</v>
      </c>
      <c r="H48" s="29">
        <f>(SUMIFS(mensalidades!$E:$E,mensalidades!$B:$B,resumo_mens!H$1,mensalidades!$D:$D,resumo_mens!$B48))</f>
        <v>0</v>
      </c>
      <c r="I48" s="29">
        <f>(SUMIFS(mensalidades!$E:$E,mensalidades!$B:$B,resumo_mens!I$1,mensalidades!$D:$D,resumo_mens!$B48))</f>
        <v>0</v>
      </c>
      <c r="J48" s="29">
        <f>(SUMIFS(mensalidades!$E:$E,mensalidades!$B:$B,resumo_mens!J$1,mensalidades!$D:$D,resumo_mens!$B48))</f>
        <v>0</v>
      </c>
      <c r="K48" s="29">
        <f>(SUMIFS(mensalidades!$E:$E,mensalidades!$B:$B,resumo_mens!K$1,mensalidades!$D:$D,resumo_mens!$B48))</f>
        <v>0</v>
      </c>
      <c r="L48" s="29">
        <f>(SUMIFS(mensalidades!$E:$E,mensalidades!$B:$B,resumo_mens!L$1,mensalidades!$D:$D,resumo_mens!$B48))</f>
        <v>0</v>
      </c>
      <c r="M48" s="29">
        <f>(SUMIFS(mensalidades!$E:$E,mensalidades!$B:$B,resumo_mens!M$1,mensalidades!$D:$D,resumo_mens!$B48))</f>
        <v>0</v>
      </c>
      <c r="N48" s="29">
        <f>(SUMIFS(mensalidades!$E:$E,mensalidades!$B:$B,resumo_mens!N$1,mensalidades!$D:$D,resumo_mens!$B48))</f>
        <v>0</v>
      </c>
      <c r="O48" s="24">
        <f t="shared" ref="O48:O66" si="6">SUM(C48:N48)</f>
        <v>300</v>
      </c>
    </row>
    <row r="49" spans="1:15">
      <c r="A49" s="32"/>
      <c r="B49" s="4" t="s">
        <v>20</v>
      </c>
      <c r="C49" s="29">
        <f>(SUMIFS(mensalidades!$E:$E,mensalidades!$B:$B,resumo_mens!C$1,mensalidades!$D:$D,resumo_mens!$B49))</f>
        <v>100</v>
      </c>
      <c r="D49" s="29">
        <f>(SUMIFS(mensalidades!$E:$E,mensalidades!$B:$B,resumo_mens!D$1,mensalidades!$D:$D,resumo_mens!$B49))</f>
        <v>100</v>
      </c>
      <c r="E49" s="29">
        <f>(SUMIFS(mensalidades!$E:$E,mensalidades!$B:$B,resumo_mens!E$1,mensalidades!$D:$D,resumo_mens!$B49))</f>
        <v>100</v>
      </c>
      <c r="F49" s="29">
        <f>(SUMIFS(mensalidades!$E:$E,mensalidades!$B:$B,resumo_mens!F$1,mensalidades!$D:$D,resumo_mens!$B49))</f>
        <v>100</v>
      </c>
      <c r="G49" s="29">
        <f>(SUMIFS(mensalidades!$E:$E,mensalidades!$B:$B,resumo_mens!G$1,mensalidades!$D:$D,resumo_mens!$B49))</f>
        <v>100</v>
      </c>
      <c r="H49" s="29">
        <f>(SUMIFS(mensalidades!$E:$E,mensalidades!$B:$B,resumo_mens!H$1,mensalidades!$D:$D,resumo_mens!$B49))</f>
        <v>100</v>
      </c>
      <c r="I49" s="29">
        <f>(SUMIFS(mensalidades!$E:$E,mensalidades!$B:$B,resumo_mens!I$1,mensalidades!$D:$D,resumo_mens!$B49))</f>
        <v>100</v>
      </c>
      <c r="J49" s="29">
        <f>(SUMIFS(mensalidades!$E:$E,mensalidades!$B:$B,resumo_mens!J$1,mensalidades!$D:$D,resumo_mens!$B49))</f>
        <v>100</v>
      </c>
      <c r="K49" s="29">
        <f>(SUMIFS(mensalidades!$E:$E,mensalidades!$B:$B,resumo_mens!K$1,mensalidades!$D:$D,resumo_mens!$B49))</f>
        <v>0</v>
      </c>
      <c r="L49" s="29">
        <f>(SUMIFS(mensalidades!$E:$E,mensalidades!$B:$B,resumo_mens!L$1,mensalidades!$D:$D,resumo_mens!$B49))</f>
        <v>0</v>
      </c>
      <c r="M49" s="29">
        <f>(SUMIFS(mensalidades!$E:$E,mensalidades!$B:$B,resumo_mens!M$1,mensalidades!$D:$D,resumo_mens!$B49))</f>
        <v>0</v>
      </c>
      <c r="N49" s="29">
        <f>(SUMIFS(mensalidades!$E:$E,mensalidades!$B:$B,resumo_mens!N$1,mensalidades!$D:$D,resumo_mens!$B49))</f>
        <v>0</v>
      </c>
      <c r="O49" s="24">
        <f t="shared" si="6"/>
        <v>800</v>
      </c>
    </row>
    <row r="50" spans="1:15">
      <c r="A50" s="32"/>
      <c r="B50" s="4" t="s">
        <v>48</v>
      </c>
      <c r="C50" s="29">
        <f>(SUMIFS(mensalidades!$E:$E,mensalidades!$B:$B,resumo_mens!C$1,mensalidades!$D:$D,resumo_mens!$B50))</f>
        <v>0</v>
      </c>
      <c r="D50" s="29">
        <f>(SUMIFS(mensalidades!$E:$E,mensalidades!$B:$B,resumo_mens!D$1,mensalidades!$D:$D,resumo_mens!$B50))</f>
        <v>100</v>
      </c>
      <c r="E50" s="29">
        <f>(SUMIFS(mensalidades!$E:$E,mensalidades!$B:$B,resumo_mens!E$1,mensalidades!$D:$D,resumo_mens!$B50))</f>
        <v>100</v>
      </c>
      <c r="F50" s="29">
        <f>(SUMIFS(mensalidades!$E:$E,mensalidades!$B:$B,resumo_mens!F$1,mensalidades!$D:$D,resumo_mens!$B50))</f>
        <v>100</v>
      </c>
      <c r="G50" s="29">
        <f>(SUMIFS(mensalidades!$E:$E,mensalidades!$B:$B,resumo_mens!G$1,mensalidades!$D:$D,resumo_mens!$B50))</f>
        <v>100</v>
      </c>
      <c r="H50" s="29">
        <f>(SUMIFS(mensalidades!$E:$E,mensalidades!$B:$B,resumo_mens!H$1,mensalidades!$D:$D,resumo_mens!$B50))</f>
        <v>100</v>
      </c>
      <c r="I50" s="29">
        <f>(SUMIFS(mensalidades!$E:$E,mensalidades!$B:$B,resumo_mens!I$1,mensalidades!$D:$D,resumo_mens!$B50))</f>
        <v>0</v>
      </c>
      <c r="J50" s="29">
        <f>(SUMIFS(mensalidades!$E:$E,mensalidades!$B:$B,resumo_mens!J$1,mensalidades!$D:$D,resumo_mens!$B50))</f>
        <v>100</v>
      </c>
      <c r="K50" s="29">
        <f>(SUMIFS(mensalidades!$E:$E,mensalidades!$B:$B,resumo_mens!K$1,mensalidades!$D:$D,resumo_mens!$B50))</f>
        <v>0</v>
      </c>
      <c r="L50" s="29">
        <f>(SUMIFS(mensalidades!$E:$E,mensalidades!$B:$B,resumo_mens!L$1,mensalidades!$D:$D,resumo_mens!$B50))</f>
        <v>0</v>
      </c>
      <c r="M50" s="29">
        <f>(SUMIFS(mensalidades!$E:$E,mensalidades!$B:$B,resumo_mens!M$1,mensalidades!$D:$D,resumo_mens!$B50))</f>
        <v>0</v>
      </c>
      <c r="N50" s="29">
        <f>(SUMIFS(mensalidades!$E:$E,mensalidades!$B:$B,resumo_mens!N$1,mensalidades!$D:$D,resumo_mens!$B50))</f>
        <v>0</v>
      </c>
      <c r="O50" s="24">
        <f t="shared" si="6"/>
        <v>600</v>
      </c>
    </row>
    <row r="51" spans="1:15">
      <c r="A51" s="32"/>
      <c r="B51" s="4" t="s">
        <v>49</v>
      </c>
      <c r="C51" s="29">
        <f>(SUMIFS(mensalidades!$E:$E,mensalidades!$B:$B,resumo_mens!C$1,mensalidades!$D:$D,resumo_mens!$B51))</f>
        <v>0</v>
      </c>
      <c r="D51" s="29">
        <f>(SUMIFS(mensalidades!$E:$E,mensalidades!$B:$B,resumo_mens!D$1,mensalidades!$D:$D,resumo_mens!$B51))</f>
        <v>100</v>
      </c>
      <c r="E51" s="29">
        <f>(SUMIFS(mensalidades!$E:$E,mensalidades!$B:$B,resumo_mens!E$1,mensalidades!$D:$D,resumo_mens!$B51))</f>
        <v>100</v>
      </c>
      <c r="F51" s="29">
        <f>(SUMIFS(mensalidades!$E:$E,mensalidades!$B:$B,resumo_mens!F$1,mensalidades!$D:$D,resumo_mens!$B51))</f>
        <v>100</v>
      </c>
      <c r="G51" s="29">
        <f>(SUMIFS(mensalidades!$E:$E,mensalidades!$B:$B,resumo_mens!G$1,mensalidades!$D:$D,resumo_mens!$B51))</f>
        <v>100</v>
      </c>
      <c r="H51" s="29">
        <f>(SUMIFS(mensalidades!$E:$E,mensalidades!$B:$B,resumo_mens!H$1,mensalidades!$D:$D,resumo_mens!$B51))</f>
        <v>100</v>
      </c>
      <c r="I51" s="29">
        <f>(SUMIFS(mensalidades!$E:$E,mensalidades!$B:$B,resumo_mens!I$1,mensalidades!$D:$D,resumo_mens!$B51))</f>
        <v>0</v>
      </c>
      <c r="J51" s="29">
        <f>(SUMIFS(mensalidades!$E:$E,mensalidades!$B:$B,resumo_mens!J$1,mensalidades!$D:$D,resumo_mens!$B51))</f>
        <v>100</v>
      </c>
      <c r="K51" s="29">
        <f>(SUMIFS(mensalidades!$E:$E,mensalidades!$B:$B,resumo_mens!K$1,mensalidades!$D:$D,resumo_mens!$B51))</f>
        <v>0</v>
      </c>
      <c r="L51" s="29">
        <f>(SUMIFS(mensalidades!$E:$E,mensalidades!$B:$B,resumo_mens!L$1,mensalidades!$D:$D,resumo_mens!$B51))</f>
        <v>0</v>
      </c>
      <c r="M51" s="29">
        <f>(SUMIFS(mensalidades!$E:$E,mensalidades!$B:$B,resumo_mens!M$1,mensalidades!$D:$D,resumo_mens!$B51))</f>
        <v>0</v>
      </c>
      <c r="N51" s="29">
        <f>(SUMIFS(mensalidades!$E:$E,mensalidades!$B:$B,resumo_mens!N$1,mensalidades!$D:$D,resumo_mens!$B51))</f>
        <v>0</v>
      </c>
      <c r="O51" s="24">
        <f t="shared" si="6"/>
        <v>600</v>
      </c>
    </row>
    <row r="52" spans="1:15">
      <c r="A52" s="32"/>
      <c r="B52" s="143" t="s">
        <v>58</v>
      </c>
      <c r="C52" s="29">
        <f>(SUMIFS(mensalidades!$E:$E,mensalidades!$B:$B,resumo_mens!C$1,mensalidades!$D:$D,resumo_mens!$B52))</f>
        <v>0</v>
      </c>
      <c r="D52" s="29">
        <f>(SUMIFS(mensalidades!$E:$E,mensalidades!$B:$B,resumo_mens!D$1,mensalidades!$D:$D,resumo_mens!$B52))</f>
        <v>0</v>
      </c>
      <c r="E52" s="29">
        <f>(SUMIFS(mensalidades!$E:$E,mensalidades!$B:$B,resumo_mens!E$1,mensalidades!$D:$D,resumo_mens!$B52))</f>
        <v>100</v>
      </c>
      <c r="F52" s="29">
        <f>(SUMIFS(mensalidades!$E:$E,mensalidades!$B:$B,resumo_mens!F$1,mensalidades!$D:$D,resumo_mens!$B52))</f>
        <v>100</v>
      </c>
      <c r="G52" s="29">
        <f>(SUMIFS(mensalidades!$E:$E,mensalidades!$B:$B,resumo_mens!G$1,mensalidades!$D:$D,resumo_mens!$B52))</f>
        <v>0</v>
      </c>
      <c r="H52" s="29">
        <f>(SUMIFS(mensalidades!$E:$E,mensalidades!$B:$B,resumo_mens!H$1,mensalidades!$D:$D,resumo_mens!$B52))</f>
        <v>100</v>
      </c>
      <c r="I52" s="29">
        <f>(SUMIFS(mensalidades!$E:$E,mensalidades!$B:$B,resumo_mens!I$1,mensalidades!$D:$D,resumo_mens!$B52))</f>
        <v>0</v>
      </c>
      <c r="J52" s="29">
        <f>(SUMIFS(mensalidades!$E:$E,mensalidades!$B:$B,resumo_mens!J$1,mensalidades!$D:$D,resumo_mens!$B52))</f>
        <v>0</v>
      </c>
      <c r="K52" s="29">
        <f>(SUMIFS(mensalidades!$E:$E,mensalidades!$B:$B,resumo_mens!K$1,mensalidades!$D:$D,resumo_mens!$B52))</f>
        <v>0</v>
      </c>
      <c r="L52" s="29">
        <f>(SUMIFS(mensalidades!$E:$E,mensalidades!$B:$B,resumo_mens!L$1,mensalidades!$D:$D,resumo_mens!$B52))</f>
        <v>0</v>
      </c>
      <c r="M52" s="29">
        <f>(SUMIFS(mensalidades!$E:$E,mensalidades!$B:$B,resumo_mens!M$1,mensalidades!$D:$D,resumo_mens!$B52))</f>
        <v>0</v>
      </c>
      <c r="N52" s="29">
        <f>(SUMIFS(mensalidades!$E:$E,mensalidades!$B:$B,resumo_mens!N$1,mensalidades!$D:$D,resumo_mens!$B52))</f>
        <v>0</v>
      </c>
      <c r="O52" s="24">
        <f t="shared" si="6"/>
        <v>300</v>
      </c>
    </row>
    <row r="53" spans="1:15" hidden="1">
      <c r="A53" s="124" t="s">
        <v>7</v>
      </c>
      <c r="B53" s="4" t="s">
        <v>15</v>
      </c>
      <c r="C53" s="29">
        <f>(SUMIFS(mensalidades!$E:$E,mensalidades!$B:$B,resumo_mens!C$1,mensalidades!$D:$D,resumo_mens!$B53))</f>
        <v>50</v>
      </c>
      <c r="D53" s="29">
        <f>(SUMIFS(mensalidades!$E:$E,mensalidades!$B:$B,resumo_mens!D$1,mensalidades!$D:$D,resumo_mens!$B53))</f>
        <v>0</v>
      </c>
      <c r="E53" s="29">
        <f>(SUMIFS(mensalidades!$E:$E,mensalidades!$B:$B,resumo_mens!E$1,mensalidades!$D:$D,resumo_mens!$B53))</f>
        <v>0</v>
      </c>
      <c r="F53" s="29">
        <f>(SUMIFS(mensalidades!$E:$E,mensalidades!$B:$B,resumo_mens!F$1,mensalidades!$D:$D,resumo_mens!$B53))</f>
        <v>0</v>
      </c>
      <c r="G53" s="29">
        <f>(SUMIFS(mensalidades!$E:$E,mensalidades!$B:$B,resumo_mens!G$1,mensalidades!$D:$D,resumo_mens!$B53))</f>
        <v>0</v>
      </c>
      <c r="H53" s="29">
        <f>(SUMIFS(mensalidades!$E:$E,mensalidades!$B:$B,resumo_mens!H$1,mensalidades!$D:$D,resumo_mens!$B53))</f>
        <v>0</v>
      </c>
      <c r="I53" s="29">
        <f>(SUMIFS(mensalidades!$E:$E,mensalidades!$B:$B,resumo_mens!I$1,mensalidades!$D:$D,resumo_mens!$B53))</f>
        <v>0</v>
      </c>
      <c r="J53" s="29">
        <f>(SUMIFS(mensalidades!$E:$E,mensalidades!$B:$B,resumo_mens!J$1,mensalidades!$D:$D,resumo_mens!$B53))</f>
        <v>0</v>
      </c>
      <c r="K53" s="29">
        <f>(SUMIFS(mensalidades!$E:$E,mensalidades!$B:$B,resumo_mens!K$1,mensalidades!$D:$D,resumo_mens!$B53))</f>
        <v>0</v>
      </c>
      <c r="L53" s="29">
        <f>(SUMIFS(mensalidades!$E:$E,mensalidades!$B:$B,resumo_mens!L$1,mensalidades!$D:$D,resumo_mens!$B53))</f>
        <v>0</v>
      </c>
      <c r="M53" s="29">
        <f>(SUMIFS(mensalidades!$E:$E,mensalidades!$B:$B,resumo_mens!M$1,mensalidades!$D:$D,resumo_mens!$B53))</f>
        <v>0</v>
      </c>
      <c r="N53" s="29">
        <f>(SUMIFS(mensalidades!$E:$E,mensalidades!$B:$B,resumo_mens!N$1,mensalidades!$D:$D,resumo_mens!$B53))</f>
        <v>0</v>
      </c>
      <c r="O53" s="24">
        <f t="shared" si="6"/>
        <v>50</v>
      </c>
    </row>
    <row r="54" spans="1:15">
      <c r="A54" s="1"/>
      <c r="B54" s="4" t="s">
        <v>69</v>
      </c>
      <c r="C54" s="29">
        <f>(SUMIFS(mensalidades!$E:$E,mensalidades!$B:$B,resumo_mens!C$1,mensalidades!$D:$D,resumo_mens!$B54))</f>
        <v>0</v>
      </c>
      <c r="D54" s="29">
        <f>(SUMIFS(mensalidades!$E:$E,mensalidades!$B:$B,resumo_mens!D$1,mensalidades!$D:$D,resumo_mens!$B54))</f>
        <v>0</v>
      </c>
      <c r="E54" s="29">
        <f>(SUMIFS(mensalidades!$E:$E,mensalidades!$B:$B,resumo_mens!E$1,mensalidades!$D:$D,resumo_mens!$B54))</f>
        <v>0</v>
      </c>
      <c r="F54" s="29">
        <f>(SUMIFS(mensalidades!$E:$E,mensalidades!$B:$B,resumo_mens!F$1,mensalidades!$D:$D,resumo_mens!$B54))</f>
        <v>0</v>
      </c>
      <c r="G54" s="29">
        <f>(SUMIFS(mensalidades!$E:$E,mensalidades!$B:$B,resumo_mens!G$1,mensalidades!$D:$D,resumo_mens!$B54))</f>
        <v>0</v>
      </c>
      <c r="H54" s="29">
        <f>(SUMIFS(mensalidades!$E:$E,mensalidades!$B:$B,resumo_mens!H$1,mensalidades!$D:$D,resumo_mens!$B54))</f>
        <v>100</v>
      </c>
      <c r="I54" s="29">
        <f>(SUMIFS(mensalidades!$E:$E,mensalidades!$B:$B,resumo_mens!I$1,mensalidades!$D:$D,resumo_mens!$B54))</f>
        <v>0</v>
      </c>
      <c r="J54" s="29">
        <f>(SUMIFS(mensalidades!$E:$E,mensalidades!$B:$B,resumo_mens!J$1,mensalidades!$D:$D,resumo_mens!$B54))</f>
        <v>0</v>
      </c>
      <c r="K54" s="29">
        <f>(SUMIFS(mensalidades!$E:$E,mensalidades!$B:$B,resumo_mens!K$1,mensalidades!$D:$D,resumo_mens!$B54))</f>
        <v>0</v>
      </c>
      <c r="L54" s="29">
        <f>(SUMIFS(mensalidades!$E:$E,mensalidades!$B:$B,resumo_mens!L$1,mensalidades!$D:$D,resumo_mens!$B54))</f>
        <v>0</v>
      </c>
      <c r="M54" s="29">
        <f>(SUMIFS(mensalidades!$E:$E,mensalidades!$B:$B,resumo_mens!M$1,mensalidades!$D:$D,resumo_mens!$B54))</f>
        <v>0</v>
      </c>
      <c r="N54" s="29">
        <f>(SUMIFS(mensalidades!$E:$E,mensalidades!$B:$B,resumo_mens!N$1,mensalidades!$D:$D,resumo_mens!$B54))</f>
        <v>0</v>
      </c>
      <c r="O54" s="24">
        <f t="shared" si="6"/>
        <v>100</v>
      </c>
    </row>
    <row r="55" spans="1:15" hidden="1">
      <c r="A55" s="124" t="s">
        <v>7</v>
      </c>
      <c r="B55" s="4" t="s">
        <v>67</v>
      </c>
      <c r="C55" s="29">
        <f>(SUMIFS(mensalidades!$E:$E,mensalidades!$B:$B,resumo_mens!C$1,mensalidades!$D:$D,resumo_mens!$B55))</f>
        <v>0</v>
      </c>
      <c r="D55" s="29">
        <f>(SUMIFS(mensalidades!$E:$E,mensalidades!$B:$B,resumo_mens!D$1,mensalidades!$D:$D,resumo_mens!$B55))</f>
        <v>0</v>
      </c>
      <c r="E55" s="29">
        <f>(SUMIFS(mensalidades!$E:$E,mensalidades!$B:$B,resumo_mens!E$1,mensalidades!$D:$D,resumo_mens!$B55))</f>
        <v>0</v>
      </c>
      <c r="F55" s="29">
        <f>(SUMIFS(mensalidades!$E:$E,mensalidades!$B:$B,resumo_mens!F$1,mensalidades!$D:$D,resumo_mens!$B55))</f>
        <v>0</v>
      </c>
      <c r="G55" s="29">
        <f>(SUMIFS(mensalidades!$E:$E,mensalidades!$B:$B,resumo_mens!G$1,mensalidades!$D:$D,resumo_mens!$B55))</f>
        <v>0</v>
      </c>
      <c r="H55" s="29">
        <f>(SUMIFS(mensalidades!$E:$E,mensalidades!$B:$B,resumo_mens!H$1,mensalidades!$D:$D,resumo_mens!$B55))</f>
        <v>100</v>
      </c>
      <c r="I55" s="29">
        <f>(SUMIFS(mensalidades!$E:$E,mensalidades!$B:$B,resumo_mens!I$1,mensalidades!$D:$D,resumo_mens!$B55))</f>
        <v>0</v>
      </c>
      <c r="J55" s="29">
        <f>(SUMIFS(mensalidades!$E:$E,mensalidades!$B:$B,resumo_mens!J$1,mensalidades!$D:$D,resumo_mens!$B55))</f>
        <v>0</v>
      </c>
      <c r="K55" s="29">
        <f>(SUMIFS(mensalidades!$E:$E,mensalidades!$B:$B,resumo_mens!K$1,mensalidades!$D:$D,resumo_mens!$B55))</f>
        <v>0</v>
      </c>
      <c r="L55" s="29">
        <f>(SUMIFS(mensalidades!$E:$E,mensalidades!$B:$B,resumo_mens!L$1,mensalidades!$D:$D,resumo_mens!$B55))</f>
        <v>0</v>
      </c>
      <c r="M55" s="29">
        <f>(SUMIFS(mensalidades!$E:$E,mensalidades!$B:$B,resumo_mens!M$1,mensalidades!$D:$D,resumo_mens!$B55))</f>
        <v>0</v>
      </c>
      <c r="N55" s="29">
        <f>(SUMIFS(mensalidades!$E:$E,mensalidades!$B:$B,resumo_mens!N$1,mensalidades!$D:$D,resumo_mens!$B55))</f>
        <v>0</v>
      </c>
      <c r="O55" s="24">
        <f t="shared" si="6"/>
        <v>100</v>
      </c>
    </row>
    <row r="56" spans="1:15" hidden="1">
      <c r="A56" s="1" t="s">
        <v>7</v>
      </c>
      <c r="B56" s="4" t="s">
        <v>100</v>
      </c>
      <c r="C56" s="29">
        <f>(SUMIFS(mensalidades!$E:$E,mensalidades!$B:$B,resumo_mens!C$1,mensalidades!$D:$D,resumo_mens!$B56))</f>
        <v>0</v>
      </c>
      <c r="D56" s="29">
        <f>(SUMIFS(mensalidades!$E:$E,mensalidades!$B:$B,resumo_mens!D$1,mensalidades!$D:$D,resumo_mens!$B56))</f>
        <v>0</v>
      </c>
      <c r="E56" s="29">
        <f>(SUMIFS(mensalidades!$E:$E,mensalidades!$B:$B,resumo_mens!E$1,mensalidades!$D:$D,resumo_mens!$B56))</f>
        <v>0</v>
      </c>
      <c r="F56" s="29">
        <f>(SUMIFS(mensalidades!$E:$E,mensalidades!$B:$B,resumo_mens!F$1,mensalidades!$D:$D,resumo_mens!$B56))</f>
        <v>0</v>
      </c>
      <c r="G56" s="29">
        <f>(SUMIFS(mensalidades!$E:$E,mensalidades!$B:$B,resumo_mens!G$1,mensalidades!$D:$D,resumo_mens!$B56))</f>
        <v>0</v>
      </c>
      <c r="H56" s="29">
        <f>(SUMIFS(mensalidades!$E:$E,mensalidades!$B:$B,resumo_mens!H$1,mensalidades!$D:$D,resumo_mens!$B56))</f>
        <v>0</v>
      </c>
      <c r="I56" s="29">
        <f>(SUMIFS(mensalidades!$E:$E,mensalidades!$B:$B,resumo_mens!I$1,mensalidades!$D:$D,resumo_mens!$B56))</f>
        <v>0</v>
      </c>
      <c r="J56" s="29">
        <f>(SUMIFS(mensalidades!$E:$E,mensalidades!$B:$B,resumo_mens!J$1,mensalidades!$D:$D,resumo_mens!$B56))</f>
        <v>0</v>
      </c>
      <c r="K56" s="29">
        <f>(SUMIFS(mensalidades!$E:$E,mensalidades!$B:$B,resumo_mens!K$1,mensalidades!$D:$D,resumo_mens!$B56))</f>
        <v>0</v>
      </c>
      <c r="L56" s="29">
        <f>(SUMIFS(mensalidades!$E:$E,mensalidades!$B:$B,resumo_mens!L$1,mensalidades!$D:$D,resumo_mens!$B56))</f>
        <v>0</v>
      </c>
      <c r="M56" s="29">
        <f>(SUMIFS(mensalidades!$E:$E,mensalidades!$B:$B,resumo_mens!M$1,mensalidades!$D:$D,resumo_mens!$B56))</f>
        <v>0</v>
      </c>
      <c r="N56" s="29">
        <f>(SUMIFS(mensalidades!$E:$E,mensalidades!$B:$B,resumo_mens!N$1,mensalidades!$D:$D,resumo_mens!$B56))</f>
        <v>0</v>
      </c>
      <c r="O56" s="24">
        <f t="shared" si="6"/>
        <v>0</v>
      </c>
    </row>
    <row r="57" spans="1:15" hidden="1">
      <c r="A57" s="32" t="s">
        <v>7</v>
      </c>
      <c r="B57" s="4" t="s">
        <v>30</v>
      </c>
      <c r="C57" s="29">
        <f>(SUMIFS(mensalidades!$E:$E,mensalidades!$B:$B,resumo_mens!C$1,mensalidades!$D:$D,resumo_mens!$B57))</f>
        <v>100</v>
      </c>
      <c r="D57" s="29">
        <f>(SUMIFS(mensalidades!$E:$E,mensalidades!$B:$B,resumo_mens!D$1,mensalidades!$D:$D,resumo_mens!$B57))</f>
        <v>100</v>
      </c>
      <c r="E57" s="29">
        <f>(SUMIFS(mensalidades!$E:$E,mensalidades!$B:$B,resumo_mens!E$1,mensalidades!$D:$D,resumo_mens!$B57))</f>
        <v>100</v>
      </c>
      <c r="F57" s="29">
        <f>(SUMIFS(mensalidades!$E:$E,mensalidades!$B:$B,resumo_mens!F$1,mensalidades!$D:$D,resumo_mens!$B57))</f>
        <v>0</v>
      </c>
      <c r="G57" s="29">
        <f>(SUMIFS(mensalidades!$E:$E,mensalidades!$B:$B,resumo_mens!G$1,mensalidades!$D:$D,resumo_mens!$B57))</f>
        <v>100</v>
      </c>
      <c r="H57" s="29">
        <f>(SUMIFS(mensalidades!$E:$E,mensalidades!$B:$B,resumo_mens!H$1,mensalidades!$D:$D,resumo_mens!$B57))</f>
        <v>100</v>
      </c>
      <c r="I57" s="29">
        <f>(SUMIFS(mensalidades!$E:$E,mensalidades!$B:$B,resumo_mens!I$1,mensalidades!$D:$D,resumo_mens!$B57))</f>
        <v>100</v>
      </c>
      <c r="J57" s="29">
        <f>(SUMIFS(mensalidades!$E:$E,mensalidades!$B:$B,resumo_mens!J$1,mensalidades!$D:$D,resumo_mens!$B57))</f>
        <v>600</v>
      </c>
      <c r="K57" s="29">
        <f>(SUMIFS(mensalidades!$E:$E,mensalidades!$B:$B,resumo_mens!K$1,mensalidades!$D:$D,resumo_mens!$B57))</f>
        <v>0</v>
      </c>
      <c r="L57" s="29">
        <f>(SUMIFS(mensalidades!$E:$E,mensalidades!$B:$B,resumo_mens!L$1,mensalidades!$D:$D,resumo_mens!$B57))</f>
        <v>0</v>
      </c>
      <c r="M57" s="29">
        <f>(SUMIFS(mensalidades!$E:$E,mensalidades!$B:$B,resumo_mens!M$1,mensalidades!$D:$D,resumo_mens!$B57))</f>
        <v>0</v>
      </c>
      <c r="N57" s="29">
        <f>(SUMIFS(mensalidades!$E:$E,mensalidades!$B:$B,resumo_mens!N$1,mensalidades!$D:$D,resumo_mens!$B57))</f>
        <v>0</v>
      </c>
      <c r="O57" s="24">
        <f t="shared" si="6"/>
        <v>1200</v>
      </c>
    </row>
    <row r="58" spans="1:15" hidden="1">
      <c r="A58" s="124" t="s">
        <v>7</v>
      </c>
      <c r="B58" s="4" t="s">
        <v>42</v>
      </c>
      <c r="C58" s="29">
        <f>(SUMIFS(mensalidades!$E:$E,mensalidades!$B:$B,resumo_mens!C$1,mensalidades!$D:$D,resumo_mens!$B58))</f>
        <v>0</v>
      </c>
      <c r="D58" s="29">
        <f>(SUMIFS(mensalidades!$E:$E,mensalidades!$B:$B,resumo_mens!D$1,mensalidades!$D:$D,resumo_mens!$B58))</f>
        <v>100</v>
      </c>
      <c r="E58" s="29">
        <f>(SUMIFS(mensalidades!$E:$E,mensalidades!$B:$B,resumo_mens!E$1,mensalidades!$D:$D,resumo_mens!$B58))</f>
        <v>0</v>
      </c>
      <c r="F58" s="29">
        <f>(SUMIFS(mensalidades!$E:$E,mensalidades!$B:$B,resumo_mens!F$1,mensalidades!$D:$D,resumo_mens!$B58))</f>
        <v>0</v>
      </c>
      <c r="G58" s="29">
        <f>(SUMIFS(mensalidades!$E:$E,mensalidades!$B:$B,resumo_mens!G$1,mensalidades!$D:$D,resumo_mens!$B58))</f>
        <v>0</v>
      </c>
      <c r="H58" s="29">
        <f>(SUMIFS(mensalidades!$E:$E,mensalidades!$B:$B,resumo_mens!H$1,mensalidades!$D:$D,resumo_mens!$B58))</f>
        <v>0</v>
      </c>
      <c r="I58" s="29">
        <f>(SUMIFS(mensalidades!$E:$E,mensalidades!$B:$B,resumo_mens!I$1,mensalidades!$D:$D,resumo_mens!$B58))</f>
        <v>0</v>
      </c>
      <c r="J58" s="29">
        <f>(SUMIFS(mensalidades!$E:$E,mensalidades!$B:$B,resumo_mens!J$1,mensalidades!$D:$D,resumo_mens!$B58))</f>
        <v>0</v>
      </c>
      <c r="K58" s="29">
        <f>(SUMIFS(mensalidades!$E:$E,mensalidades!$B:$B,resumo_mens!K$1,mensalidades!$D:$D,resumo_mens!$B58))</f>
        <v>0</v>
      </c>
      <c r="L58" s="29">
        <f>(SUMIFS(mensalidades!$E:$E,mensalidades!$B:$B,resumo_mens!L$1,mensalidades!$D:$D,resumo_mens!$B58))</f>
        <v>0</v>
      </c>
      <c r="M58" s="29">
        <f>(SUMIFS(mensalidades!$E:$E,mensalidades!$B:$B,resumo_mens!M$1,mensalidades!$D:$D,resumo_mens!$B58))</f>
        <v>0</v>
      </c>
      <c r="N58" s="29">
        <f>(SUMIFS(mensalidades!$E:$E,mensalidades!$B:$B,resumo_mens!N$1,mensalidades!$D:$D,resumo_mens!$B58))</f>
        <v>0</v>
      </c>
      <c r="O58" s="24">
        <f t="shared" si="6"/>
        <v>100</v>
      </c>
    </row>
    <row r="59" spans="1:15">
      <c r="A59" s="32"/>
      <c r="B59" s="4" t="s">
        <v>50</v>
      </c>
      <c r="C59" s="29">
        <f>(SUMIFS(mensalidades!$E:$E,mensalidades!$B:$B,resumo_mens!C$1,mensalidades!$D:$D,resumo_mens!$B59))</f>
        <v>0</v>
      </c>
      <c r="D59" s="29">
        <f>(SUMIFS(mensalidades!$E:$E,mensalidades!$B:$B,resumo_mens!D$1,mensalidades!$D:$D,resumo_mens!$B59))</f>
        <v>100</v>
      </c>
      <c r="E59" s="29">
        <f>(SUMIFS(mensalidades!$E:$E,mensalidades!$B:$B,resumo_mens!E$1,mensalidades!$D:$D,resumo_mens!$B59))</f>
        <v>100</v>
      </c>
      <c r="F59" s="29">
        <f>(SUMIFS(mensalidades!$E:$E,mensalidades!$B:$B,resumo_mens!F$1,mensalidades!$D:$D,resumo_mens!$B59))</f>
        <v>100</v>
      </c>
      <c r="G59" s="29">
        <f>(SUMIFS(mensalidades!$E:$E,mensalidades!$B:$B,resumo_mens!G$1,mensalidades!$D:$D,resumo_mens!$B59))</f>
        <v>100</v>
      </c>
      <c r="H59" s="29">
        <f>(SUMIFS(mensalidades!$E:$E,mensalidades!$B:$B,resumo_mens!H$1,mensalidades!$D:$D,resumo_mens!$B59))</f>
        <v>100</v>
      </c>
      <c r="I59" s="29">
        <f>(SUMIFS(mensalidades!$E:$E,mensalidades!$B:$B,resumo_mens!I$1,mensalidades!$D:$D,resumo_mens!$B59))</f>
        <v>50</v>
      </c>
      <c r="J59" s="29">
        <f>(SUMIFS(mensalidades!$E:$E,mensalidades!$B:$B,resumo_mens!J$1,mensalidades!$D:$D,resumo_mens!$B59))</f>
        <v>100</v>
      </c>
      <c r="K59" s="29">
        <f>(SUMIFS(mensalidades!$E:$E,mensalidades!$B:$B,resumo_mens!K$1,mensalidades!$D:$D,resumo_mens!$B59))</f>
        <v>0</v>
      </c>
      <c r="L59" s="29">
        <f>(SUMIFS(mensalidades!$E:$E,mensalidades!$B:$B,resumo_mens!L$1,mensalidades!$D:$D,resumo_mens!$B59))</f>
        <v>0</v>
      </c>
      <c r="M59" s="29">
        <f>(SUMIFS(mensalidades!$E:$E,mensalidades!$B:$B,resumo_mens!M$1,mensalidades!$D:$D,resumo_mens!$B59))</f>
        <v>0</v>
      </c>
      <c r="N59" s="29">
        <f>(SUMIFS(mensalidades!$E:$E,mensalidades!$B:$B,resumo_mens!N$1,mensalidades!$D:$D,resumo_mens!$B59))</f>
        <v>0</v>
      </c>
      <c r="O59" s="24">
        <f t="shared" si="6"/>
        <v>650</v>
      </c>
    </row>
    <row r="60" spans="1:15">
      <c r="A60" s="32"/>
      <c r="B60" s="4" t="s">
        <v>44</v>
      </c>
      <c r="C60" s="29">
        <f>(SUMIFS(mensalidades!$E:$E,mensalidades!$B:$B,resumo_mens!C$1,mensalidades!$D:$D,resumo_mens!$B60))</f>
        <v>0</v>
      </c>
      <c r="D60" s="29">
        <f>(SUMIFS(mensalidades!$E:$E,mensalidades!$B:$B,resumo_mens!D$1,mensalidades!$D:$D,resumo_mens!$B60))</f>
        <v>100</v>
      </c>
      <c r="E60" s="29">
        <f>(SUMIFS(mensalidades!$E:$E,mensalidades!$B:$B,resumo_mens!E$1,mensalidades!$D:$D,resumo_mens!$B60))</f>
        <v>0</v>
      </c>
      <c r="F60" s="29">
        <f>(SUMIFS(mensalidades!$E:$E,mensalidades!$B:$B,resumo_mens!F$1,mensalidades!$D:$D,resumo_mens!$B60))</f>
        <v>100</v>
      </c>
      <c r="G60" s="29">
        <f>(SUMIFS(mensalidades!$E:$E,mensalidades!$B:$B,resumo_mens!G$1,mensalidades!$D:$D,resumo_mens!$B60))</f>
        <v>100</v>
      </c>
      <c r="H60" s="29">
        <f>(SUMIFS(mensalidades!$E:$E,mensalidades!$B:$B,resumo_mens!H$1,mensalidades!$D:$D,resumo_mens!$B60))</f>
        <v>100</v>
      </c>
      <c r="I60" s="29">
        <f>(SUMIFS(mensalidades!$E:$E,mensalidades!$B:$B,resumo_mens!I$1,mensalidades!$D:$D,resumo_mens!$B60))</f>
        <v>100</v>
      </c>
      <c r="J60" s="29">
        <f>(SUMIFS(mensalidades!$E:$E,mensalidades!$B:$B,resumo_mens!J$1,mensalidades!$D:$D,resumo_mens!$B60))</f>
        <v>100</v>
      </c>
      <c r="K60" s="29">
        <f>(SUMIFS(mensalidades!$E:$E,mensalidades!$B:$B,resumo_mens!K$1,mensalidades!$D:$D,resumo_mens!$B60))</f>
        <v>0</v>
      </c>
      <c r="L60" s="29">
        <f>(SUMIFS(mensalidades!$E:$E,mensalidades!$B:$B,resumo_mens!L$1,mensalidades!$D:$D,resumo_mens!$B60))</f>
        <v>0</v>
      </c>
      <c r="M60" s="29">
        <f>(SUMIFS(mensalidades!$E:$E,mensalidades!$B:$B,resumo_mens!M$1,mensalidades!$D:$D,resumo_mens!$B60))</f>
        <v>0</v>
      </c>
      <c r="N60" s="29">
        <f>(SUMIFS(mensalidades!$E:$E,mensalidades!$B:$B,resumo_mens!N$1,mensalidades!$D:$D,resumo_mens!$B60))</f>
        <v>0</v>
      </c>
      <c r="O60" s="24">
        <f t="shared" si="6"/>
        <v>600</v>
      </c>
    </row>
    <row r="61" spans="1:15">
      <c r="A61" s="32"/>
      <c r="B61" s="4" t="s">
        <v>45</v>
      </c>
      <c r="C61" s="29">
        <f>(SUMIFS(mensalidades!$E:$E,mensalidades!$B:$B,resumo_mens!C$1,mensalidades!$D:$D,resumo_mens!$B61))</f>
        <v>0</v>
      </c>
      <c r="D61" s="29">
        <f>(SUMIFS(mensalidades!$E:$E,mensalidades!$B:$B,resumo_mens!D$1,mensalidades!$D:$D,resumo_mens!$B61))</f>
        <v>100</v>
      </c>
      <c r="E61" s="29">
        <f>(SUMIFS(mensalidades!$E:$E,mensalidades!$B:$B,resumo_mens!E$1,mensalidades!$D:$D,resumo_mens!$B61))</f>
        <v>100</v>
      </c>
      <c r="F61" s="29">
        <f>(SUMIFS(mensalidades!$E:$E,mensalidades!$B:$B,resumo_mens!F$1,mensalidades!$D:$D,resumo_mens!$B61))</f>
        <v>100</v>
      </c>
      <c r="G61" s="29">
        <f>(SUMIFS(mensalidades!$E:$E,mensalidades!$B:$B,resumo_mens!G$1,mensalidades!$D:$D,resumo_mens!$B61))</f>
        <v>100</v>
      </c>
      <c r="H61" s="29">
        <f>(SUMIFS(mensalidades!$E:$E,mensalidades!$B:$B,resumo_mens!H$1,mensalidades!$D:$D,resumo_mens!$B61))</f>
        <v>100</v>
      </c>
      <c r="I61" s="29">
        <f>(SUMIFS(mensalidades!$E:$E,mensalidades!$B:$B,resumo_mens!I$1,mensalidades!$D:$D,resumo_mens!$B61))</f>
        <v>100</v>
      </c>
      <c r="J61" s="29">
        <f>(SUMIFS(mensalidades!$E:$E,mensalidades!$B:$B,resumo_mens!J$1,mensalidades!$D:$D,resumo_mens!$B61))</f>
        <v>100</v>
      </c>
      <c r="K61" s="29">
        <f>(SUMIFS(mensalidades!$E:$E,mensalidades!$B:$B,resumo_mens!K$1,mensalidades!$D:$D,resumo_mens!$B61))</f>
        <v>0</v>
      </c>
      <c r="L61" s="29">
        <f>(SUMIFS(mensalidades!$E:$E,mensalidades!$B:$B,resumo_mens!L$1,mensalidades!$D:$D,resumo_mens!$B61))</f>
        <v>0</v>
      </c>
      <c r="M61" s="29">
        <f>(SUMIFS(mensalidades!$E:$E,mensalidades!$B:$B,resumo_mens!M$1,mensalidades!$D:$D,resumo_mens!$B61))</f>
        <v>0</v>
      </c>
      <c r="N61" s="29">
        <f>(SUMIFS(mensalidades!$E:$E,mensalidades!$B:$B,resumo_mens!N$1,mensalidades!$D:$D,resumo_mens!$B61))</f>
        <v>0</v>
      </c>
      <c r="O61" s="24">
        <f t="shared" si="6"/>
        <v>700</v>
      </c>
    </row>
    <row r="62" spans="1:15" hidden="1">
      <c r="A62" s="124" t="s">
        <v>99</v>
      </c>
      <c r="B62" s="4" t="s">
        <v>103</v>
      </c>
      <c r="C62" s="29">
        <f>(SUMIFS(mensalidades!$E:$E,mensalidades!$B:$B,resumo_mens!C$1,mensalidades!$D:$D,resumo_mens!$B62))</f>
        <v>0</v>
      </c>
      <c r="D62" s="29">
        <f>(SUMIFS(mensalidades!$E:$E,mensalidades!$B:$B,resumo_mens!D$1,mensalidades!$D:$D,resumo_mens!$B62))</f>
        <v>0</v>
      </c>
      <c r="E62" s="29">
        <f>(SUMIFS(mensalidades!$E:$E,mensalidades!$B:$B,resumo_mens!E$1,mensalidades!$D:$D,resumo_mens!$B62))</f>
        <v>0</v>
      </c>
      <c r="F62" s="29">
        <f>(SUMIFS(mensalidades!$E:$E,mensalidades!$B:$B,resumo_mens!F$1,mensalidades!$D:$D,resumo_mens!$B62))</f>
        <v>0</v>
      </c>
      <c r="G62" s="29">
        <f>(SUMIFS(mensalidades!$E:$E,mensalidades!$B:$B,resumo_mens!G$1,mensalidades!$D:$D,resumo_mens!$B62))</f>
        <v>0</v>
      </c>
      <c r="H62" s="29">
        <f>(SUMIFS(mensalidades!$E:$E,mensalidades!$B:$B,resumo_mens!H$1,mensalidades!$D:$D,resumo_mens!$B62))</f>
        <v>0</v>
      </c>
      <c r="I62" s="29">
        <f>(SUMIFS(mensalidades!$E:$E,mensalidades!$B:$B,resumo_mens!I$1,mensalidades!$D:$D,resumo_mens!$B62))</f>
        <v>0</v>
      </c>
      <c r="J62" s="29">
        <f>(SUMIFS(mensalidades!$E:$E,mensalidades!$B:$B,resumo_mens!J$1,mensalidades!$D:$D,resumo_mens!$B62))</f>
        <v>0</v>
      </c>
      <c r="K62" s="29">
        <f>(SUMIFS(mensalidades!$E:$E,mensalidades!$B:$B,resumo_mens!K$1,mensalidades!$D:$D,resumo_mens!$B62))</f>
        <v>0</v>
      </c>
      <c r="L62" s="29">
        <f>(SUMIFS(mensalidades!$E:$E,mensalidades!$B:$B,resumo_mens!L$1,mensalidades!$D:$D,resumo_mens!$B62))</f>
        <v>0</v>
      </c>
      <c r="M62" s="29">
        <f>(SUMIFS(mensalidades!$E:$E,mensalidades!$B:$B,resumo_mens!M$1,mensalidades!$D:$D,resumo_mens!$B62))</f>
        <v>0</v>
      </c>
      <c r="N62" s="29">
        <f>(SUMIFS(mensalidades!$E:$E,mensalidades!$B:$B,resumo_mens!N$1,mensalidades!$D:$D,resumo_mens!$B62))</f>
        <v>0</v>
      </c>
      <c r="O62" s="24">
        <f t="shared" si="6"/>
        <v>0</v>
      </c>
    </row>
    <row r="63" spans="1:15">
      <c r="A63" s="32"/>
      <c r="B63" s="4" t="s">
        <v>43</v>
      </c>
      <c r="C63" s="29">
        <f>(SUMIFS(mensalidades!$E:$E,mensalidades!$B:$B,resumo_mens!C$1,mensalidades!$D:$D,resumo_mens!$B63))</f>
        <v>0</v>
      </c>
      <c r="D63" s="29">
        <f>(SUMIFS(mensalidades!$E:$E,mensalidades!$B:$B,resumo_mens!D$1,mensalidades!$D:$D,resumo_mens!$B63))</f>
        <v>200</v>
      </c>
      <c r="E63" s="29">
        <f>(SUMIFS(mensalidades!$E:$E,mensalidades!$B:$B,resumo_mens!E$1,mensalidades!$D:$D,resumo_mens!$B63))</f>
        <v>100</v>
      </c>
      <c r="F63" s="29">
        <f>(SUMIFS(mensalidades!$E:$E,mensalidades!$B:$B,resumo_mens!F$1,mensalidades!$D:$D,resumo_mens!$B63))</f>
        <v>100</v>
      </c>
      <c r="G63" s="29">
        <f>(SUMIFS(mensalidades!$E:$E,mensalidades!$B:$B,resumo_mens!G$1,mensalidades!$D:$D,resumo_mens!$B63))</f>
        <v>100</v>
      </c>
      <c r="H63" s="29">
        <f>(SUMIFS(mensalidades!$E:$E,mensalidades!$B:$B,resumo_mens!H$1,mensalidades!$D:$D,resumo_mens!$B63))</f>
        <v>100</v>
      </c>
      <c r="I63" s="29">
        <f>(SUMIFS(mensalidades!$E:$E,mensalidades!$B:$B,resumo_mens!I$1,mensalidades!$D:$D,resumo_mens!$B63))</f>
        <v>0</v>
      </c>
      <c r="J63" s="29">
        <f>(SUMIFS(mensalidades!$E:$E,mensalidades!$B:$B,resumo_mens!J$1,mensalidades!$D:$D,resumo_mens!$B63))</f>
        <v>100</v>
      </c>
      <c r="K63" s="29">
        <f>(SUMIFS(mensalidades!$E:$E,mensalidades!$B:$B,resumo_mens!K$1,mensalidades!$D:$D,resumo_mens!$B63))</f>
        <v>0</v>
      </c>
      <c r="L63" s="29">
        <f>(SUMIFS(mensalidades!$E:$E,mensalidades!$B:$B,resumo_mens!L$1,mensalidades!$D:$D,resumo_mens!$B63))</f>
        <v>0</v>
      </c>
      <c r="M63" s="29">
        <f>(SUMIFS(mensalidades!$E:$E,mensalidades!$B:$B,resumo_mens!M$1,mensalidades!$D:$D,resumo_mens!$B63))</f>
        <v>0</v>
      </c>
      <c r="N63" s="29">
        <f>(SUMIFS(mensalidades!$E:$E,mensalidades!$B:$B,resumo_mens!N$1,mensalidades!$D:$D,resumo_mens!$B63))</f>
        <v>0</v>
      </c>
      <c r="O63" s="24">
        <f t="shared" si="6"/>
        <v>700</v>
      </c>
    </row>
    <row r="64" spans="1:15">
      <c r="A64" s="32"/>
      <c r="B64" s="4" t="s">
        <v>51</v>
      </c>
      <c r="C64" s="29">
        <f>(SUMIFS(mensalidades!$E:$E,mensalidades!$B:$B,resumo_mens!C$1,mensalidades!$D:$D,resumo_mens!$B64))</f>
        <v>0</v>
      </c>
      <c r="D64" s="29">
        <f>(SUMIFS(mensalidades!$E:$E,mensalidades!$B:$B,resumo_mens!D$1,mensalidades!$D:$D,resumo_mens!$B64))</f>
        <v>100</v>
      </c>
      <c r="E64" s="29">
        <f>(SUMIFS(mensalidades!$E:$E,mensalidades!$B:$B,resumo_mens!E$1,mensalidades!$D:$D,resumo_mens!$B64))</f>
        <v>100</v>
      </c>
      <c r="F64" s="29">
        <f>(SUMIFS(mensalidades!$E:$E,mensalidades!$B:$B,resumo_mens!F$1,mensalidades!$D:$D,resumo_mens!$B64))</f>
        <v>100</v>
      </c>
      <c r="G64" s="29">
        <f>(SUMIFS(mensalidades!$E:$E,mensalidades!$B:$B,resumo_mens!G$1,mensalidades!$D:$D,resumo_mens!$B64))</f>
        <v>100</v>
      </c>
      <c r="H64" s="29">
        <f>(SUMIFS(mensalidades!$E:$E,mensalidades!$B:$B,resumo_mens!H$1,mensalidades!$D:$D,resumo_mens!$B64))</f>
        <v>100</v>
      </c>
      <c r="I64" s="29">
        <f>(SUMIFS(mensalidades!$E:$E,mensalidades!$B:$B,resumo_mens!I$1,mensalidades!$D:$D,resumo_mens!$B64))</f>
        <v>100</v>
      </c>
      <c r="J64" s="29">
        <f>(SUMIFS(mensalidades!$E:$E,mensalidades!$B:$B,resumo_mens!J$1,mensalidades!$D:$D,resumo_mens!$B64))</f>
        <v>100</v>
      </c>
      <c r="K64" s="29">
        <f>(SUMIFS(mensalidades!$E:$E,mensalidades!$B:$B,resumo_mens!K$1,mensalidades!$D:$D,resumo_mens!$B64))</f>
        <v>0</v>
      </c>
      <c r="L64" s="29">
        <f>(SUMIFS(mensalidades!$E:$E,mensalidades!$B:$B,resumo_mens!L$1,mensalidades!$D:$D,resumo_mens!$B64))</f>
        <v>0</v>
      </c>
      <c r="M64" s="29">
        <f>(SUMIFS(mensalidades!$E:$E,mensalidades!$B:$B,resumo_mens!M$1,mensalidades!$D:$D,resumo_mens!$B64))</f>
        <v>0</v>
      </c>
      <c r="N64" s="29">
        <f>(SUMIFS(mensalidades!$E:$E,mensalidades!$B:$B,resumo_mens!N$1,mensalidades!$D:$D,resumo_mens!$B64))</f>
        <v>0</v>
      </c>
      <c r="O64" s="24">
        <f t="shared" si="6"/>
        <v>700</v>
      </c>
    </row>
    <row r="65" spans="1:15">
      <c r="A65" s="32"/>
      <c r="B65" s="143" t="s">
        <v>63</v>
      </c>
      <c r="C65" s="29">
        <f>(SUMIFS(mensalidades!$E:$E,mensalidades!$B:$B,resumo_mens!C$1,mensalidades!$D:$D,resumo_mens!$B65))</f>
        <v>0</v>
      </c>
      <c r="D65" s="29">
        <f>(SUMIFS(mensalidades!$E:$E,mensalidades!$B:$B,resumo_mens!D$1,mensalidades!$D:$D,resumo_mens!$B65))</f>
        <v>0</v>
      </c>
      <c r="E65" s="29">
        <f>(SUMIFS(mensalidades!$E:$E,mensalidades!$B:$B,resumo_mens!E$1,mensalidades!$D:$D,resumo_mens!$B65))</f>
        <v>0</v>
      </c>
      <c r="F65" s="29">
        <f>(SUMIFS(mensalidades!$E:$E,mensalidades!$B:$B,resumo_mens!F$1,mensalidades!$D:$D,resumo_mens!$B65))</f>
        <v>100</v>
      </c>
      <c r="G65" s="29">
        <f>(SUMIFS(mensalidades!$E:$E,mensalidades!$B:$B,resumo_mens!G$1,mensalidades!$D:$D,resumo_mens!$B65))</f>
        <v>100</v>
      </c>
      <c r="H65" s="29">
        <f>(SUMIFS(mensalidades!$E:$E,mensalidades!$B:$B,resumo_mens!H$1,mensalidades!$D:$D,resumo_mens!$B65))</f>
        <v>100</v>
      </c>
      <c r="I65" s="29">
        <f>(SUMIFS(mensalidades!$E:$E,mensalidades!$B:$B,resumo_mens!I$1,mensalidades!$D:$D,resumo_mens!$B65))</f>
        <v>100</v>
      </c>
      <c r="J65" s="29">
        <f>(SUMIFS(mensalidades!$E:$E,mensalidades!$B:$B,resumo_mens!J$1,mensalidades!$D:$D,resumo_mens!$B65))</f>
        <v>100</v>
      </c>
      <c r="K65" s="29">
        <f>(SUMIFS(mensalidades!$E:$E,mensalidades!$B:$B,resumo_mens!K$1,mensalidades!$D:$D,resumo_mens!$B65))</f>
        <v>0</v>
      </c>
      <c r="L65" s="29">
        <f>(SUMIFS(mensalidades!$E:$E,mensalidades!$B:$B,resumo_mens!L$1,mensalidades!$D:$D,resumo_mens!$B65))</f>
        <v>0</v>
      </c>
      <c r="M65" s="29">
        <f>(SUMIFS(mensalidades!$E:$E,mensalidades!$B:$B,resumo_mens!M$1,mensalidades!$D:$D,resumo_mens!$B65))</f>
        <v>0</v>
      </c>
      <c r="N65" s="29">
        <f>(SUMIFS(mensalidades!$E:$E,mensalidades!$B:$B,resumo_mens!N$1,mensalidades!$D:$D,resumo_mens!$B65))</f>
        <v>0</v>
      </c>
      <c r="O65" s="24">
        <f t="shared" si="6"/>
        <v>500</v>
      </c>
    </row>
    <row r="66" spans="1:15">
      <c r="B66" s="4" t="s">
        <v>104</v>
      </c>
      <c r="C66" s="29">
        <f>(SUMIFS(mensalidades!$E:$E,mensalidades!$B:$B,resumo_mens!C$1,mensalidades!$D:$D,resumo_mens!$B66))</f>
        <v>0</v>
      </c>
      <c r="D66" s="29">
        <f>(SUMIFS(mensalidades!$E:$E,mensalidades!$B:$B,resumo_mens!D$1,mensalidades!$D:$D,resumo_mens!$B66))</f>
        <v>0</v>
      </c>
      <c r="E66" s="29">
        <f>(SUMIFS(mensalidades!$E:$E,mensalidades!$B:$B,resumo_mens!E$1,mensalidades!$D:$D,resumo_mens!$B66))</f>
        <v>0</v>
      </c>
      <c r="F66" s="29">
        <f>(SUMIFS(mensalidades!$E:$E,mensalidades!$B:$B,resumo_mens!F$1,mensalidades!$D:$D,resumo_mens!$B66))</f>
        <v>0</v>
      </c>
      <c r="G66" s="29">
        <f>(SUMIFS(mensalidades!$E:$E,mensalidades!$B:$B,resumo_mens!G$1,mensalidades!$D:$D,resumo_mens!$B66))</f>
        <v>0</v>
      </c>
      <c r="H66" s="29">
        <f>(SUMIFS(mensalidades!$E:$E,mensalidades!$B:$B,resumo_mens!H$1,mensalidades!$D:$D,resumo_mens!$B66))</f>
        <v>0</v>
      </c>
      <c r="I66" s="29">
        <f>(SUMIFS(mensalidades!$E:$E,mensalidades!$B:$B,resumo_mens!I$1,mensalidades!$D:$D,resumo_mens!$B66))</f>
        <v>0</v>
      </c>
      <c r="J66" s="29">
        <f>(SUMIFS(mensalidades!$E:$E,mensalidades!$B:$B,resumo_mens!J$1,mensalidades!$D:$D,resumo_mens!$B66))</f>
        <v>0</v>
      </c>
      <c r="K66" s="29">
        <f>(SUMIFS(mensalidades!$E:$E,mensalidades!$B:$B,resumo_mens!K$1,mensalidades!$D:$D,resumo_mens!$B66))</f>
        <v>0</v>
      </c>
      <c r="L66" s="29">
        <f>(SUMIFS(mensalidades!$E:$E,mensalidades!$B:$B,resumo_mens!L$1,mensalidades!$D:$D,resumo_mens!$B66))</f>
        <v>0</v>
      </c>
      <c r="M66" s="29">
        <f>(SUMIFS(mensalidades!$E:$E,mensalidades!$B:$B,resumo_mens!M$1,mensalidades!$D:$D,resumo_mens!$B66))</f>
        <v>0</v>
      </c>
      <c r="N66" s="29">
        <f>(SUMIFS(mensalidades!$E:$E,mensalidades!$B:$B,resumo_mens!N$1,mensalidades!$D:$D,resumo_mens!$B66))</f>
        <v>0</v>
      </c>
      <c r="O66" s="24">
        <f t="shared" si="6"/>
        <v>0</v>
      </c>
    </row>
    <row r="67" spans="1:15">
      <c r="D67" s="136"/>
    </row>
    <row r="68" spans="1:15">
      <c r="D68" s="136"/>
      <c r="M68" s="14"/>
    </row>
    <row r="69" spans="1:15">
      <c r="D69" s="136"/>
    </row>
    <row r="70" spans="1:15">
      <c r="D70" s="136"/>
      <c r="K70" s="14"/>
    </row>
    <row r="71" spans="1:15">
      <c r="D71" s="136"/>
    </row>
    <row r="72" spans="1:15">
      <c r="D72" s="136"/>
    </row>
    <row r="73" spans="1:15">
      <c r="D73" s="136"/>
    </row>
    <row r="74" spans="1:15">
      <c r="D74" s="136"/>
    </row>
    <row r="75" spans="1:15">
      <c r="D75" s="136"/>
    </row>
    <row r="76" spans="1:15">
      <c r="D76" s="136"/>
    </row>
    <row r="77" spans="1:15">
      <c r="D77" s="136"/>
    </row>
    <row r="78" spans="1:15">
      <c r="D78" s="136"/>
    </row>
    <row r="79" spans="1:15">
      <c r="D79" s="136"/>
    </row>
    <row r="80" spans="1:15">
      <c r="D80" s="136"/>
    </row>
    <row r="81" spans="4:4">
      <c r="D81" s="136"/>
    </row>
    <row r="82" spans="4:4">
      <c r="D82" s="136"/>
    </row>
    <row r="83" spans="4:4">
      <c r="D83" s="136"/>
    </row>
    <row r="84" spans="4:4">
      <c r="D84" s="136"/>
    </row>
    <row r="85" spans="4:4">
      <c r="D85" s="136"/>
    </row>
    <row r="86" spans="4:4">
      <c r="D86" s="136"/>
    </row>
    <row r="87" spans="4:4">
      <c r="D87" s="136"/>
    </row>
    <row r="88" spans="4:4">
      <c r="D88" s="136"/>
    </row>
    <row r="89" spans="4:4">
      <c r="D89" s="136"/>
    </row>
    <row r="90" spans="4:4">
      <c r="D90" s="136"/>
    </row>
    <row r="91" spans="4:4">
      <c r="D91" s="136"/>
    </row>
    <row r="92" spans="4:4">
      <c r="D92" s="136"/>
    </row>
    <row r="93" spans="4:4">
      <c r="D93" s="136"/>
    </row>
    <row r="94" spans="4:4">
      <c r="D94" s="136"/>
    </row>
    <row r="95" spans="4:4">
      <c r="D95" s="136"/>
    </row>
    <row r="96" spans="4:4">
      <c r="D96" s="136"/>
    </row>
    <row r="97" spans="4:4">
      <c r="D97" s="136"/>
    </row>
    <row r="98" spans="4:4">
      <c r="D98" s="136"/>
    </row>
    <row r="99" spans="4:4">
      <c r="D99" s="136"/>
    </row>
    <row r="100" spans="4:4">
      <c r="D100" s="136"/>
    </row>
    <row r="101" spans="4:4">
      <c r="D101" s="136"/>
    </row>
    <row r="102" spans="4:4">
      <c r="D102" s="136"/>
    </row>
    <row r="103" spans="4:4">
      <c r="D103" s="136"/>
    </row>
    <row r="104" spans="4:4">
      <c r="D104" s="136"/>
    </row>
    <row r="105" spans="4:4">
      <c r="D105" s="136"/>
    </row>
    <row r="106" spans="4:4">
      <c r="D106" s="136"/>
    </row>
    <row r="107" spans="4:4">
      <c r="D107" s="136"/>
    </row>
    <row r="108" spans="4:4">
      <c r="D108" s="136"/>
    </row>
    <row r="109" spans="4:4">
      <c r="D109" s="136"/>
    </row>
    <row r="110" spans="4:4">
      <c r="D110" s="136"/>
    </row>
    <row r="111" spans="4:4">
      <c r="D111" s="136"/>
    </row>
    <row r="112" spans="4:4">
      <c r="D112" s="136"/>
    </row>
    <row r="113" spans="4:4">
      <c r="D113" s="136"/>
    </row>
    <row r="114" spans="4:4">
      <c r="D114" s="136"/>
    </row>
    <row r="115" spans="4:4">
      <c r="D115" s="136"/>
    </row>
    <row r="116" spans="4:4">
      <c r="D116" s="136"/>
    </row>
    <row r="117" spans="4:4">
      <c r="D117" s="136"/>
    </row>
    <row r="118" spans="4:4">
      <c r="D118" s="136"/>
    </row>
    <row r="119" spans="4:4">
      <c r="D119" s="136"/>
    </row>
    <row r="120" spans="4:4">
      <c r="D120" s="136"/>
    </row>
    <row r="121" spans="4:4">
      <c r="D121" s="136"/>
    </row>
    <row r="122" spans="4:4">
      <c r="D122" s="136"/>
    </row>
    <row r="123" spans="4:4">
      <c r="D123" s="136"/>
    </row>
    <row r="124" spans="4:4">
      <c r="D124" s="136"/>
    </row>
    <row r="125" spans="4:4">
      <c r="D125" s="136"/>
    </row>
    <row r="126" spans="4:4">
      <c r="D126" s="136"/>
    </row>
    <row r="127" spans="4:4">
      <c r="D127" s="136"/>
    </row>
    <row r="128" spans="4:4">
      <c r="D128" s="136"/>
    </row>
    <row r="129" spans="4:4">
      <c r="D129" s="136"/>
    </row>
    <row r="130" spans="4:4">
      <c r="D130" s="136"/>
    </row>
    <row r="131" spans="4:4">
      <c r="D131" s="136"/>
    </row>
    <row r="132" spans="4:4">
      <c r="D132" s="136"/>
    </row>
    <row r="133" spans="4:4">
      <c r="D133" s="136"/>
    </row>
  </sheetData>
  <autoFilter ref="A15:O66">
    <filterColumn colId="0">
      <filters blank="1"/>
    </filterColumn>
  </autoFilter>
  <sortState ref="D82:D128">
    <sortCondition ref="D80"/>
  </sortState>
  <conditionalFormatting sqref="C16:N16 C44:N53 C57:N66 C18:N41">
    <cfRule type="cellIs" dxfId="11" priority="50" operator="lessThan">
      <formula>1</formula>
    </cfRule>
  </conditionalFormatting>
  <conditionalFormatting sqref="C12:O12">
    <cfRule type="cellIs" dxfId="10" priority="49" operator="lessThan">
      <formula>0</formula>
    </cfRule>
  </conditionalFormatting>
  <conditionalFormatting sqref="C26:I27 K26:N27 C36:I37 C48:I49 C61:I62 K36:N37 K48:N49 K61:N62">
    <cfRule type="cellIs" dxfId="9" priority="22" operator="lessThan">
      <formula>1</formula>
    </cfRule>
  </conditionalFormatting>
  <conditionalFormatting sqref="C22:N22 C32:N32 C44:N44 C57:N57">
    <cfRule type="cellIs" dxfId="8" priority="21" operator="lessThan">
      <formula>1</formula>
    </cfRule>
  </conditionalFormatting>
  <conditionalFormatting sqref="J26:J27 J36:J37 J48:J49 J61:J62">
    <cfRule type="cellIs" dxfId="7" priority="20" operator="lessThan">
      <formula>1</formula>
    </cfRule>
  </conditionalFormatting>
  <conditionalFormatting sqref="C25:N25 C35:N35 C47:N47 C60:N60">
    <cfRule type="cellIs" dxfId="6" priority="19" operator="lessThan">
      <formula>1</formula>
    </cfRule>
  </conditionalFormatting>
  <conditionalFormatting sqref="C42:N42">
    <cfRule type="cellIs" dxfId="5" priority="6" operator="lessThan">
      <formula>1</formula>
    </cfRule>
  </conditionalFormatting>
  <conditionalFormatting sqref="C43:N43">
    <cfRule type="cellIs" dxfId="4" priority="5" operator="lessThan">
      <formula>1</formula>
    </cfRule>
  </conditionalFormatting>
  <conditionalFormatting sqref="C54:N54">
    <cfRule type="cellIs" dxfId="3" priority="4" operator="lessThan">
      <formula>1</formula>
    </cfRule>
  </conditionalFormatting>
  <conditionalFormatting sqref="C55:N55">
    <cfRule type="cellIs" dxfId="2" priority="3" operator="lessThan">
      <formula>1</formula>
    </cfRule>
  </conditionalFormatting>
  <conditionalFormatting sqref="C56:N56">
    <cfRule type="cellIs" dxfId="1" priority="2" operator="lessThan">
      <formula>1</formula>
    </cfRule>
  </conditionalFormatting>
  <conditionalFormatting sqref="C17:N17">
    <cfRule type="cellIs" dxfId="0" priority="1" operator="lessThan">
      <formula>1</formula>
    </cfRule>
  </conditionalFormatting>
  <printOptions horizontalCentered="1"/>
  <pageMargins left="0.31496062992125984" right="0.31496062992125984" top="0.74803149606299213" bottom="0.35433070866141736" header="0.31496062992125984" footer="0.31496062992125984"/>
  <pageSetup paperSize="9" scale="80" orientation="landscape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2:O86"/>
  <sheetViews>
    <sheetView showGridLines="0" workbookViewId="0">
      <pane ySplit="2" topLeftCell="A49" activePane="bottomLeft" state="frozen"/>
      <selection pane="bottomLeft" activeCell="E67" sqref="E67"/>
    </sheetView>
  </sheetViews>
  <sheetFormatPr defaultRowHeight="14.25"/>
  <cols>
    <col min="2" max="2" width="4.125" customWidth="1"/>
    <col min="3" max="3" width="9.125" bestFit="1" customWidth="1"/>
    <col min="4" max="4" width="8.75" bestFit="1" customWidth="1"/>
    <col min="5" max="5" width="10.375" bestFit="1" customWidth="1"/>
    <col min="6" max="6" width="18.125" bestFit="1" customWidth="1"/>
    <col min="7" max="7" width="8.125" bestFit="1" customWidth="1"/>
    <col min="8" max="8" width="14.75" bestFit="1" customWidth="1"/>
  </cols>
  <sheetData>
    <row r="2" spans="2:13">
      <c r="B2" s="15" t="s">
        <v>7</v>
      </c>
      <c r="C2" s="15" t="s">
        <v>8</v>
      </c>
      <c r="D2" s="16" t="s">
        <v>105</v>
      </c>
      <c r="E2" s="16" t="s">
        <v>106</v>
      </c>
      <c r="F2" s="16" t="s">
        <v>107</v>
      </c>
      <c r="G2" s="17" t="s">
        <v>12</v>
      </c>
      <c r="H2" s="16" t="s">
        <v>108</v>
      </c>
      <c r="I2" s="136"/>
      <c r="J2" s="136"/>
      <c r="K2" s="136"/>
      <c r="L2" s="136"/>
      <c r="M2" s="136"/>
    </row>
    <row r="3" spans="2:13">
      <c r="B3" s="19">
        <v>1</v>
      </c>
      <c r="C3" s="4" t="s">
        <v>14</v>
      </c>
      <c r="D3" s="5">
        <v>2000</v>
      </c>
      <c r="E3" s="20" t="s">
        <v>85</v>
      </c>
      <c r="F3" s="20" t="s">
        <v>109</v>
      </c>
      <c r="G3" s="18"/>
      <c r="H3" s="5"/>
      <c r="I3" s="136"/>
      <c r="J3" s="136"/>
      <c r="K3" s="136"/>
      <c r="L3" s="136"/>
      <c r="M3" s="136"/>
    </row>
    <row r="4" spans="2:13">
      <c r="B4" s="19">
        <v>1</v>
      </c>
      <c r="C4" s="4" t="s">
        <v>14</v>
      </c>
      <c r="D4" s="5">
        <v>80</v>
      </c>
      <c r="E4" s="20" t="s">
        <v>87</v>
      </c>
      <c r="F4" s="20" t="s">
        <v>110</v>
      </c>
      <c r="G4" s="18"/>
      <c r="H4" s="5"/>
      <c r="I4" s="136"/>
      <c r="J4" s="136"/>
      <c r="K4" s="136"/>
      <c r="L4" s="136"/>
      <c r="M4" s="136"/>
    </row>
    <row r="5" spans="2:13">
      <c r="B5" s="19">
        <v>1</v>
      </c>
      <c r="C5" s="4" t="s">
        <v>14</v>
      </c>
      <c r="D5" s="5">
        <v>22</v>
      </c>
      <c r="E5" s="20" t="s">
        <v>87</v>
      </c>
      <c r="F5" s="20" t="s">
        <v>111</v>
      </c>
      <c r="G5" s="18"/>
      <c r="H5" s="5"/>
      <c r="I5" s="136"/>
      <c r="J5" s="136"/>
      <c r="K5" s="136"/>
      <c r="L5" s="136"/>
      <c r="M5" s="136"/>
    </row>
    <row r="6" spans="2:13">
      <c r="B6" s="19">
        <v>1</v>
      </c>
      <c r="C6" s="4" t="s">
        <v>14</v>
      </c>
      <c r="D6" s="76">
        <f>197.46+194.5</f>
        <v>391.96000000000004</v>
      </c>
      <c r="E6" s="20" t="s">
        <v>86</v>
      </c>
      <c r="F6" s="20" t="s">
        <v>112</v>
      </c>
      <c r="G6" s="18"/>
      <c r="H6" s="5"/>
      <c r="I6" s="136"/>
      <c r="J6" s="136"/>
      <c r="K6" s="136"/>
      <c r="L6" s="136"/>
      <c r="M6" s="136"/>
    </row>
    <row r="7" spans="2:13">
      <c r="B7" s="19">
        <v>1</v>
      </c>
      <c r="C7" s="4" t="s">
        <v>14</v>
      </c>
      <c r="D7" s="5">
        <v>123.91</v>
      </c>
      <c r="E7" s="20" t="s">
        <v>86</v>
      </c>
      <c r="F7" s="20" t="s">
        <v>113</v>
      </c>
      <c r="G7" s="18"/>
      <c r="H7" s="5"/>
      <c r="I7" s="136"/>
      <c r="J7" s="136"/>
      <c r="K7" s="136"/>
      <c r="L7" s="136"/>
      <c r="M7" s="136"/>
    </row>
    <row r="8" spans="2:13">
      <c r="B8" s="19">
        <v>1</v>
      </c>
      <c r="C8" s="4" t="s">
        <v>14</v>
      </c>
      <c r="D8" s="5"/>
      <c r="E8" s="20" t="s">
        <v>88</v>
      </c>
      <c r="F8" s="20" t="s">
        <v>114</v>
      </c>
      <c r="G8" s="18"/>
      <c r="H8" s="5"/>
      <c r="I8" s="136"/>
      <c r="J8" s="136"/>
      <c r="K8" s="136"/>
      <c r="L8" s="136"/>
      <c r="M8" s="136"/>
    </row>
    <row r="9" spans="2:13">
      <c r="B9" s="19">
        <v>1</v>
      </c>
      <c r="C9" s="4" t="s">
        <v>14</v>
      </c>
      <c r="D9" s="75"/>
      <c r="E9" s="20" t="s">
        <v>90</v>
      </c>
      <c r="F9" s="20" t="s">
        <v>115</v>
      </c>
      <c r="G9" s="18"/>
      <c r="H9" s="5"/>
      <c r="I9" s="136"/>
      <c r="J9" s="136"/>
      <c r="K9" s="136"/>
      <c r="L9" s="136"/>
      <c r="M9" s="136"/>
    </row>
    <row r="10" spans="2:13">
      <c r="B10" s="19">
        <f>B3+1</f>
        <v>2</v>
      </c>
      <c r="C10" s="4" t="s">
        <v>33</v>
      </c>
      <c r="D10" s="5">
        <v>2000</v>
      </c>
      <c r="E10" s="20" t="s">
        <v>85</v>
      </c>
      <c r="F10" s="20" t="s">
        <v>109</v>
      </c>
      <c r="G10" s="18"/>
      <c r="H10" s="5"/>
      <c r="I10" s="136"/>
      <c r="J10" s="136"/>
      <c r="K10" s="136"/>
      <c r="L10" s="136"/>
      <c r="M10" s="136"/>
    </row>
    <row r="11" spans="2:13">
      <c r="B11" s="19">
        <f t="shared" ref="B11:B74" si="0">B4+1</f>
        <v>2</v>
      </c>
      <c r="C11" s="4" t="s">
        <v>33</v>
      </c>
      <c r="D11" s="5">
        <v>80</v>
      </c>
      <c r="E11" s="20" t="s">
        <v>87</v>
      </c>
      <c r="F11" s="20" t="s">
        <v>116</v>
      </c>
      <c r="G11" s="18"/>
      <c r="H11" s="5"/>
      <c r="I11" s="136"/>
      <c r="J11" s="136"/>
      <c r="K11" s="136"/>
      <c r="L11" s="136"/>
      <c r="M11" s="136"/>
    </row>
    <row r="12" spans="2:13">
      <c r="B12" s="19">
        <f t="shared" si="0"/>
        <v>2</v>
      </c>
      <c r="C12" s="4" t="s">
        <v>33</v>
      </c>
      <c r="D12" s="5">
        <v>22</v>
      </c>
      <c r="E12" s="20" t="s">
        <v>87</v>
      </c>
      <c r="F12" s="20" t="s">
        <v>111</v>
      </c>
      <c r="G12" s="18"/>
      <c r="H12" s="5"/>
      <c r="I12" s="136"/>
      <c r="J12" s="136"/>
      <c r="K12" s="136"/>
      <c r="L12" s="136"/>
      <c r="M12" s="136"/>
    </row>
    <row r="13" spans="2:13">
      <c r="B13" s="19">
        <f t="shared" si="0"/>
        <v>2</v>
      </c>
      <c r="C13" s="4" t="s">
        <v>33</v>
      </c>
      <c r="D13" s="5">
        <v>182.16</v>
      </c>
      <c r="E13" s="20" t="s">
        <v>86</v>
      </c>
      <c r="F13" s="20" t="s">
        <v>112</v>
      </c>
      <c r="G13" s="18"/>
      <c r="H13" s="5" t="s">
        <v>117</v>
      </c>
      <c r="I13" s="136"/>
      <c r="J13" s="136"/>
      <c r="K13" s="136"/>
      <c r="L13" s="136"/>
      <c r="M13" s="136"/>
    </row>
    <row r="14" spans="2:13">
      <c r="B14" s="19">
        <f t="shared" si="0"/>
        <v>2</v>
      </c>
      <c r="C14" s="4" t="s">
        <v>33</v>
      </c>
      <c r="D14" s="5">
        <v>124.01</v>
      </c>
      <c r="E14" s="20" t="s">
        <v>86</v>
      </c>
      <c r="F14" s="20" t="s">
        <v>113</v>
      </c>
      <c r="G14" s="18"/>
      <c r="H14" s="5" t="s">
        <v>118</v>
      </c>
      <c r="I14" s="136"/>
      <c r="J14" s="136"/>
      <c r="K14" s="136"/>
      <c r="L14" s="136"/>
      <c r="M14" s="136"/>
    </row>
    <row r="15" spans="2:13">
      <c r="B15" s="19">
        <f t="shared" si="0"/>
        <v>2</v>
      </c>
      <c r="C15" s="4" t="s">
        <v>33</v>
      </c>
      <c r="D15" s="5">
        <v>202.4</v>
      </c>
      <c r="E15" s="20" t="s">
        <v>88</v>
      </c>
      <c r="F15" s="20" t="s">
        <v>119</v>
      </c>
      <c r="G15" s="18"/>
      <c r="H15" s="5"/>
      <c r="I15" s="136"/>
      <c r="J15" s="61"/>
      <c r="K15" s="61"/>
      <c r="L15" s="61"/>
      <c r="M15" s="61"/>
    </row>
    <row r="16" spans="2:13">
      <c r="B16" s="19">
        <f t="shared" si="0"/>
        <v>2</v>
      </c>
      <c r="C16" s="4" t="s">
        <v>33</v>
      </c>
      <c r="D16" s="5"/>
      <c r="E16" s="20" t="s">
        <v>90</v>
      </c>
      <c r="F16" s="20" t="s">
        <v>115</v>
      </c>
      <c r="G16" s="18"/>
      <c r="H16" s="5"/>
      <c r="I16" s="136"/>
      <c r="J16" s="71"/>
      <c r="K16" s="69"/>
      <c r="L16" s="69"/>
      <c r="M16" s="69"/>
    </row>
    <row r="17" spans="2:15">
      <c r="B17" s="19">
        <f t="shared" si="0"/>
        <v>3</v>
      </c>
      <c r="C17" s="4" t="s">
        <v>120</v>
      </c>
      <c r="D17" s="5">
        <v>2000</v>
      </c>
      <c r="E17" s="20" t="s">
        <v>85</v>
      </c>
      <c r="F17" s="20" t="s">
        <v>109</v>
      </c>
      <c r="G17" s="18"/>
      <c r="H17" s="5"/>
      <c r="I17" s="136"/>
      <c r="J17" s="71"/>
      <c r="K17" s="69"/>
      <c r="L17" s="69"/>
      <c r="M17" s="69"/>
      <c r="N17" s="136"/>
      <c r="O17" s="136"/>
    </row>
    <row r="18" spans="2:15">
      <c r="B18" s="19">
        <f t="shared" si="0"/>
        <v>3</v>
      </c>
      <c r="C18" s="4" t="s">
        <v>120</v>
      </c>
      <c r="D18" s="5">
        <v>80</v>
      </c>
      <c r="E18" s="20" t="s">
        <v>87</v>
      </c>
      <c r="F18" s="20" t="s">
        <v>116</v>
      </c>
      <c r="G18" s="18"/>
      <c r="H18" s="5"/>
      <c r="I18" s="136"/>
      <c r="J18" s="71"/>
      <c r="K18" s="61"/>
      <c r="L18" s="61"/>
      <c r="M18" s="61"/>
      <c r="N18" s="136"/>
      <c r="O18" s="136"/>
    </row>
    <row r="19" spans="2:15">
      <c r="B19" s="19">
        <f t="shared" si="0"/>
        <v>3</v>
      </c>
      <c r="C19" s="4" t="s">
        <v>120</v>
      </c>
      <c r="D19" s="5">
        <v>22</v>
      </c>
      <c r="E19" s="20" t="s">
        <v>87</v>
      </c>
      <c r="F19" s="20" t="s">
        <v>111</v>
      </c>
      <c r="G19" s="18"/>
      <c r="H19" s="5"/>
      <c r="I19" s="136"/>
      <c r="J19" s="71"/>
      <c r="K19" s="61"/>
      <c r="L19" s="61"/>
      <c r="M19" s="61"/>
      <c r="N19" s="136"/>
      <c r="O19" s="136"/>
    </row>
    <row r="20" spans="2:15">
      <c r="B20" s="19">
        <f t="shared" si="0"/>
        <v>3</v>
      </c>
      <c r="C20" s="4" t="s">
        <v>120</v>
      </c>
      <c r="D20" s="58">
        <v>167.43</v>
      </c>
      <c r="E20" s="20" t="s">
        <v>86</v>
      </c>
      <c r="F20" s="20" t="s">
        <v>112</v>
      </c>
      <c r="G20" s="42">
        <v>43576</v>
      </c>
      <c r="H20" s="5" t="s">
        <v>121</v>
      </c>
      <c r="I20" s="136"/>
      <c r="J20" s="71"/>
      <c r="K20" s="61"/>
      <c r="L20" s="61"/>
      <c r="M20" s="61"/>
      <c r="N20" s="136"/>
      <c r="O20" s="136"/>
    </row>
    <row r="21" spans="2:15">
      <c r="B21" s="19">
        <f t="shared" si="0"/>
        <v>3</v>
      </c>
      <c r="C21" s="4" t="s">
        <v>120</v>
      </c>
      <c r="D21" s="5">
        <v>190</v>
      </c>
      <c r="E21" s="20" t="s">
        <v>86</v>
      </c>
      <c r="F21" s="20" t="s">
        <v>113</v>
      </c>
      <c r="G21" s="18">
        <v>43542</v>
      </c>
      <c r="H21" s="5" t="s">
        <v>121</v>
      </c>
      <c r="I21" s="136"/>
      <c r="J21" s="71"/>
      <c r="K21" s="69"/>
      <c r="L21" s="69"/>
      <c r="M21" s="69"/>
      <c r="N21" s="136"/>
      <c r="O21" s="136"/>
    </row>
    <row r="22" spans="2:15">
      <c r="B22" s="19">
        <f t="shared" si="0"/>
        <v>3</v>
      </c>
      <c r="C22" s="4" t="s">
        <v>120</v>
      </c>
      <c r="D22" s="5">
        <v>202.4</v>
      </c>
      <c r="E22" s="20" t="s">
        <v>88</v>
      </c>
      <c r="F22" s="20" t="s">
        <v>119</v>
      </c>
      <c r="G22" s="18"/>
      <c r="H22" s="5"/>
      <c r="I22" s="136"/>
      <c r="J22" s="71"/>
      <c r="K22" s="69"/>
      <c r="L22" s="69"/>
      <c r="M22" s="69"/>
      <c r="N22" s="136"/>
      <c r="O22" s="136"/>
    </row>
    <row r="23" spans="2:15">
      <c r="B23" s="19">
        <f t="shared" si="0"/>
        <v>3</v>
      </c>
      <c r="C23" s="4" t="s">
        <v>120</v>
      </c>
      <c r="D23" s="5"/>
      <c r="E23" s="20" t="s">
        <v>90</v>
      </c>
      <c r="F23" s="20" t="s">
        <v>115</v>
      </c>
      <c r="G23" s="18"/>
      <c r="H23" s="5"/>
      <c r="I23" s="136"/>
      <c r="J23" s="71"/>
      <c r="K23" s="61"/>
      <c r="L23" s="69"/>
      <c r="M23" s="61"/>
      <c r="N23" s="136"/>
      <c r="O23" s="136"/>
    </row>
    <row r="24" spans="2:15">
      <c r="B24" s="19">
        <f t="shared" si="0"/>
        <v>4</v>
      </c>
      <c r="C24" s="4" t="s">
        <v>59</v>
      </c>
      <c r="D24" s="5">
        <v>2000</v>
      </c>
      <c r="E24" s="20" t="s">
        <v>85</v>
      </c>
      <c r="F24" s="20" t="s">
        <v>109</v>
      </c>
      <c r="G24" s="18"/>
      <c r="H24" s="5"/>
      <c r="I24" s="136"/>
      <c r="J24" s="71"/>
      <c r="K24" s="61"/>
      <c r="L24" s="61"/>
      <c r="M24" s="61"/>
      <c r="N24" s="136"/>
      <c r="O24" s="136"/>
    </row>
    <row r="25" spans="2:15">
      <c r="B25" s="19">
        <f t="shared" si="0"/>
        <v>4</v>
      </c>
      <c r="C25" s="4" t="s">
        <v>59</v>
      </c>
      <c r="D25" s="5">
        <v>80</v>
      </c>
      <c r="E25" s="20" t="s">
        <v>87</v>
      </c>
      <c r="F25" s="20" t="s">
        <v>116</v>
      </c>
      <c r="G25" s="18"/>
      <c r="H25" s="5"/>
      <c r="I25" s="136"/>
      <c r="J25" s="71"/>
      <c r="K25" s="61"/>
      <c r="L25" s="61"/>
      <c r="M25" s="61"/>
      <c r="N25" s="136"/>
      <c r="O25" s="136"/>
    </row>
    <row r="26" spans="2:15">
      <c r="B26" s="19">
        <f t="shared" si="0"/>
        <v>4</v>
      </c>
      <c r="C26" s="4" t="s">
        <v>59</v>
      </c>
      <c r="D26" s="5">
        <v>22</v>
      </c>
      <c r="E26" s="20" t="s">
        <v>87</v>
      </c>
      <c r="F26" s="20" t="s">
        <v>111</v>
      </c>
      <c r="G26" s="18"/>
      <c r="H26" s="5"/>
      <c r="I26" s="136"/>
      <c r="J26" s="71"/>
      <c r="K26" s="61"/>
      <c r="L26" s="61"/>
      <c r="M26" s="61"/>
      <c r="N26" s="136"/>
      <c r="O26" s="136"/>
    </row>
    <row r="27" spans="2:15">
      <c r="B27" s="19">
        <f t="shared" si="0"/>
        <v>4</v>
      </c>
      <c r="C27" s="4" t="s">
        <v>59</v>
      </c>
      <c r="D27" s="5"/>
      <c r="E27" s="20" t="s">
        <v>86</v>
      </c>
      <c r="F27" s="20" t="s">
        <v>112</v>
      </c>
      <c r="G27" s="18"/>
      <c r="H27" s="5"/>
      <c r="I27" s="136"/>
      <c r="J27" s="71"/>
      <c r="K27" s="61"/>
      <c r="L27" s="61"/>
      <c r="M27" s="61"/>
      <c r="N27" s="136"/>
      <c r="O27" s="136"/>
    </row>
    <row r="28" spans="2:15">
      <c r="B28" s="19">
        <f t="shared" si="0"/>
        <v>4</v>
      </c>
      <c r="C28" s="4" t="s">
        <v>59</v>
      </c>
      <c r="D28" s="5">
        <v>0</v>
      </c>
      <c r="E28" s="20" t="s">
        <v>86</v>
      </c>
      <c r="F28" s="20" t="s">
        <v>113</v>
      </c>
      <c r="G28" s="18"/>
      <c r="H28" s="5" t="s">
        <v>118</v>
      </c>
      <c r="I28" s="136">
        <v>247.46</v>
      </c>
      <c r="J28" s="71"/>
      <c r="K28" s="69"/>
      <c r="L28" s="69"/>
      <c r="M28" s="69"/>
      <c r="N28" s="136"/>
      <c r="O28" s="136"/>
    </row>
    <row r="29" spans="2:15" ht="15">
      <c r="B29" s="19">
        <f t="shared" si="0"/>
        <v>4</v>
      </c>
      <c r="C29" s="4" t="s">
        <v>59</v>
      </c>
      <c r="D29" s="5">
        <v>202.4</v>
      </c>
      <c r="E29" s="20" t="s">
        <v>88</v>
      </c>
      <c r="F29" s="20" t="s">
        <v>119</v>
      </c>
      <c r="G29" s="18"/>
      <c r="H29" s="5"/>
      <c r="I29" s="136"/>
      <c r="J29" s="71"/>
      <c r="K29" s="69"/>
      <c r="L29" s="69"/>
      <c r="M29" s="69"/>
      <c r="N29" s="70"/>
      <c r="O29" s="48"/>
    </row>
    <row r="30" spans="2:15">
      <c r="B30" s="19">
        <f t="shared" si="0"/>
        <v>4</v>
      </c>
      <c r="C30" s="4" t="s">
        <v>59</v>
      </c>
      <c r="D30" s="5"/>
      <c r="E30" s="20" t="s">
        <v>90</v>
      </c>
      <c r="F30" s="20" t="s">
        <v>115</v>
      </c>
      <c r="G30" s="18"/>
      <c r="H30" s="5"/>
      <c r="I30" s="136"/>
      <c r="J30" s="136"/>
      <c r="K30" s="136"/>
      <c r="L30" s="136"/>
      <c r="M30" s="136"/>
      <c r="N30" s="136"/>
      <c r="O30" s="136"/>
    </row>
    <row r="31" spans="2:15" ht="15">
      <c r="B31" s="19">
        <f t="shared" si="0"/>
        <v>5</v>
      </c>
      <c r="C31" s="4" t="s">
        <v>64</v>
      </c>
      <c r="D31" s="5">
        <v>2000</v>
      </c>
      <c r="E31" s="20" t="s">
        <v>85</v>
      </c>
      <c r="F31" s="20" t="s">
        <v>109</v>
      </c>
      <c r="G31" s="18"/>
      <c r="H31" s="5"/>
      <c r="I31" s="136"/>
      <c r="J31" s="70"/>
      <c r="K31" s="70"/>
      <c r="L31" s="70"/>
      <c r="M31" s="70"/>
      <c r="N31" s="70"/>
      <c r="O31" s="48"/>
    </row>
    <row r="32" spans="2:15">
      <c r="B32" s="19">
        <f t="shared" si="0"/>
        <v>5</v>
      </c>
      <c r="C32" s="4" t="s">
        <v>64</v>
      </c>
      <c r="D32" s="5">
        <v>80</v>
      </c>
      <c r="E32" s="20" t="s">
        <v>87</v>
      </c>
      <c r="F32" s="20" t="s">
        <v>116</v>
      </c>
      <c r="G32" s="18"/>
      <c r="H32" s="5"/>
      <c r="I32" s="136"/>
      <c r="J32" s="61"/>
      <c r="K32" s="69"/>
      <c r="L32" s="69"/>
      <c r="M32" s="69"/>
      <c r="N32" s="69"/>
      <c r="O32" s="48"/>
    </row>
    <row r="33" spans="2:13">
      <c r="B33" s="19">
        <f t="shared" si="0"/>
        <v>5</v>
      </c>
      <c r="C33" s="4" t="s">
        <v>64</v>
      </c>
      <c r="D33" s="5">
        <v>22</v>
      </c>
      <c r="E33" s="20" t="s">
        <v>87</v>
      </c>
      <c r="F33" s="20" t="s">
        <v>111</v>
      </c>
      <c r="G33" s="18"/>
      <c r="H33" s="5"/>
      <c r="I33" s="136"/>
      <c r="J33" s="48"/>
      <c r="K33" s="69"/>
      <c r="L33" s="69"/>
      <c r="M33" s="69"/>
    </row>
    <row r="34" spans="2:13">
      <c r="B34" s="19">
        <f t="shared" si="0"/>
        <v>5</v>
      </c>
      <c r="C34" s="4" t="s">
        <v>64</v>
      </c>
      <c r="D34" s="5"/>
      <c r="E34" s="20" t="s">
        <v>86</v>
      </c>
      <c r="F34" s="20" t="s">
        <v>112</v>
      </c>
      <c r="G34" s="18"/>
      <c r="H34" s="5"/>
      <c r="I34" s="136"/>
      <c r="J34" s="48"/>
      <c r="K34" s="69"/>
      <c r="L34" s="61"/>
      <c r="M34" s="61"/>
    </row>
    <row r="35" spans="2:13">
      <c r="B35" s="19">
        <f t="shared" si="0"/>
        <v>5</v>
      </c>
      <c r="C35" s="4" t="s">
        <v>64</v>
      </c>
      <c r="D35" s="5"/>
      <c r="E35" s="20" t="s">
        <v>86</v>
      </c>
      <c r="F35" s="20" t="s">
        <v>113</v>
      </c>
      <c r="G35" s="18"/>
      <c r="H35" s="5"/>
      <c r="I35" s="136"/>
      <c r="J35" s="48"/>
      <c r="K35" s="69"/>
      <c r="L35" s="69"/>
      <c r="M35" s="69"/>
    </row>
    <row r="36" spans="2:13">
      <c r="B36" s="19">
        <f t="shared" si="0"/>
        <v>5</v>
      </c>
      <c r="C36" s="4" t="s">
        <v>64</v>
      </c>
      <c r="D36" s="5">
        <v>202.4</v>
      </c>
      <c r="E36" s="20" t="s">
        <v>88</v>
      </c>
      <c r="F36" s="20" t="s">
        <v>119</v>
      </c>
      <c r="G36" s="18"/>
      <c r="H36" s="5"/>
      <c r="I36" s="136"/>
      <c r="J36" s="48"/>
      <c r="K36" s="69"/>
      <c r="L36" s="69"/>
      <c r="M36" s="69"/>
    </row>
    <row r="37" spans="2:13">
      <c r="B37" s="19">
        <f t="shared" si="0"/>
        <v>5</v>
      </c>
      <c r="C37" s="4" t="s">
        <v>64</v>
      </c>
      <c r="D37" s="5"/>
      <c r="E37" s="20" t="s">
        <v>90</v>
      </c>
      <c r="F37" s="20" t="s">
        <v>115</v>
      </c>
      <c r="G37" s="18"/>
      <c r="H37" s="5"/>
      <c r="I37" s="136"/>
      <c r="J37" s="136"/>
      <c r="K37" s="136"/>
      <c r="L37" s="136"/>
      <c r="M37" s="136"/>
    </row>
    <row r="38" spans="2:13">
      <c r="B38" s="19">
        <f t="shared" si="0"/>
        <v>6</v>
      </c>
      <c r="C38" s="4" t="s">
        <v>66</v>
      </c>
      <c r="D38" s="5">
        <v>2000</v>
      </c>
      <c r="E38" s="20" t="s">
        <v>85</v>
      </c>
      <c r="F38" s="20" t="s">
        <v>109</v>
      </c>
      <c r="G38" s="18"/>
      <c r="H38" s="5"/>
      <c r="I38" s="136"/>
      <c r="J38" s="136"/>
      <c r="K38" s="136"/>
      <c r="L38" s="136"/>
      <c r="M38" s="136"/>
    </row>
    <row r="39" spans="2:13">
      <c r="B39" s="19">
        <f t="shared" si="0"/>
        <v>6</v>
      </c>
      <c r="C39" s="4" t="s">
        <v>66</v>
      </c>
      <c r="D39" s="5">
        <v>80</v>
      </c>
      <c r="E39" s="20" t="s">
        <v>87</v>
      </c>
      <c r="F39" s="20" t="s">
        <v>116</v>
      </c>
      <c r="G39" s="18"/>
      <c r="H39" s="5"/>
      <c r="I39" s="136"/>
      <c r="J39" s="136"/>
      <c r="K39" s="136"/>
      <c r="L39" s="136"/>
      <c r="M39" s="136"/>
    </row>
    <row r="40" spans="2:13">
      <c r="B40" s="19">
        <f t="shared" si="0"/>
        <v>6</v>
      </c>
      <c r="C40" s="4" t="s">
        <v>66</v>
      </c>
      <c r="D40" s="5">
        <v>22</v>
      </c>
      <c r="E40" s="20" t="s">
        <v>87</v>
      </c>
      <c r="F40" s="20" t="s">
        <v>111</v>
      </c>
      <c r="G40" s="18"/>
      <c r="H40" s="5"/>
      <c r="I40" s="136"/>
      <c r="J40" s="136"/>
      <c r="K40" s="136"/>
      <c r="L40" s="136"/>
      <c r="M40" s="136"/>
    </row>
    <row r="41" spans="2:13">
      <c r="B41" s="19">
        <f t="shared" si="0"/>
        <v>6</v>
      </c>
      <c r="C41" s="4" t="s">
        <v>66</v>
      </c>
      <c r="D41" s="5"/>
      <c r="E41" s="20" t="s">
        <v>86</v>
      </c>
      <c r="F41" s="20" t="s">
        <v>112</v>
      </c>
      <c r="G41" s="18"/>
      <c r="H41" s="5"/>
      <c r="I41" s="136"/>
      <c r="J41" s="136"/>
      <c r="K41" s="136"/>
      <c r="L41" s="136"/>
      <c r="M41" s="136"/>
    </row>
    <row r="42" spans="2:13">
      <c r="B42" s="19">
        <f t="shared" si="0"/>
        <v>6</v>
      </c>
      <c r="C42" s="4" t="s">
        <v>66</v>
      </c>
      <c r="D42" s="5"/>
      <c r="E42" s="20" t="s">
        <v>86</v>
      </c>
      <c r="F42" s="20" t="s">
        <v>113</v>
      </c>
      <c r="G42" s="18"/>
      <c r="H42" s="5"/>
      <c r="I42" s="136"/>
      <c r="J42" s="136"/>
      <c r="K42" s="136"/>
      <c r="L42" s="136"/>
      <c r="M42" s="136"/>
    </row>
    <row r="43" spans="2:13">
      <c r="B43" s="19">
        <f t="shared" si="0"/>
        <v>6</v>
      </c>
      <c r="C43" s="4" t="s">
        <v>66</v>
      </c>
      <c r="D43" s="5">
        <v>202.4</v>
      </c>
      <c r="E43" s="20" t="s">
        <v>88</v>
      </c>
      <c r="F43" s="20" t="s">
        <v>119</v>
      </c>
      <c r="G43" s="18"/>
      <c r="H43" s="5"/>
      <c r="I43" s="136"/>
      <c r="J43" s="136"/>
      <c r="K43" s="136"/>
      <c r="L43" s="136"/>
      <c r="M43" s="136"/>
    </row>
    <row r="44" spans="2:13">
      <c r="B44" s="19">
        <f t="shared" si="0"/>
        <v>6</v>
      </c>
      <c r="C44" s="4" t="s">
        <v>66</v>
      </c>
      <c r="D44" s="5">
        <v>50</v>
      </c>
      <c r="E44" s="20" t="s">
        <v>90</v>
      </c>
      <c r="F44" s="20" t="s">
        <v>122</v>
      </c>
      <c r="G44" s="18"/>
      <c r="H44" s="5"/>
      <c r="I44" s="136"/>
      <c r="J44" s="136"/>
      <c r="K44" s="136"/>
      <c r="L44" s="136"/>
      <c r="M44" s="136"/>
    </row>
    <row r="45" spans="2:13">
      <c r="B45" s="19">
        <f t="shared" si="0"/>
        <v>7</v>
      </c>
      <c r="C45" s="4" t="s">
        <v>70</v>
      </c>
      <c r="D45" s="5">
        <v>2000</v>
      </c>
      <c r="E45" s="20" t="s">
        <v>85</v>
      </c>
      <c r="F45" s="20" t="s">
        <v>109</v>
      </c>
      <c r="G45" s="18"/>
      <c r="H45" s="5"/>
      <c r="I45" s="136"/>
      <c r="J45" s="136"/>
      <c r="K45" s="136"/>
      <c r="L45" s="136"/>
      <c r="M45" s="136"/>
    </row>
    <row r="46" spans="2:13">
      <c r="B46" s="19">
        <f t="shared" si="0"/>
        <v>7</v>
      </c>
      <c r="C46" s="4" t="s">
        <v>70</v>
      </c>
      <c r="D46" s="5">
        <v>80</v>
      </c>
      <c r="E46" s="20" t="s">
        <v>87</v>
      </c>
      <c r="F46" s="20" t="s">
        <v>116</v>
      </c>
      <c r="G46" s="18"/>
      <c r="H46" s="5"/>
      <c r="I46" s="136"/>
      <c r="J46" s="136"/>
      <c r="K46" s="136"/>
      <c r="L46" s="136"/>
      <c r="M46" s="136"/>
    </row>
    <row r="47" spans="2:13">
      <c r="B47" s="19">
        <f t="shared" si="0"/>
        <v>7</v>
      </c>
      <c r="C47" s="4" t="s">
        <v>70</v>
      </c>
      <c r="D47" s="5">
        <v>22</v>
      </c>
      <c r="E47" s="20" t="s">
        <v>87</v>
      </c>
      <c r="F47" s="20" t="s">
        <v>111</v>
      </c>
      <c r="G47" s="18"/>
      <c r="H47" s="5"/>
      <c r="I47" s="136"/>
      <c r="J47" s="136"/>
      <c r="K47" s="136"/>
      <c r="L47" s="136"/>
      <c r="M47" s="136"/>
    </row>
    <row r="48" spans="2:13">
      <c r="B48" s="19">
        <f t="shared" si="0"/>
        <v>7</v>
      </c>
      <c r="C48" s="4" t="s">
        <v>70</v>
      </c>
      <c r="D48" s="5"/>
      <c r="E48" s="20" t="s">
        <v>86</v>
      </c>
      <c r="F48" s="20" t="s">
        <v>112</v>
      </c>
      <c r="G48" s="18"/>
      <c r="H48" s="5"/>
      <c r="I48" s="136"/>
      <c r="J48" s="136"/>
      <c r="K48" s="136"/>
      <c r="L48" s="136"/>
      <c r="M48" s="136"/>
    </row>
    <row r="49" spans="2:14">
      <c r="B49" s="19">
        <f t="shared" si="0"/>
        <v>7</v>
      </c>
      <c r="C49" s="4" t="s">
        <v>70</v>
      </c>
      <c r="D49" s="5"/>
      <c r="E49" s="20" t="s">
        <v>86</v>
      </c>
      <c r="F49" s="20" t="s">
        <v>113</v>
      </c>
      <c r="G49" s="18"/>
      <c r="H49" s="5"/>
      <c r="I49" s="136"/>
      <c r="J49" s="136"/>
      <c r="K49" s="136"/>
      <c r="L49" s="136"/>
      <c r="M49" s="136"/>
      <c r="N49" s="136"/>
    </row>
    <row r="50" spans="2:14">
      <c r="B50" s="19">
        <f t="shared" si="0"/>
        <v>7</v>
      </c>
      <c r="C50" s="4" t="s">
        <v>70</v>
      </c>
      <c r="D50" s="5">
        <v>202.4</v>
      </c>
      <c r="E50" s="20" t="s">
        <v>88</v>
      </c>
      <c r="F50" s="20" t="s">
        <v>119</v>
      </c>
      <c r="G50" s="18"/>
      <c r="H50" s="5"/>
      <c r="I50" s="136"/>
      <c r="J50" s="136"/>
      <c r="K50" s="136"/>
      <c r="L50" s="136"/>
      <c r="M50" s="136"/>
      <c r="N50" s="48"/>
    </row>
    <row r="51" spans="2:14">
      <c r="B51" s="19">
        <f t="shared" si="0"/>
        <v>7</v>
      </c>
      <c r="C51" s="4" t="s">
        <v>70</v>
      </c>
      <c r="D51" s="5"/>
      <c r="E51" s="20" t="s">
        <v>90</v>
      </c>
      <c r="F51" s="20" t="s">
        <v>115</v>
      </c>
      <c r="G51" s="18"/>
      <c r="H51" s="5"/>
      <c r="I51" s="136"/>
      <c r="J51" s="136"/>
      <c r="K51" s="136"/>
      <c r="L51" s="136"/>
      <c r="M51" s="136"/>
      <c r="N51" s="48"/>
    </row>
    <row r="52" spans="2:14">
      <c r="B52" s="19">
        <f t="shared" si="0"/>
        <v>8</v>
      </c>
      <c r="C52" s="4" t="s">
        <v>75</v>
      </c>
      <c r="D52" s="5">
        <v>1558</v>
      </c>
      <c r="E52" s="20" t="s">
        <v>85</v>
      </c>
      <c r="F52" s="20" t="s">
        <v>109</v>
      </c>
      <c r="G52" s="18"/>
      <c r="H52" s="5"/>
      <c r="I52" s="138" t="s">
        <v>123</v>
      </c>
      <c r="J52" s="136"/>
      <c r="K52" s="136"/>
      <c r="L52" s="136"/>
      <c r="M52" s="136"/>
      <c r="N52" s="48"/>
    </row>
    <row r="53" spans="2:14">
      <c r="B53" s="19">
        <f t="shared" si="0"/>
        <v>8</v>
      </c>
      <c r="C53" s="4" t="s">
        <v>75</v>
      </c>
      <c r="D53" s="5">
        <v>80</v>
      </c>
      <c r="E53" s="20" t="s">
        <v>87</v>
      </c>
      <c r="F53" s="20" t="s">
        <v>116</v>
      </c>
      <c r="G53" s="18"/>
      <c r="H53" s="5"/>
      <c r="I53" s="136"/>
      <c r="J53" s="136"/>
      <c r="K53" s="136"/>
      <c r="L53" s="136"/>
      <c r="M53" s="136"/>
      <c r="N53" s="136"/>
    </row>
    <row r="54" spans="2:14">
      <c r="B54" s="19">
        <f t="shared" si="0"/>
        <v>8</v>
      </c>
      <c r="C54" s="4" t="s">
        <v>75</v>
      </c>
      <c r="D54" s="5">
        <v>22</v>
      </c>
      <c r="E54" s="20" t="s">
        <v>87</v>
      </c>
      <c r="F54" s="20" t="s">
        <v>111</v>
      </c>
      <c r="G54" s="18"/>
      <c r="H54" s="5"/>
      <c r="I54" s="136"/>
      <c r="J54" s="136"/>
      <c r="K54" s="136"/>
      <c r="L54" s="136"/>
      <c r="M54" s="136"/>
      <c r="N54" s="136"/>
    </row>
    <row r="55" spans="2:14">
      <c r="B55" s="19">
        <f t="shared" si="0"/>
        <v>8</v>
      </c>
      <c r="C55" s="4" t="s">
        <v>75</v>
      </c>
      <c r="D55" s="5">
        <v>217.42</v>
      </c>
      <c r="E55" s="20" t="s">
        <v>86</v>
      </c>
      <c r="F55" s="20" t="s">
        <v>112</v>
      </c>
      <c r="G55" s="18">
        <v>43696</v>
      </c>
      <c r="H55" s="5" t="s">
        <v>104</v>
      </c>
      <c r="I55" s="136"/>
      <c r="J55" s="136"/>
      <c r="K55" s="136"/>
      <c r="L55" s="136"/>
      <c r="M55" s="136"/>
      <c r="N55" s="136"/>
    </row>
    <row r="56" spans="2:14">
      <c r="B56" s="19">
        <f t="shared" si="0"/>
        <v>8</v>
      </c>
      <c r="C56" s="4" t="s">
        <v>75</v>
      </c>
      <c r="D56" s="5"/>
      <c r="E56" s="20" t="s">
        <v>86</v>
      </c>
      <c r="F56" s="20" t="s">
        <v>113</v>
      </c>
      <c r="G56" s="18"/>
      <c r="H56" s="5" t="s">
        <v>124</v>
      </c>
      <c r="I56" s="136"/>
      <c r="J56" s="136"/>
      <c r="K56" s="136"/>
      <c r="L56" s="136"/>
      <c r="M56" s="136"/>
      <c r="N56" s="136"/>
    </row>
    <row r="57" spans="2:14">
      <c r="B57" s="19">
        <f t="shared" si="0"/>
        <v>8</v>
      </c>
      <c r="C57" s="4" t="s">
        <v>75</v>
      </c>
      <c r="D57" s="5"/>
      <c r="E57" s="20" t="s">
        <v>88</v>
      </c>
      <c r="F57" s="20" t="s">
        <v>119</v>
      </c>
      <c r="G57" s="18"/>
      <c r="H57" s="5"/>
      <c r="I57" s="136"/>
      <c r="J57" s="136"/>
      <c r="K57" s="136"/>
      <c r="L57" s="136"/>
      <c r="M57" s="136"/>
      <c r="N57" s="136"/>
    </row>
    <row r="58" spans="2:14">
      <c r="B58" s="19">
        <f t="shared" si="0"/>
        <v>8</v>
      </c>
      <c r="C58" s="4" t="s">
        <v>75</v>
      </c>
      <c r="D58" s="5">
        <v>50</v>
      </c>
      <c r="E58" s="20" t="s">
        <v>90</v>
      </c>
      <c r="F58" s="20" t="s">
        <v>122</v>
      </c>
      <c r="G58" s="18"/>
      <c r="H58" s="5"/>
      <c r="I58" s="136"/>
      <c r="J58" s="136"/>
      <c r="K58" s="136"/>
      <c r="L58" s="136"/>
      <c r="M58" s="136"/>
      <c r="N58" s="136"/>
    </row>
    <row r="59" spans="2:14">
      <c r="B59" s="19">
        <f t="shared" ref="B59:B65" si="1">B52+1</f>
        <v>9</v>
      </c>
      <c r="C59" s="4" t="s">
        <v>81</v>
      </c>
      <c r="D59" s="5">
        <v>2000</v>
      </c>
      <c r="E59" s="20" t="s">
        <v>85</v>
      </c>
      <c r="F59" s="20" t="s">
        <v>109</v>
      </c>
      <c r="G59" s="18"/>
      <c r="H59" s="5"/>
      <c r="I59" s="136"/>
      <c r="J59" s="136"/>
      <c r="K59" s="42"/>
      <c r="L59" s="136"/>
      <c r="M59" s="136"/>
      <c r="N59" s="136"/>
    </row>
    <row r="60" spans="2:14">
      <c r="B60" s="19">
        <f t="shared" si="1"/>
        <v>9</v>
      </c>
      <c r="C60" s="4" t="s">
        <v>81</v>
      </c>
      <c r="D60" s="5">
        <v>80</v>
      </c>
      <c r="E60" s="20" t="s">
        <v>87</v>
      </c>
      <c r="F60" s="20" t="s">
        <v>116</v>
      </c>
      <c r="G60" s="18"/>
      <c r="H60" s="5"/>
      <c r="I60" s="136"/>
      <c r="J60" s="136"/>
      <c r="K60" s="136"/>
      <c r="L60" s="136"/>
      <c r="M60" s="136"/>
      <c r="N60" s="136"/>
    </row>
    <row r="61" spans="2:14">
      <c r="B61" s="19">
        <f t="shared" si="1"/>
        <v>9</v>
      </c>
      <c r="C61" s="4" t="s">
        <v>81</v>
      </c>
      <c r="D61" s="5">
        <v>22</v>
      </c>
      <c r="E61" s="20" t="s">
        <v>87</v>
      </c>
      <c r="F61" s="20" t="s">
        <v>111</v>
      </c>
      <c r="G61" s="18"/>
      <c r="H61" s="5"/>
      <c r="I61" s="136"/>
      <c r="J61" s="136"/>
      <c r="K61" s="136"/>
      <c r="L61" s="136"/>
      <c r="M61" s="136"/>
      <c r="N61" s="136"/>
    </row>
    <row r="62" spans="2:14">
      <c r="B62" s="19">
        <f t="shared" si="1"/>
        <v>9</v>
      </c>
      <c r="C62" s="4" t="s">
        <v>81</v>
      </c>
      <c r="D62" s="5">
        <v>217</v>
      </c>
      <c r="E62" s="20" t="s">
        <v>86</v>
      </c>
      <c r="F62" s="20" t="s">
        <v>112</v>
      </c>
      <c r="G62" s="18"/>
      <c r="H62" s="5"/>
      <c r="I62" s="136"/>
      <c r="J62" s="136"/>
      <c r="K62" s="136"/>
      <c r="L62" s="136"/>
      <c r="M62" s="136"/>
      <c r="N62" s="136"/>
    </row>
    <row r="63" spans="2:14">
      <c r="B63" s="19">
        <f t="shared" si="1"/>
        <v>9</v>
      </c>
      <c r="C63" s="4" t="s">
        <v>81</v>
      </c>
      <c r="D63" s="5"/>
      <c r="E63" s="20" t="s">
        <v>86</v>
      </c>
      <c r="F63" s="20" t="s">
        <v>113</v>
      </c>
      <c r="G63" s="18"/>
      <c r="H63" s="5" t="s">
        <v>124</v>
      </c>
      <c r="I63" s="138" t="s">
        <v>556</v>
      </c>
      <c r="J63" s="136"/>
      <c r="K63" s="136"/>
      <c r="L63" s="136"/>
      <c r="M63" s="136"/>
      <c r="N63" s="136"/>
    </row>
    <row r="64" spans="2:14">
      <c r="B64" s="19">
        <f t="shared" si="1"/>
        <v>9</v>
      </c>
      <c r="C64" s="4" t="s">
        <v>81</v>
      </c>
      <c r="D64" s="5">
        <v>23.2</v>
      </c>
      <c r="E64" s="20" t="s">
        <v>88</v>
      </c>
      <c r="F64" s="20" t="s">
        <v>119</v>
      </c>
      <c r="G64" s="18"/>
      <c r="H64" s="5"/>
      <c r="I64" s="136"/>
      <c r="J64" s="136"/>
      <c r="K64" s="136"/>
      <c r="L64" s="136"/>
      <c r="M64" s="136"/>
      <c r="N64" s="136"/>
    </row>
    <row r="65" spans="2:8">
      <c r="B65" s="19">
        <f t="shared" si="1"/>
        <v>9</v>
      </c>
      <c r="C65" s="4" t="s">
        <v>81</v>
      </c>
      <c r="D65" s="5"/>
      <c r="E65" s="20" t="s">
        <v>90</v>
      </c>
      <c r="F65" s="20" t="s">
        <v>115</v>
      </c>
      <c r="G65" s="18"/>
      <c r="H65" s="5"/>
    </row>
    <row r="66" spans="2:8">
      <c r="B66" s="19">
        <f t="shared" si="0"/>
        <v>10</v>
      </c>
      <c r="C66" s="4" t="s">
        <v>82</v>
      </c>
      <c r="D66" s="5"/>
      <c r="E66" s="20" t="s">
        <v>85</v>
      </c>
      <c r="F66" s="20" t="s">
        <v>109</v>
      </c>
      <c r="G66" s="18"/>
      <c r="H66" s="5"/>
    </row>
    <row r="67" spans="2:8">
      <c r="B67" s="19">
        <f t="shared" si="0"/>
        <v>10</v>
      </c>
      <c r="C67" s="4" t="s">
        <v>82</v>
      </c>
      <c r="D67" s="5"/>
      <c r="E67" s="20" t="s">
        <v>87</v>
      </c>
      <c r="F67" s="20" t="s">
        <v>116</v>
      </c>
      <c r="G67" s="18"/>
      <c r="H67" s="5"/>
    </row>
    <row r="68" spans="2:8">
      <c r="B68" s="19">
        <f t="shared" si="0"/>
        <v>10</v>
      </c>
      <c r="C68" s="4" t="s">
        <v>82</v>
      </c>
      <c r="D68" s="5"/>
      <c r="E68" s="20" t="s">
        <v>87</v>
      </c>
      <c r="F68" s="20" t="s">
        <v>111</v>
      </c>
      <c r="G68" s="18"/>
      <c r="H68" s="5"/>
    </row>
    <row r="69" spans="2:8">
      <c r="B69" s="19">
        <f t="shared" si="0"/>
        <v>10</v>
      </c>
      <c r="C69" s="4" t="s">
        <v>82</v>
      </c>
      <c r="D69" s="5"/>
      <c r="E69" s="20" t="s">
        <v>86</v>
      </c>
      <c r="F69" s="20" t="s">
        <v>112</v>
      </c>
      <c r="G69" s="18"/>
      <c r="H69" s="5"/>
    </row>
    <row r="70" spans="2:8">
      <c r="B70" s="19">
        <f t="shared" si="0"/>
        <v>10</v>
      </c>
      <c r="C70" s="4" t="s">
        <v>82</v>
      </c>
      <c r="D70" s="5"/>
      <c r="E70" s="20" t="s">
        <v>86</v>
      </c>
      <c r="F70" s="20" t="s">
        <v>113</v>
      </c>
      <c r="G70" s="18"/>
      <c r="H70" s="5"/>
    </row>
    <row r="71" spans="2:8">
      <c r="B71" s="19">
        <f t="shared" si="0"/>
        <v>10</v>
      </c>
      <c r="C71" s="4" t="s">
        <v>82</v>
      </c>
      <c r="D71" s="5"/>
      <c r="E71" s="20" t="s">
        <v>88</v>
      </c>
      <c r="F71" s="20" t="s">
        <v>119</v>
      </c>
      <c r="G71" s="18"/>
      <c r="H71" s="5"/>
    </row>
    <row r="72" spans="2:8">
      <c r="B72" s="19">
        <f t="shared" si="0"/>
        <v>10</v>
      </c>
      <c r="C72" s="4" t="s">
        <v>82</v>
      </c>
      <c r="D72" s="5"/>
      <c r="E72" s="20" t="s">
        <v>90</v>
      </c>
      <c r="F72" s="20" t="s">
        <v>115</v>
      </c>
      <c r="G72" s="18"/>
      <c r="H72" s="5"/>
    </row>
    <row r="73" spans="2:8">
      <c r="B73" s="19">
        <f t="shared" si="0"/>
        <v>11</v>
      </c>
      <c r="C73" s="4" t="s">
        <v>83</v>
      </c>
      <c r="D73" s="5"/>
      <c r="E73" s="20" t="s">
        <v>85</v>
      </c>
      <c r="F73" s="20" t="s">
        <v>109</v>
      </c>
      <c r="G73" s="18"/>
      <c r="H73" s="5"/>
    </row>
    <row r="74" spans="2:8">
      <c r="B74" s="19">
        <f t="shared" si="0"/>
        <v>11</v>
      </c>
      <c r="C74" s="4" t="s">
        <v>83</v>
      </c>
      <c r="D74" s="5"/>
      <c r="E74" s="20" t="s">
        <v>87</v>
      </c>
      <c r="F74" s="20" t="s">
        <v>116</v>
      </c>
      <c r="G74" s="18"/>
      <c r="H74" s="5"/>
    </row>
    <row r="75" spans="2:8">
      <c r="B75" s="19">
        <f t="shared" ref="B75:B86" si="2">B68+1</f>
        <v>11</v>
      </c>
      <c r="C75" s="4" t="s">
        <v>83</v>
      </c>
      <c r="D75" s="5"/>
      <c r="E75" s="20" t="s">
        <v>87</v>
      </c>
      <c r="F75" s="20" t="s">
        <v>111</v>
      </c>
      <c r="G75" s="18"/>
      <c r="H75" s="5"/>
    </row>
    <row r="76" spans="2:8">
      <c r="B76" s="19">
        <f t="shared" si="2"/>
        <v>11</v>
      </c>
      <c r="C76" s="4" t="s">
        <v>83</v>
      </c>
      <c r="D76" s="5"/>
      <c r="E76" s="20" t="s">
        <v>86</v>
      </c>
      <c r="F76" s="20" t="s">
        <v>112</v>
      </c>
      <c r="G76" s="18"/>
      <c r="H76" s="5"/>
    </row>
    <row r="77" spans="2:8">
      <c r="B77" s="19">
        <f t="shared" si="2"/>
        <v>11</v>
      </c>
      <c r="C77" s="4" t="s">
        <v>83</v>
      </c>
      <c r="D77" s="5"/>
      <c r="E77" s="20" t="s">
        <v>86</v>
      </c>
      <c r="F77" s="20" t="s">
        <v>113</v>
      </c>
      <c r="G77" s="18"/>
      <c r="H77" s="5"/>
    </row>
    <row r="78" spans="2:8">
      <c r="B78" s="19">
        <f t="shared" si="2"/>
        <v>11</v>
      </c>
      <c r="C78" s="4" t="s">
        <v>83</v>
      </c>
      <c r="D78" s="5"/>
      <c r="E78" s="20" t="s">
        <v>88</v>
      </c>
      <c r="F78" s="20" t="s">
        <v>119</v>
      </c>
      <c r="G78" s="18"/>
      <c r="H78" s="5"/>
    </row>
    <row r="79" spans="2:8">
      <c r="B79" s="19">
        <f t="shared" si="2"/>
        <v>11</v>
      </c>
      <c r="C79" s="4" t="s">
        <v>83</v>
      </c>
      <c r="D79" s="5"/>
      <c r="E79" s="20" t="s">
        <v>90</v>
      </c>
      <c r="F79" s="20" t="s">
        <v>115</v>
      </c>
      <c r="G79" s="18"/>
      <c r="H79" s="5"/>
    </row>
    <row r="80" spans="2:8">
      <c r="B80" s="19">
        <f t="shared" si="2"/>
        <v>12</v>
      </c>
      <c r="C80" s="4" t="s">
        <v>84</v>
      </c>
      <c r="D80" s="5"/>
      <c r="E80" s="20" t="s">
        <v>85</v>
      </c>
      <c r="F80" s="20" t="s">
        <v>109</v>
      </c>
      <c r="G80" s="18"/>
      <c r="H80" s="5"/>
    </row>
    <row r="81" spans="2:8">
      <c r="B81" s="19">
        <f t="shared" si="2"/>
        <v>12</v>
      </c>
      <c r="C81" s="4" t="s">
        <v>84</v>
      </c>
      <c r="D81" s="5"/>
      <c r="E81" s="20" t="s">
        <v>87</v>
      </c>
      <c r="F81" s="20" t="s">
        <v>116</v>
      </c>
      <c r="G81" s="18"/>
      <c r="H81" s="5"/>
    </row>
    <row r="82" spans="2:8">
      <c r="B82" s="19">
        <f t="shared" si="2"/>
        <v>12</v>
      </c>
      <c r="C82" s="4" t="s">
        <v>84</v>
      </c>
      <c r="D82" s="5"/>
      <c r="E82" s="20" t="s">
        <v>87</v>
      </c>
      <c r="F82" s="20" t="s">
        <v>111</v>
      </c>
      <c r="G82" s="18"/>
      <c r="H82" s="5"/>
    </row>
    <row r="83" spans="2:8">
      <c r="B83" s="19">
        <f t="shared" si="2"/>
        <v>12</v>
      </c>
      <c r="C83" s="4" t="s">
        <v>84</v>
      </c>
      <c r="D83" s="5"/>
      <c r="E83" s="20" t="s">
        <v>86</v>
      </c>
      <c r="F83" s="20" t="s">
        <v>112</v>
      </c>
      <c r="G83" s="18"/>
      <c r="H83" s="5"/>
    </row>
    <row r="84" spans="2:8">
      <c r="B84" s="19">
        <f t="shared" si="2"/>
        <v>12</v>
      </c>
      <c r="C84" s="4" t="s">
        <v>84</v>
      </c>
      <c r="D84" s="5"/>
      <c r="E84" s="20" t="s">
        <v>86</v>
      </c>
      <c r="F84" s="20" t="s">
        <v>113</v>
      </c>
      <c r="G84" s="18"/>
      <c r="H84" s="5"/>
    </row>
    <row r="85" spans="2:8">
      <c r="B85" s="19">
        <f t="shared" si="2"/>
        <v>12</v>
      </c>
      <c r="C85" s="4" t="s">
        <v>84</v>
      </c>
      <c r="D85" s="5"/>
      <c r="E85" s="20" t="s">
        <v>88</v>
      </c>
      <c r="F85" s="20" t="s">
        <v>119</v>
      </c>
      <c r="G85" s="18"/>
      <c r="H85" s="5"/>
    </row>
    <row r="86" spans="2:8">
      <c r="B86" s="19">
        <f t="shared" si="2"/>
        <v>12</v>
      </c>
      <c r="C86" s="4" t="s">
        <v>84</v>
      </c>
      <c r="D86" s="5"/>
      <c r="E86" s="20" t="s">
        <v>90</v>
      </c>
      <c r="F86" s="20" t="s">
        <v>115</v>
      </c>
      <c r="G86" s="18"/>
      <c r="H86" s="5"/>
    </row>
  </sheetData>
  <autoFilter ref="B2:H86"/>
  <pageMargins left="0.70866141732283472" right="0.70866141732283472" top="0.74803149606299213" bottom="0.74803149606299213" header="0.31496062992125984" footer="0.31496062992125984"/>
  <pageSetup paperSize="9" scale="61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K486"/>
  <sheetViews>
    <sheetView showGridLines="0" topLeftCell="A55" workbookViewId="0">
      <selection activeCell="E76" sqref="E76"/>
    </sheetView>
  </sheetViews>
  <sheetFormatPr defaultRowHeight="14.25"/>
  <cols>
    <col min="2" max="2" width="6.25" style="61" customWidth="1"/>
    <col min="3" max="3" width="9.875" style="61" customWidth="1"/>
    <col min="4" max="4" width="17.375" style="63" bestFit="1" customWidth="1"/>
    <col min="5" max="6" width="10.875" style="61" customWidth="1"/>
    <col min="7" max="7" width="9" style="61"/>
    <col min="8" max="8" width="1.75" customWidth="1"/>
    <col min="9" max="9" width="9" style="66"/>
  </cols>
  <sheetData>
    <row r="1" spans="2:7">
      <c r="D1" s="61"/>
      <c r="E1" s="69"/>
      <c r="F1" s="69"/>
    </row>
    <row r="2" spans="2:7">
      <c r="B2" s="15" t="s">
        <v>7</v>
      </c>
      <c r="C2" s="15" t="s">
        <v>8</v>
      </c>
      <c r="D2" s="16" t="s">
        <v>9</v>
      </c>
      <c r="E2" s="16" t="s">
        <v>125</v>
      </c>
      <c r="F2" s="17" t="s">
        <v>11</v>
      </c>
      <c r="G2" s="16" t="s">
        <v>12</v>
      </c>
    </row>
    <row r="3" spans="2:7">
      <c r="B3" s="60">
        <f t="shared" ref="B3:B12" si="0">IF(G3="","",MONTH(G3))</f>
        <v>4</v>
      </c>
      <c r="C3" s="60" t="s">
        <v>59</v>
      </c>
      <c r="D3" s="20" t="s">
        <v>34</v>
      </c>
      <c r="E3" s="5">
        <v>15</v>
      </c>
      <c r="F3" s="18" t="s">
        <v>16</v>
      </c>
      <c r="G3" s="18">
        <v>43565</v>
      </c>
    </row>
    <row r="4" spans="2:7">
      <c r="B4" s="60">
        <f t="shared" si="0"/>
        <v>4</v>
      </c>
      <c r="C4" s="60" t="s">
        <v>59</v>
      </c>
      <c r="D4" s="20" t="s">
        <v>126</v>
      </c>
      <c r="E4" s="5">
        <v>15</v>
      </c>
      <c r="F4" s="18" t="s">
        <v>16</v>
      </c>
      <c r="G4" s="18">
        <v>43565</v>
      </c>
    </row>
    <row r="5" spans="2:7">
      <c r="B5" s="60">
        <f t="shared" si="0"/>
        <v>4</v>
      </c>
      <c r="C5" s="60" t="s">
        <v>59</v>
      </c>
      <c r="D5" s="20" t="s">
        <v>127</v>
      </c>
      <c r="E5" s="5">
        <v>15</v>
      </c>
      <c r="F5" s="18" t="s">
        <v>16</v>
      </c>
      <c r="G5" s="18">
        <v>43565</v>
      </c>
    </row>
    <row r="6" spans="2:7">
      <c r="B6" s="60">
        <f t="shared" si="0"/>
        <v>4</v>
      </c>
      <c r="C6" s="60" t="s">
        <v>59</v>
      </c>
      <c r="D6" s="20" t="s">
        <v>100</v>
      </c>
      <c r="E6" s="5">
        <v>15</v>
      </c>
      <c r="F6" s="18" t="s">
        <v>16</v>
      </c>
      <c r="G6" s="18">
        <v>43565</v>
      </c>
    </row>
    <row r="7" spans="2:7">
      <c r="B7" s="60">
        <f t="shared" si="0"/>
        <v>4</v>
      </c>
      <c r="C7" s="60" t="s">
        <v>64</v>
      </c>
      <c r="D7" s="20" t="s">
        <v>100</v>
      </c>
      <c r="E7" s="5">
        <v>15</v>
      </c>
      <c r="F7" s="18" t="s">
        <v>16</v>
      </c>
      <c r="G7" s="18">
        <v>43565</v>
      </c>
    </row>
    <row r="8" spans="2:7">
      <c r="B8" s="60">
        <f t="shared" si="0"/>
        <v>4</v>
      </c>
      <c r="C8" s="60" t="s">
        <v>59</v>
      </c>
      <c r="D8" s="20" t="s">
        <v>57</v>
      </c>
      <c r="E8" s="5">
        <v>15</v>
      </c>
      <c r="F8" s="18" t="s">
        <v>16</v>
      </c>
      <c r="G8" s="18">
        <v>43565</v>
      </c>
    </row>
    <row r="9" spans="2:7">
      <c r="B9" s="60">
        <f t="shared" si="0"/>
        <v>4</v>
      </c>
      <c r="C9" s="60" t="s">
        <v>59</v>
      </c>
      <c r="D9" s="20" t="s">
        <v>52</v>
      </c>
      <c r="E9" s="5">
        <v>15</v>
      </c>
      <c r="F9" s="18" t="s">
        <v>16</v>
      </c>
      <c r="G9" s="18">
        <v>43565</v>
      </c>
    </row>
    <row r="10" spans="2:7">
      <c r="B10" s="60">
        <f t="shared" si="0"/>
        <v>4</v>
      </c>
      <c r="C10" s="60" t="s">
        <v>59</v>
      </c>
      <c r="D10" s="20" t="s">
        <v>32</v>
      </c>
      <c r="E10" s="5">
        <v>15</v>
      </c>
      <c r="F10" s="18" t="s">
        <v>16</v>
      </c>
      <c r="G10" s="18">
        <v>43565</v>
      </c>
    </row>
    <row r="11" spans="2:7">
      <c r="B11" s="60">
        <f t="shared" si="0"/>
        <v>4</v>
      </c>
      <c r="C11" s="60" t="s">
        <v>59</v>
      </c>
      <c r="D11" s="20" t="s">
        <v>39</v>
      </c>
      <c r="E11" s="5">
        <v>15</v>
      </c>
      <c r="F11" s="18" t="s">
        <v>16</v>
      </c>
      <c r="G11" s="18">
        <v>43565</v>
      </c>
    </row>
    <row r="12" spans="2:7">
      <c r="B12" s="60">
        <f t="shared" si="0"/>
        <v>4</v>
      </c>
      <c r="C12" s="60" t="s">
        <v>59</v>
      </c>
      <c r="D12" s="20" t="s">
        <v>47</v>
      </c>
      <c r="E12" s="5">
        <v>15</v>
      </c>
      <c r="F12" s="18" t="s">
        <v>16</v>
      </c>
      <c r="G12" s="18">
        <v>43565</v>
      </c>
    </row>
    <row r="13" spans="2:7">
      <c r="B13" s="60">
        <v>4</v>
      </c>
      <c r="C13" s="60" t="s">
        <v>59</v>
      </c>
      <c r="D13" s="20" t="s">
        <v>20</v>
      </c>
      <c r="E13" s="5">
        <v>15</v>
      </c>
      <c r="F13" s="18" t="s">
        <v>16</v>
      </c>
      <c r="G13" s="18">
        <v>43565</v>
      </c>
    </row>
    <row r="14" spans="2:7">
      <c r="B14" s="60">
        <f t="shared" ref="B14:B32" si="1">IF(G14="","",MONTH(G14))</f>
        <v>4</v>
      </c>
      <c r="C14" s="60" t="s">
        <v>59</v>
      </c>
      <c r="D14" s="20" t="s">
        <v>48</v>
      </c>
      <c r="E14" s="5">
        <v>15</v>
      </c>
      <c r="F14" s="18" t="s">
        <v>16</v>
      </c>
      <c r="G14" s="18">
        <v>43565</v>
      </c>
    </row>
    <row r="15" spans="2:7">
      <c r="B15" s="60">
        <f t="shared" si="1"/>
        <v>4</v>
      </c>
      <c r="C15" s="60" t="s">
        <v>59</v>
      </c>
      <c r="D15" s="20" t="s">
        <v>128</v>
      </c>
      <c r="E15" s="5">
        <v>15</v>
      </c>
      <c r="F15" s="18" t="s">
        <v>16</v>
      </c>
      <c r="G15" s="18">
        <v>43565</v>
      </c>
    </row>
    <row r="16" spans="2:7">
      <c r="B16" s="60">
        <f t="shared" si="1"/>
        <v>4</v>
      </c>
      <c r="C16" s="60" t="s">
        <v>59</v>
      </c>
      <c r="D16" s="20" t="s">
        <v>50</v>
      </c>
      <c r="E16" s="5">
        <v>15</v>
      </c>
      <c r="F16" s="18" t="s">
        <v>16</v>
      </c>
      <c r="G16" s="18">
        <v>43565</v>
      </c>
    </row>
    <row r="17" spans="2:7">
      <c r="B17" s="60">
        <f t="shared" si="1"/>
        <v>4</v>
      </c>
      <c r="C17" s="60" t="s">
        <v>59</v>
      </c>
      <c r="D17" s="20" t="s">
        <v>45</v>
      </c>
      <c r="E17" s="5">
        <v>15</v>
      </c>
      <c r="F17" s="18" t="s">
        <v>16</v>
      </c>
      <c r="G17" s="18">
        <v>43565</v>
      </c>
    </row>
    <row r="18" spans="2:7">
      <c r="B18" s="60">
        <f t="shared" si="1"/>
        <v>5</v>
      </c>
      <c r="C18" s="60" t="s">
        <v>64</v>
      </c>
      <c r="D18" s="20" t="s">
        <v>34</v>
      </c>
      <c r="E18" s="5">
        <v>15</v>
      </c>
      <c r="F18" s="18" t="s">
        <v>16</v>
      </c>
      <c r="G18" s="18">
        <v>43595</v>
      </c>
    </row>
    <row r="19" spans="2:7">
      <c r="B19" s="60">
        <f t="shared" si="1"/>
        <v>5</v>
      </c>
      <c r="C19" s="60" t="s">
        <v>64</v>
      </c>
      <c r="D19" s="20" t="s">
        <v>126</v>
      </c>
      <c r="E19" s="5">
        <v>15</v>
      </c>
      <c r="F19" s="18" t="s">
        <v>16</v>
      </c>
      <c r="G19" s="18">
        <v>43595</v>
      </c>
    </row>
    <row r="20" spans="2:7">
      <c r="B20" s="60">
        <f t="shared" si="1"/>
        <v>5</v>
      </c>
      <c r="C20" s="60" t="s">
        <v>64</v>
      </c>
      <c r="D20" s="20" t="s">
        <v>127</v>
      </c>
      <c r="E20" s="5">
        <v>15</v>
      </c>
      <c r="F20" s="18" t="s">
        <v>16</v>
      </c>
      <c r="G20" s="18">
        <v>43595</v>
      </c>
    </row>
    <row r="21" spans="2:7">
      <c r="B21" s="60">
        <f t="shared" si="1"/>
        <v>5</v>
      </c>
      <c r="C21" s="60" t="s">
        <v>64</v>
      </c>
      <c r="D21" s="20" t="s">
        <v>57</v>
      </c>
      <c r="E21" s="5">
        <v>15</v>
      </c>
      <c r="F21" s="18" t="s">
        <v>16</v>
      </c>
      <c r="G21" s="18">
        <v>43595</v>
      </c>
    </row>
    <row r="22" spans="2:7">
      <c r="B22" s="60">
        <f t="shared" si="1"/>
        <v>5</v>
      </c>
      <c r="C22" s="60" t="s">
        <v>64</v>
      </c>
      <c r="D22" s="20" t="s">
        <v>37</v>
      </c>
      <c r="E22" s="5">
        <v>15</v>
      </c>
      <c r="F22" s="18" t="s">
        <v>16</v>
      </c>
      <c r="G22" s="18">
        <v>43595</v>
      </c>
    </row>
    <row r="23" spans="2:7">
      <c r="B23" s="60">
        <f t="shared" si="1"/>
        <v>5</v>
      </c>
      <c r="C23" s="60" t="s">
        <v>64</v>
      </c>
      <c r="D23" s="20" t="s">
        <v>52</v>
      </c>
      <c r="E23" s="5">
        <v>15</v>
      </c>
      <c r="F23" s="18" t="s">
        <v>16</v>
      </c>
      <c r="G23" s="18">
        <v>43595</v>
      </c>
    </row>
    <row r="24" spans="2:7">
      <c r="B24" s="60">
        <f t="shared" si="1"/>
        <v>5</v>
      </c>
      <c r="C24" s="60" t="s">
        <v>64</v>
      </c>
      <c r="D24" s="20" t="s">
        <v>38</v>
      </c>
      <c r="E24" s="5">
        <v>15</v>
      </c>
      <c r="F24" s="18" t="s">
        <v>16</v>
      </c>
      <c r="G24" s="18">
        <v>43595</v>
      </c>
    </row>
    <row r="25" spans="2:7">
      <c r="B25" s="60">
        <f t="shared" si="1"/>
        <v>5</v>
      </c>
      <c r="C25" s="60" t="s">
        <v>64</v>
      </c>
      <c r="D25" s="20" t="s">
        <v>32</v>
      </c>
      <c r="E25" s="5">
        <v>15</v>
      </c>
      <c r="F25" s="18" t="s">
        <v>16</v>
      </c>
      <c r="G25" s="18">
        <v>43595</v>
      </c>
    </row>
    <row r="26" spans="2:7">
      <c r="B26" s="60">
        <f t="shared" si="1"/>
        <v>5</v>
      </c>
      <c r="C26" s="60" t="s">
        <v>64</v>
      </c>
      <c r="D26" s="20" t="s">
        <v>39</v>
      </c>
      <c r="E26" s="5">
        <v>15</v>
      </c>
      <c r="F26" s="18" t="s">
        <v>16</v>
      </c>
      <c r="G26" s="18">
        <v>43595</v>
      </c>
    </row>
    <row r="27" spans="2:7">
      <c r="B27" s="60">
        <f t="shared" si="1"/>
        <v>5</v>
      </c>
      <c r="C27" s="60" t="s">
        <v>64</v>
      </c>
      <c r="D27" s="20" t="s">
        <v>68</v>
      </c>
      <c r="E27" s="5">
        <v>15</v>
      </c>
      <c r="F27" s="18" t="s">
        <v>16</v>
      </c>
      <c r="G27" s="18">
        <v>43595</v>
      </c>
    </row>
    <row r="28" spans="2:7">
      <c r="B28" s="60">
        <f t="shared" si="1"/>
        <v>5</v>
      </c>
      <c r="C28" s="60" t="s">
        <v>64</v>
      </c>
      <c r="D28" s="20" t="s">
        <v>25</v>
      </c>
      <c r="E28" s="5">
        <v>15</v>
      </c>
      <c r="F28" s="18" t="s">
        <v>16</v>
      </c>
      <c r="G28" s="18">
        <v>43595</v>
      </c>
    </row>
    <row r="29" spans="2:7">
      <c r="B29" s="60">
        <f t="shared" si="1"/>
        <v>5</v>
      </c>
      <c r="C29" s="60" t="s">
        <v>64</v>
      </c>
      <c r="D29" s="20" t="s">
        <v>47</v>
      </c>
      <c r="E29" s="5">
        <v>15</v>
      </c>
      <c r="F29" s="18" t="s">
        <v>16</v>
      </c>
      <c r="G29" s="18">
        <v>43595</v>
      </c>
    </row>
    <row r="30" spans="2:7">
      <c r="B30" s="60">
        <f t="shared" si="1"/>
        <v>5</v>
      </c>
      <c r="C30" s="60" t="s">
        <v>64</v>
      </c>
      <c r="D30" s="20" t="s">
        <v>20</v>
      </c>
      <c r="E30" s="5">
        <v>15</v>
      </c>
      <c r="F30" s="18" t="s">
        <v>16</v>
      </c>
      <c r="G30" s="18">
        <v>43595</v>
      </c>
    </row>
    <row r="31" spans="2:7">
      <c r="B31" s="60">
        <f t="shared" si="1"/>
        <v>5</v>
      </c>
      <c r="C31" s="60" t="s">
        <v>64</v>
      </c>
      <c r="D31" s="20" t="s">
        <v>48</v>
      </c>
      <c r="E31" s="5">
        <v>15</v>
      </c>
      <c r="F31" s="18" t="s">
        <v>16</v>
      </c>
      <c r="G31" s="18">
        <v>43595</v>
      </c>
    </row>
    <row r="32" spans="2:7">
      <c r="B32" s="60">
        <f t="shared" si="1"/>
        <v>5</v>
      </c>
      <c r="C32" s="60" t="s">
        <v>64</v>
      </c>
      <c r="D32" s="20" t="s">
        <v>128</v>
      </c>
      <c r="E32" s="5">
        <v>15</v>
      </c>
      <c r="F32" s="18" t="s">
        <v>16</v>
      </c>
      <c r="G32" s="18">
        <v>43595</v>
      </c>
    </row>
    <row r="33" spans="2:7">
      <c r="B33" s="60">
        <v>5</v>
      </c>
      <c r="C33" s="60" t="s">
        <v>64</v>
      </c>
      <c r="D33" s="20" t="s">
        <v>50</v>
      </c>
      <c r="E33" s="5">
        <v>15</v>
      </c>
      <c r="F33" s="18" t="s">
        <v>16</v>
      </c>
      <c r="G33" s="18">
        <v>43595</v>
      </c>
    </row>
    <row r="34" spans="2:7">
      <c r="B34" s="60">
        <f t="shared" ref="B34:B65" si="2">IF(G34="","",MONTH(G34))</f>
        <v>5</v>
      </c>
      <c r="C34" s="60" t="s">
        <v>64</v>
      </c>
      <c r="D34" s="20" t="s">
        <v>45</v>
      </c>
      <c r="E34" s="5">
        <v>15</v>
      </c>
      <c r="F34" s="18" t="s">
        <v>16</v>
      </c>
      <c r="G34" s="18">
        <v>43595</v>
      </c>
    </row>
    <row r="35" spans="2:7">
      <c r="B35" s="60">
        <f t="shared" si="2"/>
        <v>5</v>
      </c>
      <c r="C35" s="60" t="s">
        <v>64</v>
      </c>
      <c r="D35" s="20" t="s">
        <v>51</v>
      </c>
      <c r="E35" s="5">
        <v>15</v>
      </c>
      <c r="F35" s="18" t="s">
        <v>16</v>
      </c>
      <c r="G35" s="18">
        <v>43595</v>
      </c>
    </row>
    <row r="36" spans="2:7">
      <c r="B36" s="60">
        <f t="shared" si="2"/>
        <v>5</v>
      </c>
      <c r="C36" s="60" t="s">
        <v>64</v>
      </c>
      <c r="D36" s="20" t="s">
        <v>63</v>
      </c>
      <c r="E36" s="5">
        <v>15</v>
      </c>
      <c r="F36" s="18" t="s">
        <v>16</v>
      </c>
      <c r="G36" s="18">
        <v>43595</v>
      </c>
    </row>
    <row r="37" spans="2:7">
      <c r="B37" s="60">
        <f t="shared" si="2"/>
        <v>6</v>
      </c>
      <c r="C37" s="60" t="s">
        <v>66</v>
      </c>
      <c r="D37" s="20" t="s">
        <v>34</v>
      </c>
      <c r="E37" s="5">
        <v>15</v>
      </c>
      <c r="F37" s="18" t="s">
        <v>16</v>
      </c>
      <c r="G37" s="18">
        <v>43626</v>
      </c>
    </row>
    <row r="38" spans="2:7">
      <c r="B38" s="60">
        <f t="shared" si="2"/>
        <v>6</v>
      </c>
      <c r="C38" s="60" t="s">
        <v>66</v>
      </c>
      <c r="D38" s="20" t="s">
        <v>31</v>
      </c>
      <c r="E38" s="5">
        <v>15</v>
      </c>
      <c r="F38" s="18" t="s">
        <v>16</v>
      </c>
      <c r="G38" s="18">
        <v>43626</v>
      </c>
    </row>
    <row r="39" spans="2:7">
      <c r="B39" s="60">
        <f t="shared" si="2"/>
        <v>6</v>
      </c>
      <c r="C39" s="60" t="s">
        <v>66</v>
      </c>
      <c r="D39" s="20" t="s">
        <v>126</v>
      </c>
      <c r="E39" s="5">
        <v>15</v>
      </c>
      <c r="F39" s="18" t="s">
        <v>16</v>
      </c>
      <c r="G39" s="18">
        <v>43626</v>
      </c>
    </row>
    <row r="40" spans="2:7">
      <c r="B40" s="60">
        <f t="shared" si="2"/>
        <v>6</v>
      </c>
      <c r="C40" s="60" t="s">
        <v>66</v>
      </c>
      <c r="D40" s="20" t="s">
        <v>127</v>
      </c>
      <c r="E40" s="5">
        <v>15</v>
      </c>
      <c r="F40" s="18" t="s">
        <v>16</v>
      </c>
      <c r="G40" s="18">
        <v>43626</v>
      </c>
    </row>
    <row r="41" spans="2:7">
      <c r="B41" s="60">
        <f t="shared" si="2"/>
        <v>6</v>
      </c>
      <c r="C41" s="60" t="s">
        <v>66</v>
      </c>
      <c r="D41" s="20" t="s">
        <v>57</v>
      </c>
      <c r="E41" s="5">
        <v>15</v>
      </c>
      <c r="F41" s="18" t="s">
        <v>16</v>
      </c>
      <c r="G41" s="18">
        <v>43626</v>
      </c>
    </row>
    <row r="42" spans="2:7">
      <c r="B42" s="60">
        <f t="shared" si="2"/>
        <v>6</v>
      </c>
      <c r="C42" s="60" t="s">
        <v>66</v>
      </c>
      <c r="D42" s="20" t="s">
        <v>37</v>
      </c>
      <c r="E42" s="5">
        <v>15</v>
      </c>
      <c r="F42" s="18" t="s">
        <v>16</v>
      </c>
      <c r="G42" s="18">
        <v>43626</v>
      </c>
    </row>
    <row r="43" spans="2:7">
      <c r="B43" s="60">
        <f t="shared" si="2"/>
        <v>6</v>
      </c>
      <c r="C43" s="60" t="s">
        <v>66</v>
      </c>
      <c r="D43" s="20" t="s">
        <v>38</v>
      </c>
      <c r="E43" s="5">
        <v>15</v>
      </c>
      <c r="F43" s="18" t="s">
        <v>16</v>
      </c>
      <c r="G43" s="18">
        <v>43626</v>
      </c>
    </row>
    <row r="44" spans="2:7">
      <c r="B44" s="60">
        <f t="shared" si="2"/>
        <v>6</v>
      </c>
      <c r="C44" s="60" t="s">
        <v>66</v>
      </c>
      <c r="D44" s="20" t="s">
        <v>39</v>
      </c>
      <c r="E44" s="5">
        <v>15</v>
      </c>
      <c r="F44" s="18" t="s">
        <v>16</v>
      </c>
      <c r="G44" s="18">
        <v>43626</v>
      </c>
    </row>
    <row r="45" spans="2:7">
      <c r="B45" s="60">
        <f t="shared" si="2"/>
        <v>6</v>
      </c>
      <c r="C45" s="60" t="s">
        <v>66</v>
      </c>
      <c r="D45" s="20" t="s">
        <v>47</v>
      </c>
      <c r="E45" s="5">
        <v>15</v>
      </c>
      <c r="F45" s="18" t="s">
        <v>16</v>
      </c>
      <c r="G45" s="18">
        <v>43626</v>
      </c>
    </row>
    <row r="46" spans="2:7">
      <c r="B46" s="60">
        <f t="shared" si="2"/>
        <v>6</v>
      </c>
      <c r="C46" s="60" t="s">
        <v>66</v>
      </c>
      <c r="D46" s="20" t="s">
        <v>17</v>
      </c>
      <c r="E46" s="5">
        <v>15</v>
      </c>
      <c r="F46" s="18" t="s">
        <v>16</v>
      </c>
      <c r="G46" s="18">
        <v>43626</v>
      </c>
    </row>
    <row r="47" spans="2:7">
      <c r="B47" s="60">
        <f t="shared" si="2"/>
        <v>6</v>
      </c>
      <c r="C47" s="60" t="s">
        <v>66</v>
      </c>
      <c r="D47" s="20" t="s">
        <v>20</v>
      </c>
      <c r="E47" s="5">
        <v>15</v>
      </c>
      <c r="F47" s="18" t="s">
        <v>16</v>
      </c>
      <c r="G47" s="18">
        <v>43626</v>
      </c>
    </row>
    <row r="48" spans="2:7">
      <c r="B48" s="60">
        <f t="shared" si="2"/>
        <v>6</v>
      </c>
      <c r="C48" s="60" t="s">
        <v>129</v>
      </c>
      <c r="D48" s="20" t="s">
        <v>48</v>
      </c>
      <c r="E48" s="5">
        <v>15</v>
      </c>
      <c r="F48" s="18" t="s">
        <v>16</v>
      </c>
      <c r="G48" s="18">
        <v>43626</v>
      </c>
    </row>
    <row r="49" spans="2:8">
      <c r="B49" s="60">
        <f t="shared" si="2"/>
        <v>6</v>
      </c>
      <c r="C49" s="60" t="s">
        <v>66</v>
      </c>
      <c r="D49" s="20" t="s">
        <v>128</v>
      </c>
      <c r="E49" s="5">
        <v>15</v>
      </c>
      <c r="F49" s="18" t="s">
        <v>16</v>
      </c>
      <c r="G49" s="18">
        <v>43626</v>
      </c>
      <c r="H49" s="136"/>
    </row>
    <row r="50" spans="2:8">
      <c r="B50" s="60">
        <f t="shared" si="2"/>
        <v>6</v>
      </c>
      <c r="C50" s="60" t="s">
        <v>66</v>
      </c>
      <c r="D50" s="20" t="s">
        <v>69</v>
      </c>
      <c r="E50" s="5">
        <v>15</v>
      </c>
      <c r="F50" s="18" t="s">
        <v>16</v>
      </c>
      <c r="G50" s="18">
        <v>43626</v>
      </c>
      <c r="H50" s="136"/>
    </row>
    <row r="51" spans="2:8">
      <c r="B51" s="60">
        <f t="shared" si="2"/>
        <v>6</v>
      </c>
      <c r="C51" s="60" t="s">
        <v>66</v>
      </c>
      <c r="D51" s="20" t="s">
        <v>50</v>
      </c>
      <c r="E51" s="5">
        <v>15</v>
      </c>
      <c r="F51" s="18" t="s">
        <v>16</v>
      </c>
      <c r="G51" s="18">
        <v>43626</v>
      </c>
      <c r="H51" s="18"/>
    </row>
    <row r="52" spans="2:8">
      <c r="B52" s="60">
        <f t="shared" si="2"/>
        <v>6</v>
      </c>
      <c r="C52" s="60" t="s">
        <v>66</v>
      </c>
      <c r="D52" s="20" t="s">
        <v>45</v>
      </c>
      <c r="E52" s="5">
        <v>15</v>
      </c>
      <c r="F52" s="18" t="s">
        <v>16</v>
      </c>
      <c r="G52" s="18">
        <v>43626</v>
      </c>
      <c r="H52" s="136"/>
    </row>
    <row r="53" spans="2:8">
      <c r="B53" s="60">
        <f t="shared" si="2"/>
        <v>6</v>
      </c>
      <c r="C53" s="60" t="s">
        <v>66</v>
      </c>
      <c r="D53" s="20" t="s">
        <v>45</v>
      </c>
      <c r="E53" s="5">
        <v>15</v>
      </c>
      <c r="F53" s="18" t="s">
        <v>16</v>
      </c>
      <c r="G53" s="18">
        <v>43626</v>
      </c>
      <c r="H53" s="136"/>
    </row>
    <row r="54" spans="2:8">
      <c r="B54" s="60">
        <f t="shared" si="2"/>
        <v>6</v>
      </c>
      <c r="C54" s="60" t="s">
        <v>66</v>
      </c>
      <c r="D54" s="20" t="s">
        <v>130</v>
      </c>
      <c r="E54" s="5">
        <v>15</v>
      </c>
      <c r="F54" s="18" t="s">
        <v>16</v>
      </c>
      <c r="G54" s="18">
        <v>43626</v>
      </c>
      <c r="H54" s="136"/>
    </row>
    <row r="55" spans="2:8">
      <c r="B55" s="60">
        <f t="shared" si="2"/>
        <v>6</v>
      </c>
      <c r="C55" s="60" t="s">
        <v>129</v>
      </c>
      <c r="D55" s="20" t="s">
        <v>51</v>
      </c>
      <c r="E55" s="5">
        <v>15</v>
      </c>
      <c r="F55" s="18" t="s">
        <v>16</v>
      </c>
      <c r="G55" s="18">
        <v>43626</v>
      </c>
      <c r="H55" s="136"/>
    </row>
    <row r="56" spans="2:8">
      <c r="B56" s="60">
        <f t="shared" si="2"/>
        <v>6</v>
      </c>
      <c r="C56" s="60" t="s">
        <v>66</v>
      </c>
      <c r="D56" s="20" t="s">
        <v>63</v>
      </c>
      <c r="E56" s="5">
        <v>15</v>
      </c>
      <c r="F56" s="18" t="s">
        <v>16</v>
      </c>
      <c r="G56" s="18">
        <v>43626</v>
      </c>
      <c r="H56" s="136"/>
    </row>
    <row r="57" spans="2:8">
      <c r="B57" s="60">
        <f t="shared" si="2"/>
        <v>7</v>
      </c>
      <c r="C57" s="60" t="s">
        <v>70</v>
      </c>
      <c r="D57" s="20" t="s">
        <v>34</v>
      </c>
      <c r="E57" s="5">
        <v>15</v>
      </c>
      <c r="F57" s="18" t="s">
        <v>16</v>
      </c>
      <c r="G57" s="18">
        <v>43656</v>
      </c>
      <c r="H57" s="136"/>
    </row>
    <row r="58" spans="2:8">
      <c r="B58" s="60">
        <f t="shared" si="2"/>
        <v>7</v>
      </c>
      <c r="C58" s="60" t="s">
        <v>70</v>
      </c>
      <c r="D58" s="20" t="s">
        <v>31</v>
      </c>
      <c r="E58" s="5">
        <v>15</v>
      </c>
      <c r="F58" s="18" t="s">
        <v>16</v>
      </c>
      <c r="G58" s="18">
        <v>43656</v>
      </c>
      <c r="H58" s="136"/>
    </row>
    <row r="59" spans="2:8">
      <c r="B59" s="60">
        <f t="shared" si="2"/>
        <v>7</v>
      </c>
      <c r="C59" s="60" t="s">
        <v>70</v>
      </c>
      <c r="D59" s="20" t="s">
        <v>126</v>
      </c>
      <c r="E59" s="5">
        <v>15</v>
      </c>
      <c r="F59" s="18" t="s">
        <v>16</v>
      </c>
      <c r="G59" s="18">
        <v>43656</v>
      </c>
      <c r="H59" s="136"/>
    </row>
    <row r="60" spans="2:8">
      <c r="B60" s="60">
        <f t="shared" si="2"/>
        <v>7</v>
      </c>
      <c r="C60" s="60" t="s">
        <v>70</v>
      </c>
      <c r="D60" s="20" t="s">
        <v>127</v>
      </c>
      <c r="E60" s="5">
        <v>15</v>
      </c>
      <c r="F60" s="18" t="s">
        <v>16</v>
      </c>
      <c r="G60" s="18">
        <v>43656</v>
      </c>
      <c r="H60" s="136"/>
    </row>
    <row r="61" spans="2:8">
      <c r="B61" s="60">
        <f t="shared" si="2"/>
        <v>7</v>
      </c>
      <c r="C61" s="60" t="s">
        <v>70</v>
      </c>
      <c r="D61" s="20" t="s">
        <v>46</v>
      </c>
      <c r="E61" s="5">
        <v>15</v>
      </c>
      <c r="F61" s="18" t="s">
        <v>16</v>
      </c>
      <c r="G61" s="18">
        <v>43656</v>
      </c>
      <c r="H61" s="136"/>
    </row>
    <row r="62" spans="2:8">
      <c r="B62" s="60">
        <f t="shared" si="2"/>
        <v>7</v>
      </c>
      <c r="C62" s="60" t="s">
        <v>70</v>
      </c>
      <c r="D62" s="20" t="s">
        <v>57</v>
      </c>
      <c r="E62" s="5">
        <v>15</v>
      </c>
      <c r="F62" s="18" t="s">
        <v>16</v>
      </c>
      <c r="G62" s="18">
        <v>43656</v>
      </c>
      <c r="H62" s="136"/>
    </row>
    <row r="63" spans="2:8">
      <c r="B63" s="60">
        <f t="shared" si="2"/>
        <v>7</v>
      </c>
      <c r="C63" s="60" t="s">
        <v>70</v>
      </c>
      <c r="D63" s="20" t="s">
        <v>37</v>
      </c>
      <c r="E63" s="5">
        <v>15</v>
      </c>
      <c r="F63" s="18" t="s">
        <v>16</v>
      </c>
      <c r="G63" s="18">
        <v>43656</v>
      </c>
      <c r="H63" s="136"/>
    </row>
    <row r="64" spans="2:8">
      <c r="B64" s="60">
        <f t="shared" si="2"/>
        <v>7</v>
      </c>
      <c r="C64" s="60" t="s">
        <v>70</v>
      </c>
      <c r="D64" s="20" t="s">
        <v>38</v>
      </c>
      <c r="E64" s="5">
        <v>15</v>
      </c>
      <c r="F64" s="18" t="s">
        <v>16</v>
      </c>
      <c r="G64" s="18">
        <v>43656</v>
      </c>
      <c r="H64" s="136"/>
    </row>
    <row r="65" spans="2:11">
      <c r="B65" s="60">
        <f t="shared" si="2"/>
        <v>7</v>
      </c>
      <c r="C65" s="60" t="s">
        <v>70</v>
      </c>
      <c r="D65" s="20" t="s">
        <v>74</v>
      </c>
      <c r="E65" s="5">
        <v>15</v>
      </c>
      <c r="F65" s="18" t="s">
        <v>16</v>
      </c>
      <c r="G65" s="18">
        <v>43656</v>
      </c>
      <c r="H65" s="136"/>
      <c r="J65" s="136"/>
      <c r="K65" s="136"/>
    </row>
    <row r="66" spans="2:11">
      <c r="B66" s="60">
        <f t="shared" ref="B66:B97" si="3">IF(G66="","",MONTH(G66))</f>
        <v>7</v>
      </c>
      <c r="C66" s="60" t="s">
        <v>66</v>
      </c>
      <c r="D66" s="20" t="s">
        <v>47</v>
      </c>
      <c r="E66" s="5">
        <v>15</v>
      </c>
      <c r="F66" s="18" t="s">
        <v>16</v>
      </c>
      <c r="G66" s="18">
        <v>43656</v>
      </c>
      <c r="H66" s="136"/>
      <c r="J66" s="136"/>
      <c r="K66" s="136"/>
    </row>
    <row r="67" spans="2:11">
      <c r="B67" s="60">
        <f t="shared" si="3"/>
        <v>7</v>
      </c>
      <c r="C67" s="60" t="s">
        <v>70</v>
      </c>
      <c r="D67" s="20" t="s">
        <v>17</v>
      </c>
      <c r="E67" s="5">
        <v>15</v>
      </c>
      <c r="F67" s="18" t="s">
        <v>16</v>
      </c>
      <c r="G67" s="18">
        <v>43656</v>
      </c>
      <c r="H67" s="136"/>
      <c r="J67" s="136"/>
      <c r="K67" s="136"/>
    </row>
    <row r="68" spans="2:11">
      <c r="B68" s="60">
        <f t="shared" si="3"/>
        <v>7</v>
      </c>
      <c r="C68" s="60" t="s">
        <v>75</v>
      </c>
      <c r="D68" s="20" t="s">
        <v>17</v>
      </c>
      <c r="E68" s="5">
        <v>15</v>
      </c>
      <c r="F68" s="18" t="s">
        <v>16</v>
      </c>
      <c r="G68" s="18">
        <v>43656</v>
      </c>
      <c r="H68" s="136"/>
      <c r="J68" s="136"/>
      <c r="K68" s="136"/>
    </row>
    <row r="69" spans="2:11">
      <c r="B69" s="60">
        <f t="shared" si="3"/>
        <v>7</v>
      </c>
      <c r="C69" s="60" t="s">
        <v>70</v>
      </c>
      <c r="D69" s="20" t="s">
        <v>20</v>
      </c>
      <c r="E69" s="5">
        <v>15</v>
      </c>
      <c r="F69" s="18" t="s">
        <v>16</v>
      </c>
      <c r="G69" s="18">
        <v>43656</v>
      </c>
      <c r="H69" s="136"/>
      <c r="J69" s="136"/>
      <c r="K69" s="136"/>
    </row>
    <row r="70" spans="2:11">
      <c r="B70" s="60">
        <f t="shared" si="3"/>
        <v>7</v>
      </c>
      <c r="C70" s="60" t="s">
        <v>70</v>
      </c>
      <c r="D70" s="20" t="s">
        <v>63</v>
      </c>
      <c r="E70" s="5">
        <v>15</v>
      </c>
      <c r="F70" s="18" t="s">
        <v>16</v>
      </c>
      <c r="G70" s="18">
        <v>43656</v>
      </c>
      <c r="H70" s="136"/>
      <c r="J70" s="136"/>
      <c r="K70" s="136"/>
    </row>
    <row r="71" spans="2:11">
      <c r="B71" s="60">
        <f t="shared" si="3"/>
        <v>7</v>
      </c>
      <c r="C71" s="60" t="s">
        <v>75</v>
      </c>
      <c r="D71" s="20" t="s">
        <v>63</v>
      </c>
      <c r="E71" s="5">
        <v>15</v>
      </c>
      <c r="F71" s="18" t="s">
        <v>16</v>
      </c>
      <c r="G71" s="18">
        <v>43656</v>
      </c>
      <c r="H71" s="136"/>
      <c r="J71" s="136"/>
      <c r="K71" s="136" t="s">
        <v>131</v>
      </c>
    </row>
    <row r="72" spans="2:11">
      <c r="B72" s="60">
        <f t="shared" si="3"/>
        <v>8</v>
      </c>
      <c r="C72" s="60" t="s">
        <v>75</v>
      </c>
      <c r="D72" s="20" t="s">
        <v>31</v>
      </c>
      <c r="E72" s="5">
        <v>15</v>
      </c>
      <c r="F72" s="18" t="s">
        <v>16</v>
      </c>
      <c r="G72" s="18">
        <v>43687</v>
      </c>
      <c r="H72" s="136"/>
      <c r="J72" s="136"/>
      <c r="K72" s="136" t="s">
        <v>132</v>
      </c>
    </row>
    <row r="73" spans="2:11">
      <c r="B73" s="60">
        <f t="shared" si="3"/>
        <v>8</v>
      </c>
      <c r="C73" s="60" t="s">
        <v>75</v>
      </c>
      <c r="D73" s="20" t="s">
        <v>37</v>
      </c>
      <c r="E73" s="5">
        <v>15</v>
      </c>
      <c r="F73" s="18" t="s">
        <v>16</v>
      </c>
      <c r="G73" s="18">
        <v>43687</v>
      </c>
      <c r="H73" s="136"/>
      <c r="J73" s="136"/>
      <c r="K73" s="136" t="s">
        <v>133</v>
      </c>
    </row>
    <row r="74" spans="2:11">
      <c r="B74" s="60">
        <f t="shared" si="3"/>
        <v>8</v>
      </c>
      <c r="C74" s="60" t="s">
        <v>75</v>
      </c>
      <c r="D74" s="20" t="s">
        <v>38</v>
      </c>
      <c r="E74" s="5">
        <v>15</v>
      </c>
      <c r="F74" s="18" t="s">
        <v>16</v>
      </c>
      <c r="G74" s="18">
        <v>43687</v>
      </c>
      <c r="H74" s="136"/>
      <c r="J74" s="136"/>
      <c r="K74" s="136" t="s">
        <v>134</v>
      </c>
    </row>
    <row r="75" spans="2:11">
      <c r="B75" s="60">
        <f t="shared" si="3"/>
        <v>8</v>
      </c>
      <c r="C75" s="60" t="s">
        <v>75</v>
      </c>
      <c r="D75" s="20" t="s">
        <v>74</v>
      </c>
      <c r="E75" s="5">
        <v>15</v>
      </c>
      <c r="F75" s="18" t="s">
        <v>16</v>
      </c>
      <c r="G75" s="18">
        <v>43687</v>
      </c>
      <c r="H75" s="136"/>
      <c r="J75" s="136"/>
      <c r="K75" s="136"/>
    </row>
    <row r="76" spans="2:11">
      <c r="B76" s="60">
        <f t="shared" ref="B76:B77" si="4">IF(G76="","",MONTH(G76))</f>
        <v>8</v>
      </c>
      <c r="C76" s="60" t="s">
        <v>75</v>
      </c>
      <c r="D76" s="20" t="s">
        <v>39</v>
      </c>
      <c r="E76" s="5">
        <v>15</v>
      </c>
      <c r="F76" s="18" t="s">
        <v>16</v>
      </c>
      <c r="G76" s="18">
        <v>43687</v>
      </c>
      <c r="H76" s="136"/>
      <c r="J76" s="136"/>
      <c r="K76" s="136"/>
    </row>
    <row r="77" spans="2:11">
      <c r="B77" s="60">
        <f t="shared" si="4"/>
        <v>8</v>
      </c>
      <c r="C77" s="60" t="s">
        <v>75</v>
      </c>
      <c r="D77" s="20" t="s">
        <v>130</v>
      </c>
      <c r="E77" s="5">
        <v>15</v>
      </c>
      <c r="F77" s="18" t="s">
        <v>16</v>
      </c>
      <c r="G77" s="18">
        <v>43687</v>
      </c>
      <c r="H77" s="136"/>
      <c r="J77" s="136"/>
      <c r="K77" s="136"/>
    </row>
    <row r="78" spans="2:11">
      <c r="B78" s="60" t="str">
        <f t="shared" si="3"/>
        <v/>
      </c>
      <c r="C78" s="60"/>
      <c r="D78" s="20"/>
      <c r="E78" s="5"/>
      <c r="F78" s="18"/>
      <c r="G78" s="18"/>
      <c r="H78" s="136"/>
      <c r="J78" s="136"/>
      <c r="K78" s="136"/>
    </row>
    <row r="79" spans="2:11">
      <c r="B79" s="60" t="str">
        <f t="shared" si="3"/>
        <v/>
      </c>
      <c r="C79" s="60"/>
      <c r="D79" s="20"/>
      <c r="E79" s="5"/>
      <c r="F79" s="18"/>
      <c r="G79" s="18"/>
      <c r="H79" s="138"/>
      <c r="J79" s="136"/>
      <c r="K79" s="136"/>
    </row>
    <row r="80" spans="2:11">
      <c r="B80" s="60" t="str">
        <f t="shared" si="3"/>
        <v/>
      </c>
      <c r="C80" s="60"/>
      <c r="D80" s="20"/>
      <c r="E80" s="5"/>
      <c r="F80" s="18"/>
      <c r="G80" s="18"/>
      <c r="H80" s="138"/>
      <c r="J80" s="136"/>
      <c r="K80" s="136"/>
    </row>
    <row r="81" spans="2:8">
      <c r="B81" s="60" t="str">
        <f t="shared" si="3"/>
        <v/>
      </c>
      <c r="C81" s="60"/>
      <c r="D81" s="20"/>
      <c r="E81" s="5"/>
      <c r="F81" s="18"/>
      <c r="G81" s="18"/>
      <c r="H81" s="138"/>
    </row>
    <row r="82" spans="2:8">
      <c r="B82" s="60" t="str">
        <f t="shared" si="3"/>
        <v/>
      </c>
      <c r="C82" s="60"/>
      <c r="D82" s="20"/>
      <c r="E82" s="5"/>
      <c r="F82" s="18"/>
      <c r="G82" s="18"/>
      <c r="H82" s="138"/>
    </row>
    <row r="83" spans="2:8">
      <c r="B83" s="60" t="str">
        <f t="shared" si="3"/>
        <v/>
      </c>
      <c r="C83" s="60"/>
      <c r="D83" s="20"/>
      <c r="E83" s="5"/>
      <c r="F83" s="18"/>
      <c r="G83" s="18"/>
      <c r="H83" s="138"/>
    </row>
    <row r="84" spans="2:8">
      <c r="B84" s="60" t="str">
        <f t="shared" si="3"/>
        <v/>
      </c>
      <c r="C84" s="60"/>
      <c r="D84" s="20"/>
      <c r="E84" s="5"/>
      <c r="F84" s="18"/>
      <c r="G84" s="18"/>
      <c r="H84" s="138"/>
    </row>
    <row r="85" spans="2:8">
      <c r="B85" s="60" t="str">
        <f t="shared" si="3"/>
        <v/>
      </c>
      <c r="C85" s="60"/>
      <c r="D85" s="20"/>
      <c r="E85" s="5"/>
      <c r="F85" s="18"/>
      <c r="G85" s="18"/>
      <c r="H85" s="138"/>
    </row>
    <row r="86" spans="2:8">
      <c r="B86" s="60" t="str">
        <f t="shared" si="3"/>
        <v/>
      </c>
      <c r="C86" s="60"/>
      <c r="D86" s="20"/>
      <c r="E86" s="5"/>
      <c r="F86" s="18"/>
      <c r="G86" s="18"/>
      <c r="H86" s="138"/>
    </row>
    <row r="87" spans="2:8">
      <c r="B87" s="60" t="str">
        <f t="shared" si="3"/>
        <v/>
      </c>
      <c r="C87" s="60"/>
      <c r="D87" s="20"/>
      <c r="E87" s="5"/>
      <c r="F87" s="18"/>
      <c r="G87" s="18"/>
      <c r="H87" s="138"/>
    </row>
    <row r="88" spans="2:8">
      <c r="B88" s="60" t="str">
        <f t="shared" si="3"/>
        <v/>
      </c>
      <c r="C88" s="60"/>
      <c r="D88" s="20"/>
      <c r="E88" s="5"/>
      <c r="F88" s="18"/>
      <c r="G88" s="18"/>
      <c r="H88" s="138"/>
    </row>
    <row r="89" spans="2:8">
      <c r="B89" s="60" t="str">
        <f t="shared" si="3"/>
        <v/>
      </c>
      <c r="C89" s="60"/>
      <c r="D89" s="20"/>
      <c r="E89" s="5"/>
      <c r="F89" s="18"/>
      <c r="G89" s="18"/>
      <c r="H89" s="138"/>
    </row>
    <row r="90" spans="2:8">
      <c r="B90" s="60" t="str">
        <f t="shared" si="3"/>
        <v/>
      </c>
      <c r="C90" s="60"/>
      <c r="D90" s="20"/>
      <c r="E90" s="5"/>
      <c r="F90" s="18"/>
      <c r="G90" s="18"/>
      <c r="H90" s="136"/>
    </row>
    <row r="91" spans="2:8">
      <c r="B91" s="60" t="str">
        <f t="shared" si="3"/>
        <v/>
      </c>
      <c r="C91" s="60"/>
      <c r="D91" s="20"/>
      <c r="E91" s="5"/>
      <c r="F91" s="18"/>
      <c r="G91" s="18"/>
      <c r="H91" s="136"/>
    </row>
    <row r="92" spans="2:8">
      <c r="B92" s="60" t="str">
        <f t="shared" si="3"/>
        <v/>
      </c>
      <c r="C92" s="60"/>
      <c r="D92" s="20"/>
      <c r="E92" s="5"/>
      <c r="F92" s="18"/>
      <c r="G92" s="18"/>
      <c r="H92" s="136"/>
    </row>
    <row r="93" spans="2:8">
      <c r="B93" s="60" t="str">
        <f t="shared" si="3"/>
        <v/>
      </c>
      <c r="C93" s="60"/>
      <c r="D93" s="20"/>
      <c r="E93" s="5"/>
      <c r="F93" s="18"/>
      <c r="G93" s="18"/>
      <c r="H93" s="136"/>
    </row>
    <row r="94" spans="2:8">
      <c r="B94" s="60" t="str">
        <f t="shared" si="3"/>
        <v/>
      </c>
      <c r="C94" s="60"/>
      <c r="D94" s="20"/>
      <c r="E94" s="5"/>
      <c r="F94" s="18"/>
      <c r="G94" s="18"/>
      <c r="H94" s="136"/>
    </row>
    <row r="95" spans="2:8">
      <c r="B95" s="60" t="str">
        <f t="shared" si="3"/>
        <v/>
      </c>
      <c r="C95" s="60"/>
      <c r="D95" s="20"/>
      <c r="E95" s="5"/>
      <c r="F95" s="18"/>
      <c r="G95" s="18"/>
      <c r="H95" s="136"/>
    </row>
    <row r="96" spans="2:8">
      <c r="B96" s="60" t="str">
        <f t="shared" si="3"/>
        <v/>
      </c>
      <c r="C96" s="60"/>
      <c r="D96" s="20"/>
      <c r="E96" s="5"/>
      <c r="F96" s="64"/>
      <c r="G96" s="18"/>
      <c r="H96" s="65"/>
    </row>
    <row r="97" spans="2:7">
      <c r="B97" s="60" t="str">
        <f t="shared" si="3"/>
        <v/>
      </c>
      <c r="C97" s="60"/>
      <c r="D97" s="20"/>
      <c r="E97" s="5"/>
      <c r="F97" s="18"/>
      <c r="G97" s="18"/>
    </row>
    <row r="98" spans="2:7">
      <c r="B98" s="60" t="str">
        <f t="shared" ref="B98:B103" si="5">IF(G98="","",MONTH(G98))</f>
        <v/>
      </c>
      <c r="C98" s="60"/>
      <c r="D98" s="20"/>
      <c r="E98" s="5"/>
      <c r="F98" s="18"/>
      <c r="G98" s="18"/>
    </row>
    <row r="99" spans="2:7">
      <c r="B99" s="60" t="str">
        <f t="shared" si="5"/>
        <v/>
      </c>
      <c r="C99" s="60"/>
      <c r="D99" s="20"/>
      <c r="E99" s="5"/>
      <c r="F99" s="18"/>
      <c r="G99" s="18"/>
    </row>
    <row r="100" spans="2:7">
      <c r="B100" s="60" t="str">
        <f t="shared" si="5"/>
        <v/>
      </c>
      <c r="C100" s="60"/>
      <c r="D100" s="20"/>
      <c r="E100" s="5"/>
      <c r="F100" s="18"/>
      <c r="G100" s="18"/>
    </row>
    <row r="101" spans="2:7">
      <c r="B101" s="60" t="str">
        <f t="shared" si="5"/>
        <v/>
      </c>
      <c r="C101" s="60"/>
      <c r="D101" s="20"/>
      <c r="E101" s="5"/>
      <c r="F101" s="18"/>
      <c r="G101" s="18"/>
    </row>
    <row r="102" spans="2:7">
      <c r="B102" s="60" t="str">
        <f t="shared" si="5"/>
        <v/>
      </c>
      <c r="C102" s="60"/>
      <c r="D102" s="20"/>
      <c r="E102" s="5"/>
      <c r="F102" s="18"/>
      <c r="G102" s="18"/>
    </row>
    <row r="103" spans="2:7">
      <c r="B103" s="60" t="str">
        <f t="shared" si="5"/>
        <v/>
      </c>
      <c r="C103" s="60"/>
      <c r="D103" s="20"/>
      <c r="E103" s="5"/>
      <c r="F103" s="18"/>
      <c r="G103" s="18"/>
    </row>
    <row r="104" spans="2:7">
      <c r="B104" s="60"/>
      <c r="C104" s="60"/>
      <c r="D104" s="20"/>
      <c r="E104" s="5"/>
      <c r="F104" s="18"/>
      <c r="G104" s="18"/>
    </row>
    <row r="105" spans="2:7">
      <c r="B105" s="60"/>
      <c r="C105" s="60"/>
      <c r="D105" s="20"/>
      <c r="E105" s="5"/>
      <c r="F105" s="18"/>
      <c r="G105" s="18"/>
    </row>
    <row r="106" spans="2:7">
      <c r="B106" s="60"/>
      <c r="C106" s="60"/>
      <c r="D106" s="20"/>
      <c r="E106" s="5"/>
      <c r="F106" s="18"/>
      <c r="G106" s="18"/>
    </row>
    <row r="107" spans="2:7">
      <c r="B107" s="60"/>
      <c r="C107" s="60"/>
      <c r="D107" s="20"/>
      <c r="E107" s="5"/>
      <c r="F107" s="18"/>
      <c r="G107" s="18"/>
    </row>
    <row r="108" spans="2:7">
      <c r="B108" s="60"/>
      <c r="C108" s="60"/>
      <c r="D108" s="20"/>
      <c r="E108" s="5"/>
      <c r="F108" s="18"/>
      <c r="G108" s="18"/>
    </row>
    <row r="109" spans="2:7">
      <c r="B109" s="60"/>
      <c r="C109" s="60"/>
      <c r="D109" s="20"/>
      <c r="E109" s="5"/>
      <c r="F109" s="18"/>
      <c r="G109" s="18"/>
    </row>
    <row r="110" spans="2:7">
      <c r="B110" s="60"/>
      <c r="C110" s="60"/>
      <c r="D110" s="20"/>
      <c r="E110" s="5"/>
      <c r="F110" s="18"/>
      <c r="G110" s="18"/>
    </row>
    <row r="111" spans="2:7">
      <c r="B111" s="60"/>
      <c r="C111" s="60"/>
      <c r="D111" s="20"/>
      <c r="E111" s="5"/>
      <c r="F111" s="18"/>
      <c r="G111" s="18"/>
    </row>
    <row r="112" spans="2:7">
      <c r="B112" s="60"/>
      <c r="C112" s="60"/>
      <c r="D112" s="20"/>
      <c r="E112" s="5"/>
      <c r="F112" s="18"/>
      <c r="G112" s="18"/>
    </row>
    <row r="113" spans="2:8">
      <c r="B113" s="60"/>
      <c r="C113" s="60"/>
      <c r="D113" s="20"/>
      <c r="E113" s="5"/>
      <c r="F113" s="18"/>
      <c r="G113" s="18"/>
      <c r="H113" s="136"/>
    </row>
    <row r="114" spans="2:8">
      <c r="B114" s="60"/>
      <c r="C114" s="60"/>
      <c r="D114" s="20"/>
      <c r="E114" s="5"/>
      <c r="F114" s="18"/>
      <c r="G114" s="18"/>
      <c r="H114" s="136"/>
    </row>
    <row r="115" spans="2:8">
      <c r="B115" s="60"/>
      <c r="C115" s="60"/>
      <c r="D115" s="20"/>
      <c r="E115" s="5"/>
      <c r="F115" s="18"/>
      <c r="G115" s="18"/>
      <c r="H115" s="136"/>
    </row>
    <row r="116" spans="2:8">
      <c r="B116" s="60"/>
      <c r="C116" s="60"/>
      <c r="D116" s="20"/>
      <c r="E116" s="5"/>
      <c r="F116" s="18"/>
      <c r="G116" s="18"/>
      <c r="H116" s="136"/>
    </row>
    <row r="117" spans="2:8">
      <c r="B117" s="60"/>
      <c r="C117" s="60"/>
      <c r="D117" s="20"/>
      <c r="E117" s="5"/>
      <c r="F117" s="18"/>
      <c r="G117" s="18"/>
      <c r="H117" s="136"/>
    </row>
    <row r="118" spans="2:8">
      <c r="B118" s="60"/>
      <c r="C118" s="60"/>
      <c r="D118" s="20"/>
      <c r="E118" s="5"/>
      <c r="F118" s="18"/>
      <c r="G118" s="18"/>
      <c r="H118" s="136"/>
    </row>
    <row r="119" spans="2:8">
      <c r="B119" s="60"/>
      <c r="C119" s="60"/>
      <c r="D119" s="20"/>
      <c r="E119" s="5"/>
      <c r="F119" s="18"/>
      <c r="G119" s="18"/>
      <c r="H119" s="136"/>
    </row>
    <row r="120" spans="2:8">
      <c r="B120" s="60"/>
      <c r="C120" s="60"/>
      <c r="D120" s="20"/>
      <c r="E120" s="5"/>
      <c r="F120" s="18"/>
      <c r="G120" s="18"/>
      <c r="H120" s="136"/>
    </row>
    <row r="121" spans="2:8">
      <c r="B121" s="60"/>
      <c r="C121" s="60"/>
      <c r="D121" s="20"/>
      <c r="E121" s="5"/>
      <c r="F121" s="18"/>
      <c r="G121" s="18"/>
      <c r="H121" s="136"/>
    </row>
    <row r="122" spans="2:8">
      <c r="B122" s="60"/>
      <c r="C122" s="60"/>
      <c r="D122" s="20"/>
      <c r="E122" s="5"/>
      <c r="F122" s="18"/>
      <c r="G122" s="18"/>
      <c r="H122" s="136"/>
    </row>
    <row r="123" spans="2:8">
      <c r="B123" s="60"/>
      <c r="C123" s="60"/>
      <c r="D123" s="20"/>
      <c r="E123" s="5"/>
      <c r="F123" s="18"/>
      <c r="G123" s="18"/>
      <c r="H123" s="65"/>
    </row>
    <row r="124" spans="2:8">
      <c r="B124" s="60"/>
      <c r="C124" s="60"/>
      <c r="D124" s="20"/>
      <c r="E124" s="5"/>
      <c r="F124" s="18"/>
      <c r="G124" s="18"/>
      <c r="H124" s="136"/>
    </row>
    <row r="125" spans="2:8">
      <c r="B125" s="60"/>
      <c r="C125" s="60"/>
      <c r="D125" s="20"/>
      <c r="E125" s="5"/>
      <c r="F125" s="64"/>
      <c r="G125" s="64"/>
      <c r="H125" s="136"/>
    </row>
    <row r="126" spans="2:8">
      <c r="B126" s="60"/>
      <c r="C126" s="60"/>
      <c r="D126" s="4"/>
      <c r="E126" s="5"/>
      <c r="F126" s="18"/>
      <c r="G126" s="18"/>
      <c r="H126" s="136"/>
    </row>
    <row r="127" spans="2:8">
      <c r="B127" s="60"/>
      <c r="C127" s="60"/>
      <c r="D127" s="20"/>
      <c r="E127" s="5"/>
      <c r="F127" s="18"/>
      <c r="G127" s="18"/>
      <c r="H127" s="136"/>
    </row>
    <row r="128" spans="2:8">
      <c r="B128" s="60"/>
      <c r="C128" s="60"/>
      <c r="D128" s="20"/>
      <c r="E128" s="5"/>
      <c r="F128" s="18"/>
      <c r="G128" s="18"/>
      <c r="H128" s="136"/>
    </row>
    <row r="129" spans="2:9">
      <c r="B129" s="60"/>
      <c r="C129" s="60"/>
      <c r="D129" s="20"/>
      <c r="E129" s="5"/>
      <c r="F129" s="18"/>
      <c r="G129" s="18"/>
      <c r="H129" s="136"/>
    </row>
    <row r="130" spans="2:9">
      <c r="B130" s="60"/>
      <c r="C130" s="60"/>
      <c r="D130" s="20"/>
      <c r="E130" s="5"/>
      <c r="F130" s="18"/>
      <c r="G130" s="18"/>
      <c r="H130" s="136"/>
    </row>
    <row r="131" spans="2:9">
      <c r="B131" s="60"/>
      <c r="C131" s="60"/>
      <c r="D131" s="20"/>
      <c r="E131" s="5"/>
      <c r="F131" s="18"/>
      <c r="G131" s="18"/>
      <c r="H131" s="136"/>
    </row>
    <row r="132" spans="2:9">
      <c r="B132" s="60"/>
      <c r="C132" s="60"/>
      <c r="D132" s="20"/>
      <c r="E132" s="5"/>
      <c r="F132" s="18"/>
      <c r="G132" s="18"/>
      <c r="H132" s="136"/>
    </row>
    <row r="133" spans="2:9">
      <c r="B133" s="60"/>
      <c r="C133" s="60"/>
      <c r="D133" s="20"/>
      <c r="E133" s="5"/>
      <c r="F133" s="18"/>
      <c r="G133" s="18"/>
      <c r="H133" s="136"/>
    </row>
    <row r="134" spans="2:9">
      <c r="B134" s="60"/>
      <c r="C134" s="60"/>
      <c r="D134" s="20"/>
      <c r="E134" s="5"/>
      <c r="F134" s="18"/>
      <c r="G134" s="18"/>
      <c r="H134" s="136"/>
    </row>
    <row r="135" spans="2:9">
      <c r="B135" s="60"/>
      <c r="C135" s="60"/>
      <c r="D135" s="20"/>
      <c r="E135" s="5"/>
      <c r="F135" s="18"/>
      <c r="G135" s="18"/>
      <c r="H135" s="136"/>
      <c r="I135" s="68"/>
    </row>
    <row r="136" spans="2:9">
      <c r="B136" s="60"/>
      <c r="C136" s="60"/>
      <c r="D136" s="20"/>
      <c r="E136" s="5"/>
      <c r="F136" s="18"/>
      <c r="G136" s="18"/>
      <c r="H136" s="136"/>
    </row>
    <row r="137" spans="2:9">
      <c r="B137" s="60"/>
      <c r="C137" s="60"/>
      <c r="D137" s="20"/>
      <c r="E137" s="5"/>
      <c r="F137" s="18"/>
      <c r="G137" s="18"/>
      <c r="H137" s="136"/>
      <c r="I137" s="68"/>
    </row>
    <row r="138" spans="2:9">
      <c r="B138" s="60"/>
      <c r="C138" s="60"/>
      <c r="D138" s="4"/>
      <c r="E138" s="5"/>
      <c r="F138" s="18"/>
      <c r="G138" s="18"/>
      <c r="H138" s="136"/>
    </row>
    <row r="139" spans="2:9">
      <c r="B139" s="60"/>
      <c r="C139" s="60"/>
      <c r="D139" s="20"/>
      <c r="E139" s="5"/>
      <c r="F139" s="18"/>
      <c r="G139" s="18"/>
      <c r="H139" s="136"/>
    </row>
    <row r="140" spans="2:9">
      <c r="B140" s="60"/>
      <c r="C140" s="60"/>
      <c r="D140" s="20"/>
      <c r="E140" s="5"/>
      <c r="F140" s="18"/>
      <c r="G140" s="18"/>
      <c r="H140" s="136"/>
    </row>
    <row r="141" spans="2:9">
      <c r="B141" s="60"/>
      <c r="C141" s="60"/>
      <c r="D141" s="20"/>
      <c r="E141" s="5"/>
      <c r="F141" s="18"/>
      <c r="G141" s="18"/>
      <c r="H141" s="136"/>
    </row>
    <row r="142" spans="2:9">
      <c r="B142" s="60"/>
      <c r="C142" s="60"/>
      <c r="D142" s="20"/>
      <c r="E142" s="5"/>
      <c r="F142" s="18"/>
      <c r="G142" s="18"/>
      <c r="H142" s="136"/>
    </row>
    <row r="143" spans="2:9">
      <c r="B143" s="60"/>
      <c r="C143" s="60"/>
      <c r="D143" s="20"/>
      <c r="E143" s="5"/>
      <c r="F143" s="18"/>
      <c r="G143" s="18"/>
      <c r="H143" s="136"/>
    </row>
    <row r="144" spans="2:9">
      <c r="B144" s="60"/>
      <c r="C144" s="60"/>
      <c r="D144" s="20"/>
      <c r="E144" s="5"/>
      <c r="F144" s="18"/>
      <c r="G144" s="18"/>
      <c r="H144" s="136"/>
    </row>
    <row r="145" spans="2:9">
      <c r="B145" s="60"/>
      <c r="C145" s="60"/>
      <c r="D145" s="20"/>
      <c r="E145" s="5"/>
      <c r="F145" s="18"/>
      <c r="G145" s="18"/>
      <c r="H145" s="136"/>
    </row>
    <row r="146" spans="2:9">
      <c r="B146" s="60"/>
      <c r="C146" s="60"/>
      <c r="D146" s="20"/>
      <c r="E146" s="5"/>
      <c r="F146" s="18"/>
      <c r="G146" s="18"/>
      <c r="H146" s="136"/>
    </row>
    <row r="147" spans="2:9">
      <c r="B147" s="60"/>
      <c r="C147" s="60"/>
      <c r="D147" s="20"/>
      <c r="E147" s="5"/>
      <c r="F147" s="18"/>
      <c r="G147" s="18"/>
      <c r="H147" s="136"/>
    </row>
    <row r="148" spans="2:9">
      <c r="B148" s="60"/>
      <c r="C148" s="60"/>
      <c r="D148" s="20"/>
      <c r="E148" s="5"/>
      <c r="F148" s="18"/>
      <c r="G148" s="18"/>
      <c r="H148" s="136"/>
    </row>
    <row r="149" spans="2:9">
      <c r="B149" s="60"/>
      <c r="C149" s="60"/>
      <c r="D149" s="20"/>
      <c r="E149" s="5"/>
      <c r="F149" s="18"/>
      <c r="G149" s="18"/>
      <c r="H149" s="136"/>
    </row>
    <row r="150" spans="2:9">
      <c r="B150" s="60"/>
      <c r="C150" s="60"/>
      <c r="D150" s="20"/>
      <c r="E150" s="5"/>
      <c r="F150" s="18"/>
      <c r="G150" s="18"/>
      <c r="H150" s="136"/>
    </row>
    <row r="151" spans="2:9">
      <c r="B151" s="60"/>
      <c r="C151" s="60"/>
      <c r="D151" s="20"/>
      <c r="E151" s="5"/>
      <c r="F151" s="18"/>
      <c r="G151" s="18"/>
      <c r="H151" s="136"/>
    </row>
    <row r="152" spans="2:9">
      <c r="B152" s="60"/>
      <c r="C152" s="60"/>
      <c r="D152" s="20"/>
      <c r="E152" s="5"/>
      <c r="F152" s="18"/>
      <c r="G152" s="18"/>
      <c r="H152" s="136"/>
    </row>
    <row r="153" spans="2:9">
      <c r="B153" s="60"/>
      <c r="C153" s="60"/>
      <c r="D153" s="20"/>
      <c r="E153" s="5"/>
      <c r="F153" s="18"/>
      <c r="G153" s="18"/>
      <c r="H153" s="136"/>
    </row>
    <row r="154" spans="2:9">
      <c r="B154" s="60"/>
      <c r="C154" s="60"/>
      <c r="D154" s="20"/>
      <c r="E154" s="5"/>
      <c r="F154" s="18"/>
      <c r="G154" s="18"/>
      <c r="H154" s="136"/>
    </row>
    <row r="155" spans="2:9">
      <c r="B155" s="60"/>
      <c r="C155" s="60"/>
      <c r="D155" s="20"/>
      <c r="E155" s="5"/>
      <c r="F155" s="18"/>
      <c r="G155" s="64"/>
      <c r="H155" s="136"/>
      <c r="I155" s="68"/>
    </row>
    <row r="156" spans="2:9">
      <c r="B156" s="60"/>
      <c r="C156" s="60"/>
      <c r="D156" s="20"/>
      <c r="E156" s="5"/>
      <c r="F156" s="18"/>
      <c r="G156" s="64"/>
      <c r="H156" s="136"/>
    </row>
    <row r="157" spans="2:9">
      <c r="B157" s="60"/>
      <c r="C157" s="60"/>
      <c r="D157" s="20"/>
      <c r="E157" s="5"/>
      <c r="F157" s="18"/>
      <c r="G157" s="64"/>
      <c r="H157" s="136"/>
    </row>
    <row r="158" spans="2:9">
      <c r="B158" s="60"/>
      <c r="C158" s="60"/>
      <c r="D158" s="20"/>
      <c r="E158" s="5"/>
      <c r="F158" s="18"/>
      <c r="G158" s="64"/>
      <c r="H158" s="136"/>
    </row>
    <row r="159" spans="2:9">
      <c r="B159" s="60"/>
      <c r="C159" s="60"/>
      <c r="D159" s="20"/>
      <c r="E159" s="5"/>
      <c r="F159" s="18"/>
      <c r="G159" s="64"/>
      <c r="H159" s="136"/>
    </row>
    <row r="160" spans="2:9">
      <c r="B160" s="60"/>
      <c r="C160" s="60"/>
      <c r="D160" s="20"/>
      <c r="E160" s="5"/>
      <c r="F160" s="18"/>
      <c r="G160" s="64"/>
      <c r="H160" s="136"/>
    </row>
    <row r="161" spans="2:7">
      <c r="B161" s="60"/>
      <c r="C161" s="60"/>
      <c r="D161" s="20"/>
      <c r="E161" s="5"/>
      <c r="F161" s="18"/>
      <c r="G161" s="18"/>
    </row>
    <row r="162" spans="2:7">
      <c r="B162" s="60"/>
      <c r="C162" s="60"/>
      <c r="D162" s="20"/>
      <c r="E162" s="5"/>
      <c r="F162" s="18"/>
      <c r="G162" s="18"/>
    </row>
    <row r="163" spans="2:7">
      <c r="B163" s="60"/>
      <c r="C163" s="60"/>
      <c r="D163" s="4"/>
      <c r="E163" s="5"/>
      <c r="F163" s="18"/>
      <c r="G163" s="18"/>
    </row>
    <row r="164" spans="2:7">
      <c r="B164" s="60"/>
      <c r="C164" s="60"/>
      <c r="D164" s="20"/>
      <c r="E164" s="5"/>
      <c r="F164" s="18"/>
      <c r="G164" s="18"/>
    </row>
    <row r="165" spans="2:7">
      <c r="B165" s="60"/>
      <c r="C165" s="60"/>
      <c r="D165" s="20"/>
      <c r="E165" s="5"/>
      <c r="F165" s="18"/>
      <c r="G165" s="18"/>
    </row>
    <row r="166" spans="2:7">
      <c r="B166" s="60"/>
      <c r="C166" s="60"/>
      <c r="D166" s="20"/>
      <c r="E166" s="5"/>
      <c r="F166" s="18"/>
      <c r="G166" s="18"/>
    </row>
    <row r="167" spans="2:7">
      <c r="B167" s="60"/>
      <c r="C167" s="60"/>
      <c r="D167" s="20"/>
      <c r="E167" s="5"/>
      <c r="F167" s="18"/>
      <c r="G167" s="18"/>
    </row>
    <row r="168" spans="2:7">
      <c r="B168" s="60"/>
      <c r="C168" s="60"/>
      <c r="D168" s="20"/>
      <c r="E168" s="5"/>
      <c r="F168" s="18"/>
      <c r="G168" s="18"/>
    </row>
    <row r="169" spans="2:7">
      <c r="B169" s="60"/>
      <c r="C169" s="60"/>
      <c r="D169" s="20"/>
      <c r="E169" s="5"/>
      <c r="F169" s="18"/>
      <c r="G169" s="18"/>
    </row>
    <row r="170" spans="2:7">
      <c r="B170" s="60"/>
      <c r="C170" s="60"/>
      <c r="D170" s="20"/>
      <c r="E170" s="5"/>
      <c r="F170" s="18"/>
      <c r="G170" s="18"/>
    </row>
    <row r="171" spans="2:7">
      <c r="B171" s="60"/>
      <c r="C171" s="60"/>
      <c r="D171" s="20"/>
      <c r="E171" s="5"/>
      <c r="F171" s="18"/>
      <c r="G171" s="18"/>
    </row>
    <row r="172" spans="2:7">
      <c r="B172" s="60"/>
      <c r="C172" s="60"/>
      <c r="D172" s="20"/>
      <c r="E172" s="5"/>
      <c r="F172" s="18"/>
      <c r="G172" s="18"/>
    </row>
    <row r="173" spans="2:7">
      <c r="B173" s="60"/>
      <c r="C173" s="60"/>
      <c r="D173" s="20"/>
      <c r="E173" s="5"/>
      <c r="F173" s="18"/>
      <c r="G173" s="18"/>
    </row>
    <row r="174" spans="2:7">
      <c r="B174" s="60"/>
      <c r="C174" s="60"/>
      <c r="D174" s="20"/>
      <c r="E174" s="5"/>
      <c r="F174" s="18"/>
      <c r="G174" s="18"/>
    </row>
    <row r="175" spans="2:7">
      <c r="B175" s="60"/>
      <c r="C175" s="60"/>
      <c r="D175" s="4"/>
      <c r="E175" s="5"/>
      <c r="F175" s="18"/>
      <c r="G175" s="18"/>
    </row>
    <row r="176" spans="2:7">
      <c r="B176" s="60"/>
      <c r="C176" s="60"/>
      <c r="D176" s="20"/>
      <c r="E176" s="5"/>
      <c r="F176" s="18"/>
      <c r="G176" s="18"/>
    </row>
    <row r="177" spans="2:7">
      <c r="B177" s="60"/>
      <c r="C177" s="60"/>
      <c r="D177" s="20"/>
      <c r="E177" s="5"/>
      <c r="F177" s="18"/>
      <c r="G177" s="18"/>
    </row>
    <row r="178" spans="2:7">
      <c r="B178" s="60"/>
      <c r="C178" s="60"/>
      <c r="D178" s="20"/>
      <c r="E178" s="5"/>
      <c r="F178" s="18"/>
      <c r="G178" s="18"/>
    </row>
    <row r="179" spans="2:7">
      <c r="B179" s="60"/>
      <c r="C179" s="60"/>
      <c r="D179" s="20"/>
      <c r="E179" s="5"/>
      <c r="F179" s="18"/>
      <c r="G179" s="18"/>
    </row>
    <row r="180" spans="2:7">
      <c r="B180" s="60"/>
      <c r="C180" s="60"/>
      <c r="D180" s="20"/>
      <c r="E180" s="5"/>
      <c r="F180" s="18"/>
      <c r="G180" s="18"/>
    </row>
    <row r="181" spans="2:7">
      <c r="B181" s="60"/>
      <c r="C181" s="60"/>
      <c r="D181" s="20"/>
      <c r="E181" s="5"/>
      <c r="F181" s="18"/>
      <c r="G181" s="18"/>
    </row>
    <row r="182" spans="2:7">
      <c r="B182" s="60"/>
      <c r="C182" s="60"/>
      <c r="D182" s="20"/>
      <c r="E182" s="5"/>
      <c r="F182" s="18"/>
      <c r="G182" s="18"/>
    </row>
    <row r="183" spans="2:7">
      <c r="B183" s="60"/>
      <c r="C183" s="60"/>
      <c r="D183" s="20"/>
      <c r="E183" s="5"/>
      <c r="F183" s="18"/>
      <c r="G183" s="18"/>
    </row>
    <row r="184" spans="2:7">
      <c r="B184" s="60"/>
      <c r="C184" s="60"/>
      <c r="D184" s="20"/>
      <c r="E184" s="5"/>
      <c r="F184" s="18"/>
      <c r="G184" s="18"/>
    </row>
    <row r="185" spans="2:7">
      <c r="B185" s="60"/>
      <c r="C185" s="60"/>
      <c r="D185" s="20"/>
      <c r="E185" s="5"/>
      <c r="F185" s="18"/>
      <c r="G185" s="18"/>
    </row>
    <row r="186" spans="2:7">
      <c r="B186" s="60"/>
      <c r="C186" s="60"/>
      <c r="D186" s="20"/>
      <c r="E186" s="29"/>
      <c r="F186" s="18"/>
      <c r="G186" s="18"/>
    </row>
    <row r="187" spans="2:7">
      <c r="B187" s="60"/>
      <c r="C187" s="60"/>
      <c r="D187" s="20"/>
      <c r="E187" s="29"/>
      <c r="F187" s="18"/>
      <c r="G187" s="18"/>
    </row>
    <row r="188" spans="2:7">
      <c r="B188" s="60"/>
      <c r="C188" s="60"/>
      <c r="D188" s="20"/>
      <c r="E188" s="72"/>
      <c r="F188" s="18"/>
      <c r="G188" s="18"/>
    </row>
    <row r="189" spans="2:7">
      <c r="B189" s="60"/>
      <c r="C189" s="60"/>
      <c r="D189" s="20"/>
      <c r="E189" s="5"/>
      <c r="F189" s="18"/>
      <c r="G189" s="18"/>
    </row>
    <row r="190" spans="2:7">
      <c r="B190" s="60"/>
      <c r="C190" s="60"/>
      <c r="D190" s="20"/>
      <c r="E190" s="5"/>
      <c r="F190" s="18"/>
      <c r="G190" s="18"/>
    </row>
    <row r="191" spans="2:7">
      <c r="B191" s="60"/>
      <c r="C191" s="60"/>
      <c r="D191" s="20"/>
      <c r="E191" s="5"/>
      <c r="F191" s="18"/>
      <c r="G191" s="18"/>
    </row>
    <row r="192" spans="2:7">
      <c r="B192" s="60"/>
      <c r="C192" s="60"/>
      <c r="D192" s="20"/>
      <c r="E192" s="5"/>
      <c r="F192" s="18"/>
      <c r="G192" s="18"/>
    </row>
    <row r="193" spans="2:7">
      <c r="B193" s="60"/>
      <c r="C193" s="60"/>
      <c r="D193" s="20"/>
      <c r="E193" s="72"/>
      <c r="F193" s="18"/>
      <c r="G193" s="18"/>
    </row>
    <row r="194" spans="2:7">
      <c r="B194" s="60"/>
      <c r="C194" s="60"/>
      <c r="D194" s="20"/>
      <c r="E194" s="5"/>
      <c r="F194" s="18"/>
      <c r="G194" s="18"/>
    </row>
    <row r="195" spans="2:7">
      <c r="B195" s="60"/>
      <c r="C195" s="60"/>
      <c r="D195" s="20"/>
      <c r="E195" s="5"/>
      <c r="F195" s="18"/>
      <c r="G195" s="18"/>
    </row>
    <row r="196" spans="2:7">
      <c r="B196" s="60"/>
      <c r="C196" s="60"/>
      <c r="D196" s="20"/>
      <c r="E196" s="5"/>
      <c r="F196" s="18"/>
      <c r="G196" s="18"/>
    </row>
    <row r="197" spans="2:7">
      <c r="B197" s="60"/>
      <c r="C197" s="60"/>
      <c r="D197" s="20"/>
      <c r="E197" s="5"/>
      <c r="F197" s="18"/>
      <c r="G197" s="18"/>
    </row>
    <row r="198" spans="2:7">
      <c r="B198" s="60"/>
      <c r="C198" s="60"/>
      <c r="D198" s="20"/>
      <c r="E198" s="5"/>
      <c r="F198" s="18"/>
      <c r="G198" s="18"/>
    </row>
    <row r="199" spans="2:7">
      <c r="B199" s="60"/>
      <c r="C199" s="60"/>
      <c r="D199" s="20"/>
      <c r="E199" s="5"/>
      <c r="F199" s="18"/>
      <c r="G199" s="18"/>
    </row>
    <row r="200" spans="2:7">
      <c r="B200" s="60"/>
      <c r="C200" s="60"/>
      <c r="D200" s="20"/>
      <c r="E200" s="5"/>
      <c r="F200" s="18"/>
      <c r="G200" s="18"/>
    </row>
    <row r="201" spans="2:7">
      <c r="B201" s="60"/>
      <c r="C201" s="60"/>
      <c r="D201" s="20"/>
      <c r="E201" s="5"/>
      <c r="F201" s="18"/>
      <c r="G201" s="18"/>
    </row>
    <row r="202" spans="2:7">
      <c r="B202" s="60"/>
      <c r="C202" s="60"/>
      <c r="D202" s="20"/>
      <c r="E202" s="5"/>
      <c r="F202" s="18"/>
      <c r="G202" s="18"/>
    </row>
    <row r="203" spans="2:7">
      <c r="B203" s="60"/>
      <c r="C203" s="60"/>
      <c r="D203" s="20"/>
      <c r="E203" s="5"/>
      <c r="F203" s="18"/>
      <c r="G203" s="18"/>
    </row>
    <row r="204" spans="2:7">
      <c r="B204" s="60"/>
      <c r="C204" s="60"/>
      <c r="D204" s="20"/>
      <c r="E204" s="5"/>
      <c r="F204" s="18"/>
      <c r="G204" s="18"/>
    </row>
    <row r="205" spans="2:7">
      <c r="B205" s="60"/>
      <c r="C205" s="60"/>
      <c r="D205" s="20"/>
      <c r="E205" s="5"/>
      <c r="F205" s="18"/>
      <c r="G205" s="18"/>
    </row>
    <row r="206" spans="2:7">
      <c r="B206" s="60"/>
      <c r="C206" s="60"/>
      <c r="D206" s="20"/>
      <c r="E206" s="5"/>
      <c r="F206" s="18"/>
      <c r="G206" s="18"/>
    </row>
    <row r="207" spans="2:7">
      <c r="B207" s="60"/>
      <c r="C207" s="60"/>
      <c r="D207" s="20"/>
      <c r="E207" s="5"/>
      <c r="F207" s="18"/>
      <c r="G207" s="18"/>
    </row>
    <row r="208" spans="2:7">
      <c r="B208" s="60"/>
      <c r="C208" s="60"/>
      <c r="D208" s="20"/>
      <c r="E208" s="5"/>
      <c r="F208" s="18"/>
      <c r="G208" s="18"/>
    </row>
    <row r="209" spans="2:7">
      <c r="B209" s="60"/>
      <c r="C209" s="60"/>
      <c r="D209" s="20"/>
      <c r="E209" s="5"/>
      <c r="F209" s="18"/>
      <c r="G209" s="18"/>
    </row>
    <row r="210" spans="2:7">
      <c r="B210" s="60"/>
      <c r="C210" s="60"/>
      <c r="D210" s="20"/>
      <c r="E210" s="5"/>
      <c r="F210" s="18"/>
      <c r="G210" s="18"/>
    </row>
    <row r="211" spans="2:7">
      <c r="B211" s="60"/>
      <c r="C211" s="60"/>
      <c r="D211" s="20"/>
      <c r="E211" s="5"/>
      <c r="F211" s="18"/>
      <c r="G211" s="18"/>
    </row>
    <row r="212" spans="2:7">
      <c r="B212" s="60"/>
      <c r="C212" s="60"/>
      <c r="D212" s="20"/>
      <c r="E212" s="5"/>
      <c r="F212" s="18"/>
      <c r="G212" s="18"/>
    </row>
    <row r="213" spans="2:7">
      <c r="B213" s="60"/>
      <c r="C213" s="60"/>
      <c r="D213" s="20"/>
      <c r="E213" s="5"/>
      <c r="F213" s="18"/>
      <c r="G213" s="18"/>
    </row>
    <row r="214" spans="2:7">
      <c r="B214" s="60"/>
      <c r="C214" s="60"/>
      <c r="D214" s="20"/>
      <c r="E214" s="5"/>
      <c r="F214" s="18"/>
      <c r="G214" s="18"/>
    </row>
    <row r="215" spans="2:7">
      <c r="B215" s="60"/>
      <c r="C215" s="60"/>
      <c r="D215" s="20"/>
      <c r="E215" s="5"/>
      <c r="F215" s="18"/>
      <c r="G215" s="18"/>
    </row>
    <row r="216" spans="2:7">
      <c r="B216" s="60"/>
      <c r="C216" s="60"/>
      <c r="D216" s="20"/>
      <c r="E216" s="5"/>
      <c r="F216" s="18"/>
      <c r="G216" s="18"/>
    </row>
    <row r="217" spans="2:7">
      <c r="B217" s="60"/>
      <c r="C217" s="60"/>
      <c r="D217" s="20"/>
      <c r="E217" s="5"/>
      <c r="F217" s="18"/>
      <c r="G217" s="18"/>
    </row>
    <row r="218" spans="2:7">
      <c r="B218" s="60"/>
      <c r="C218" s="60"/>
      <c r="D218" s="20"/>
      <c r="E218" s="5"/>
      <c r="F218" s="18"/>
      <c r="G218" s="18"/>
    </row>
    <row r="219" spans="2:7">
      <c r="B219" s="60"/>
      <c r="C219" s="60"/>
      <c r="D219" s="20"/>
      <c r="E219" s="5"/>
      <c r="F219" s="18"/>
      <c r="G219" s="18"/>
    </row>
    <row r="220" spans="2:7">
      <c r="B220" s="60"/>
      <c r="C220" s="60"/>
      <c r="D220" s="20"/>
      <c r="E220" s="5"/>
      <c r="F220" s="18"/>
      <c r="G220" s="18"/>
    </row>
    <row r="221" spans="2:7">
      <c r="B221" s="60"/>
      <c r="C221" s="60"/>
      <c r="D221" s="20"/>
      <c r="E221" s="5"/>
      <c r="F221" s="18"/>
      <c r="G221" s="18"/>
    </row>
    <row r="222" spans="2:7">
      <c r="B222" s="60"/>
      <c r="C222" s="60"/>
      <c r="D222" s="20"/>
      <c r="E222" s="5"/>
      <c r="F222" s="18"/>
      <c r="G222" s="18"/>
    </row>
    <row r="223" spans="2:7">
      <c r="B223" s="60"/>
      <c r="C223" s="60"/>
      <c r="D223" s="20"/>
      <c r="E223" s="5"/>
      <c r="F223" s="18"/>
      <c r="G223" s="18"/>
    </row>
    <row r="224" spans="2:7">
      <c r="B224" s="60"/>
      <c r="C224" s="60"/>
      <c r="D224" s="20"/>
      <c r="E224" s="5"/>
      <c r="F224" s="18"/>
      <c r="G224" s="18"/>
    </row>
    <row r="225" spans="2:9">
      <c r="B225" s="60"/>
      <c r="C225" s="60"/>
      <c r="D225" s="20"/>
      <c r="E225" s="5"/>
      <c r="F225" s="18"/>
      <c r="G225" s="18"/>
      <c r="H225" s="136"/>
    </row>
    <row r="226" spans="2:9">
      <c r="B226" s="60"/>
      <c r="C226" s="60"/>
      <c r="D226" s="20"/>
      <c r="E226" s="5"/>
      <c r="F226" s="18"/>
      <c r="G226" s="18"/>
      <c r="H226" s="136"/>
    </row>
    <row r="227" spans="2:9">
      <c r="B227" s="60"/>
      <c r="C227" s="60"/>
      <c r="D227" s="20"/>
      <c r="E227" s="5"/>
      <c r="F227" s="18"/>
      <c r="G227" s="18"/>
      <c r="H227" s="136"/>
    </row>
    <row r="228" spans="2:9">
      <c r="B228" s="60"/>
      <c r="C228" s="60"/>
      <c r="D228" s="20"/>
      <c r="E228" s="5"/>
      <c r="F228" s="18"/>
      <c r="G228" s="18"/>
      <c r="H228" s="136"/>
    </row>
    <row r="229" spans="2:9">
      <c r="B229" s="60"/>
      <c r="C229" s="60"/>
      <c r="D229" s="20"/>
      <c r="E229" s="5"/>
      <c r="F229" s="18"/>
      <c r="G229" s="18"/>
      <c r="H229" s="136"/>
    </row>
    <row r="230" spans="2:9">
      <c r="B230" s="60"/>
      <c r="C230" s="60"/>
      <c r="D230" s="20"/>
      <c r="E230" s="72"/>
      <c r="F230" s="73"/>
      <c r="G230" s="18"/>
      <c r="H230" s="67"/>
      <c r="I230" s="74"/>
    </row>
    <row r="231" spans="2:9">
      <c r="B231" s="60"/>
      <c r="C231" s="60"/>
      <c r="D231" s="20"/>
      <c r="E231" s="5"/>
      <c r="F231" s="18"/>
      <c r="G231" s="18"/>
      <c r="H231" s="136"/>
    </row>
    <row r="232" spans="2:9">
      <c r="B232" s="60"/>
      <c r="C232" s="60"/>
      <c r="D232" s="20"/>
      <c r="E232" s="5"/>
      <c r="F232" s="18"/>
      <c r="G232" s="18"/>
      <c r="H232" s="136"/>
    </row>
    <row r="233" spans="2:9">
      <c r="B233" s="60"/>
      <c r="C233" s="60"/>
      <c r="D233" s="20"/>
      <c r="E233" s="5"/>
      <c r="F233" s="18"/>
      <c r="G233" s="18"/>
      <c r="H233" s="136"/>
    </row>
    <row r="234" spans="2:9">
      <c r="B234" s="60"/>
      <c r="C234" s="60"/>
      <c r="D234" s="20"/>
      <c r="E234" s="5"/>
      <c r="F234" s="18"/>
      <c r="G234" s="18"/>
      <c r="H234" s="136"/>
    </row>
    <row r="235" spans="2:9">
      <c r="B235" s="60"/>
      <c r="C235" s="60"/>
      <c r="D235" s="20"/>
      <c r="E235" s="5"/>
      <c r="F235" s="18"/>
      <c r="G235" s="18"/>
      <c r="H235" s="136"/>
    </row>
    <row r="236" spans="2:9">
      <c r="B236" s="60"/>
      <c r="C236" s="60"/>
      <c r="D236" s="20"/>
      <c r="E236" s="5"/>
      <c r="F236" s="18"/>
      <c r="G236" s="18"/>
      <c r="H236" s="136"/>
    </row>
    <row r="237" spans="2:9">
      <c r="B237" s="60"/>
      <c r="C237" s="60"/>
      <c r="D237" s="20"/>
      <c r="E237" s="5"/>
      <c r="F237" s="18"/>
      <c r="G237" s="18"/>
      <c r="H237" s="136"/>
    </row>
    <row r="238" spans="2:9">
      <c r="B238" s="60"/>
      <c r="C238" s="60"/>
      <c r="D238" s="20"/>
      <c r="E238" s="5"/>
      <c r="F238" s="18"/>
      <c r="G238" s="18"/>
      <c r="H238" s="136"/>
    </row>
    <row r="239" spans="2:9">
      <c r="B239" s="60"/>
      <c r="C239" s="60"/>
      <c r="D239" s="20"/>
      <c r="E239" s="5"/>
      <c r="F239" s="18"/>
      <c r="G239" s="18"/>
      <c r="H239" s="136"/>
    </row>
    <row r="240" spans="2:9">
      <c r="B240" s="60"/>
      <c r="C240" s="60"/>
      <c r="D240" s="20"/>
      <c r="E240" s="5"/>
      <c r="F240" s="18"/>
      <c r="G240" s="18"/>
      <c r="H240" s="136"/>
    </row>
    <row r="241" spans="2:7">
      <c r="B241" s="60"/>
      <c r="C241" s="60"/>
      <c r="D241" s="20"/>
      <c r="E241" s="5"/>
      <c r="F241" s="18"/>
      <c r="G241" s="18"/>
    </row>
    <row r="242" spans="2:7">
      <c r="B242" s="60"/>
      <c r="C242" s="60"/>
      <c r="D242" s="20"/>
      <c r="E242" s="5"/>
      <c r="F242" s="18"/>
      <c r="G242" s="18"/>
    </row>
    <row r="243" spans="2:7">
      <c r="B243" s="60"/>
      <c r="C243" s="60"/>
      <c r="D243" s="20"/>
      <c r="E243" s="5"/>
      <c r="F243" s="18"/>
      <c r="G243" s="18"/>
    </row>
    <row r="244" spans="2:7">
      <c r="B244" s="60"/>
      <c r="C244" s="60"/>
      <c r="D244" s="20"/>
      <c r="E244" s="5"/>
      <c r="F244" s="18"/>
      <c r="G244" s="18"/>
    </row>
    <row r="245" spans="2:7">
      <c r="B245" s="60"/>
      <c r="C245" s="60"/>
      <c r="D245" s="20"/>
      <c r="E245" s="5"/>
      <c r="F245" s="18"/>
      <c r="G245" s="18"/>
    </row>
    <row r="246" spans="2:7">
      <c r="B246" s="60"/>
      <c r="C246" s="60"/>
      <c r="D246" s="20"/>
      <c r="E246" s="5"/>
      <c r="F246" s="18"/>
      <c r="G246" s="18"/>
    </row>
    <row r="247" spans="2:7">
      <c r="B247" s="60"/>
      <c r="C247" s="60"/>
      <c r="D247" s="20"/>
      <c r="E247" s="5"/>
      <c r="F247" s="18"/>
      <c r="G247" s="18"/>
    </row>
    <row r="248" spans="2:7">
      <c r="B248" s="60"/>
      <c r="C248" s="60"/>
      <c r="D248" s="20"/>
      <c r="E248" s="5"/>
      <c r="F248" s="18"/>
      <c r="G248" s="18"/>
    </row>
    <row r="249" spans="2:7">
      <c r="B249" s="60"/>
      <c r="C249" s="60"/>
      <c r="D249" s="20"/>
      <c r="E249" s="5"/>
      <c r="F249" s="18"/>
      <c r="G249" s="18"/>
    </row>
    <row r="250" spans="2:7">
      <c r="B250" s="60"/>
      <c r="C250" s="60"/>
      <c r="D250" s="20"/>
      <c r="E250" s="5"/>
      <c r="F250" s="18"/>
      <c r="G250" s="18"/>
    </row>
    <row r="251" spans="2:7">
      <c r="B251" s="60"/>
      <c r="C251" s="60"/>
      <c r="D251" s="20"/>
      <c r="E251" s="5"/>
      <c r="F251" s="18"/>
      <c r="G251" s="18"/>
    </row>
    <row r="252" spans="2:7">
      <c r="B252" s="60"/>
      <c r="C252" s="60"/>
      <c r="D252" s="20"/>
      <c r="E252" s="5"/>
      <c r="F252" s="18"/>
      <c r="G252" s="18"/>
    </row>
    <row r="253" spans="2:7">
      <c r="B253" s="60"/>
      <c r="C253" s="60"/>
      <c r="D253" s="20"/>
      <c r="E253" s="5"/>
      <c r="F253" s="18"/>
      <c r="G253" s="18"/>
    </row>
    <row r="254" spans="2:7">
      <c r="B254" s="60"/>
      <c r="C254" s="60"/>
      <c r="D254" s="20"/>
      <c r="E254" s="5"/>
      <c r="F254" s="18"/>
      <c r="G254" s="18"/>
    </row>
    <row r="255" spans="2:7">
      <c r="B255" s="60"/>
      <c r="C255" s="60"/>
      <c r="D255" s="20"/>
      <c r="E255" s="5"/>
      <c r="F255" s="18"/>
      <c r="G255" s="18"/>
    </row>
    <row r="256" spans="2:7">
      <c r="B256" s="60"/>
      <c r="C256" s="60"/>
      <c r="D256" s="20"/>
      <c r="E256" s="5"/>
      <c r="F256" s="18"/>
      <c r="G256" s="18"/>
    </row>
    <row r="257" spans="2:7">
      <c r="B257" s="60"/>
      <c r="C257" s="60"/>
      <c r="D257" s="20"/>
      <c r="E257" s="5"/>
      <c r="F257" s="18"/>
      <c r="G257" s="18"/>
    </row>
    <row r="258" spans="2:7">
      <c r="B258" s="60"/>
      <c r="C258" s="60"/>
      <c r="D258" s="20"/>
      <c r="E258" s="5"/>
      <c r="F258" s="18"/>
      <c r="G258" s="18"/>
    </row>
    <row r="259" spans="2:7">
      <c r="B259" s="60"/>
      <c r="C259" s="60"/>
      <c r="D259" s="20"/>
      <c r="E259" s="5"/>
      <c r="F259" s="18"/>
      <c r="G259" s="18"/>
    </row>
    <row r="260" spans="2:7">
      <c r="B260" s="60"/>
      <c r="C260" s="60"/>
      <c r="D260" s="20"/>
      <c r="E260" s="5"/>
      <c r="F260" s="18"/>
      <c r="G260" s="18"/>
    </row>
    <row r="261" spans="2:7">
      <c r="B261" s="60"/>
      <c r="C261" s="60"/>
      <c r="D261" s="20"/>
      <c r="E261" s="5"/>
      <c r="F261" s="18"/>
      <c r="G261" s="18"/>
    </row>
    <row r="262" spans="2:7">
      <c r="B262" s="60"/>
      <c r="C262" s="60"/>
      <c r="D262" s="20"/>
      <c r="E262" s="5"/>
      <c r="F262" s="18"/>
      <c r="G262" s="18"/>
    </row>
    <row r="263" spans="2:7">
      <c r="B263" s="60"/>
      <c r="C263" s="60"/>
      <c r="D263" s="20"/>
      <c r="E263" s="5"/>
      <c r="F263" s="18"/>
      <c r="G263" s="18"/>
    </row>
    <row r="264" spans="2:7">
      <c r="B264" s="60"/>
      <c r="C264" s="60"/>
      <c r="D264" s="20"/>
      <c r="E264" s="5"/>
      <c r="F264" s="18"/>
      <c r="G264" s="18"/>
    </row>
    <row r="265" spans="2:7">
      <c r="B265" s="60"/>
      <c r="C265" s="60"/>
      <c r="D265" s="20"/>
      <c r="E265" s="5"/>
      <c r="F265" s="18"/>
      <c r="G265" s="18"/>
    </row>
    <row r="266" spans="2:7">
      <c r="B266" s="60"/>
      <c r="C266" s="60"/>
      <c r="D266" s="20"/>
      <c r="E266" s="5"/>
      <c r="F266" s="18"/>
      <c r="G266" s="18"/>
    </row>
    <row r="267" spans="2:7">
      <c r="B267" s="60"/>
      <c r="C267" s="60"/>
      <c r="D267" s="20"/>
      <c r="E267" s="5"/>
      <c r="F267" s="18"/>
      <c r="G267" s="18"/>
    </row>
    <row r="268" spans="2:7">
      <c r="B268" s="60"/>
      <c r="C268" s="60"/>
      <c r="D268" s="20"/>
      <c r="E268" s="5"/>
      <c r="F268" s="18"/>
      <c r="G268" s="18"/>
    </row>
    <row r="269" spans="2:7">
      <c r="B269" s="60"/>
      <c r="C269" s="60"/>
      <c r="D269" s="20"/>
      <c r="E269" s="5"/>
      <c r="F269" s="18"/>
      <c r="G269" s="18"/>
    </row>
    <row r="270" spans="2:7">
      <c r="B270" s="60"/>
      <c r="C270" s="60"/>
      <c r="D270" s="20"/>
      <c r="E270" s="5"/>
      <c r="F270" s="18"/>
      <c r="G270" s="18"/>
    </row>
    <row r="271" spans="2:7">
      <c r="B271" s="60"/>
      <c r="C271" s="60"/>
      <c r="D271" s="20"/>
      <c r="E271" s="5"/>
      <c r="F271" s="18"/>
      <c r="G271" s="18"/>
    </row>
    <row r="272" spans="2:7">
      <c r="B272" s="60"/>
      <c r="C272" s="60"/>
      <c r="D272" s="20"/>
      <c r="E272" s="5"/>
      <c r="F272" s="18"/>
      <c r="G272" s="18"/>
    </row>
    <row r="273" spans="2:7">
      <c r="B273" s="60"/>
      <c r="C273" s="60"/>
      <c r="D273" s="20"/>
      <c r="E273" s="5"/>
      <c r="F273" s="18"/>
      <c r="G273" s="18"/>
    </row>
    <row r="274" spans="2:7">
      <c r="B274" s="60"/>
      <c r="C274" s="60"/>
      <c r="D274" s="20"/>
      <c r="E274" s="5"/>
      <c r="F274" s="18"/>
      <c r="G274" s="18"/>
    </row>
    <row r="275" spans="2:7">
      <c r="B275" s="60"/>
      <c r="C275" s="60"/>
      <c r="D275" s="20"/>
      <c r="E275" s="5"/>
      <c r="F275" s="18"/>
      <c r="G275" s="18"/>
    </row>
    <row r="276" spans="2:7">
      <c r="B276" s="60"/>
      <c r="C276" s="60"/>
      <c r="D276" s="20"/>
      <c r="E276" s="5"/>
      <c r="F276" s="18"/>
      <c r="G276" s="18"/>
    </row>
    <row r="277" spans="2:7">
      <c r="B277" s="60"/>
      <c r="C277" s="60"/>
      <c r="D277" s="20"/>
      <c r="E277" s="5"/>
      <c r="F277" s="18"/>
      <c r="G277" s="18"/>
    </row>
    <row r="278" spans="2:7">
      <c r="B278" s="60"/>
      <c r="C278" s="60"/>
      <c r="D278" s="20"/>
      <c r="E278" s="5"/>
      <c r="F278" s="18"/>
      <c r="G278" s="18"/>
    </row>
    <row r="279" spans="2:7">
      <c r="B279" s="60"/>
      <c r="C279" s="60"/>
      <c r="D279" s="20"/>
      <c r="E279" s="5"/>
      <c r="F279" s="18"/>
      <c r="G279" s="18"/>
    </row>
    <row r="280" spans="2:7">
      <c r="B280" s="60"/>
      <c r="C280" s="60"/>
      <c r="D280" s="20"/>
      <c r="E280" s="5"/>
      <c r="F280" s="18"/>
      <c r="G280" s="18"/>
    </row>
    <row r="281" spans="2:7">
      <c r="B281" s="60"/>
      <c r="C281" s="60"/>
      <c r="D281" s="20"/>
      <c r="E281" s="5"/>
      <c r="F281" s="18"/>
      <c r="G281" s="18"/>
    </row>
    <row r="282" spans="2:7">
      <c r="B282" s="60"/>
      <c r="C282" s="60"/>
      <c r="D282" s="20"/>
      <c r="E282" s="5"/>
      <c r="F282" s="18"/>
      <c r="G282" s="18"/>
    </row>
    <row r="283" spans="2:7">
      <c r="B283" s="60"/>
      <c r="C283" s="60"/>
      <c r="D283" s="20"/>
      <c r="E283" s="5"/>
      <c r="F283" s="18"/>
      <c r="G283" s="18"/>
    </row>
    <row r="284" spans="2:7">
      <c r="B284" s="60"/>
      <c r="C284" s="60"/>
      <c r="D284" s="20"/>
      <c r="E284" s="5"/>
      <c r="F284" s="18"/>
      <c r="G284" s="18"/>
    </row>
    <row r="285" spans="2:7">
      <c r="B285" s="60"/>
      <c r="C285" s="60"/>
      <c r="D285" s="20"/>
      <c r="E285" s="5"/>
      <c r="F285" s="18"/>
      <c r="G285" s="18"/>
    </row>
    <row r="286" spans="2:7">
      <c r="B286" s="60"/>
      <c r="C286" s="60"/>
      <c r="D286" s="20"/>
      <c r="E286" s="5"/>
      <c r="F286" s="18"/>
      <c r="G286" s="18"/>
    </row>
    <row r="287" spans="2:7">
      <c r="B287" s="60"/>
      <c r="C287" s="60"/>
      <c r="D287" s="20"/>
      <c r="E287" s="5"/>
      <c r="F287" s="18"/>
      <c r="G287" s="18"/>
    </row>
    <row r="288" spans="2:7">
      <c r="B288" s="60"/>
      <c r="C288" s="60"/>
      <c r="D288" s="20"/>
      <c r="E288" s="5"/>
      <c r="F288" s="18"/>
      <c r="G288" s="18"/>
    </row>
    <row r="289" spans="2:7">
      <c r="B289" s="60"/>
      <c r="C289" s="60"/>
      <c r="D289" s="20"/>
      <c r="E289" s="5"/>
      <c r="F289" s="18"/>
      <c r="G289" s="18"/>
    </row>
    <row r="290" spans="2:7">
      <c r="B290" s="60"/>
      <c r="C290" s="60"/>
      <c r="D290" s="20"/>
      <c r="E290" s="5"/>
      <c r="F290" s="18"/>
      <c r="G290" s="18"/>
    </row>
    <row r="291" spans="2:7">
      <c r="B291" s="60"/>
      <c r="C291" s="60"/>
      <c r="D291" s="20"/>
      <c r="E291" s="5"/>
      <c r="F291" s="18"/>
      <c r="G291" s="18"/>
    </row>
    <row r="292" spans="2:7">
      <c r="B292" s="60"/>
      <c r="C292" s="60"/>
      <c r="D292" s="20"/>
      <c r="E292" s="5"/>
      <c r="F292" s="18"/>
      <c r="G292" s="18"/>
    </row>
    <row r="293" spans="2:7">
      <c r="B293" s="60"/>
      <c r="C293" s="60"/>
      <c r="D293" s="20"/>
      <c r="E293" s="5"/>
      <c r="F293" s="18"/>
      <c r="G293" s="18"/>
    </row>
    <row r="294" spans="2:7">
      <c r="B294" s="60"/>
      <c r="C294" s="60"/>
      <c r="D294" s="20"/>
      <c r="E294" s="5"/>
      <c r="F294" s="18"/>
      <c r="G294" s="18"/>
    </row>
    <row r="295" spans="2:7">
      <c r="B295" s="60"/>
      <c r="C295" s="60"/>
      <c r="D295" s="20"/>
      <c r="E295" s="5"/>
      <c r="F295" s="18"/>
      <c r="G295" s="18"/>
    </row>
    <row r="296" spans="2:7">
      <c r="B296" s="60"/>
      <c r="C296" s="60"/>
      <c r="D296" s="20"/>
      <c r="E296" s="5"/>
      <c r="F296" s="18"/>
      <c r="G296" s="18"/>
    </row>
    <row r="297" spans="2:7">
      <c r="B297" s="60"/>
      <c r="C297" s="60"/>
      <c r="D297" s="20"/>
      <c r="E297" s="5"/>
      <c r="F297" s="18"/>
      <c r="G297" s="18"/>
    </row>
    <row r="298" spans="2:7">
      <c r="B298" s="60"/>
      <c r="C298" s="60"/>
      <c r="D298" s="20"/>
      <c r="E298" s="5"/>
      <c r="F298" s="18"/>
      <c r="G298" s="18"/>
    </row>
    <row r="299" spans="2:7">
      <c r="B299" s="60"/>
      <c r="C299" s="60"/>
      <c r="D299" s="20"/>
      <c r="E299" s="5"/>
      <c r="F299" s="18"/>
      <c r="G299" s="18"/>
    </row>
    <row r="300" spans="2:7">
      <c r="B300" s="60"/>
      <c r="C300" s="60"/>
      <c r="D300" s="20"/>
      <c r="E300" s="5"/>
      <c r="F300" s="18"/>
      <c r="G300" s="18"/>
    </row>
    <row r="301" spans="2:7">
      <c r="B301" s="60"/>
      <c r="C301" s="60"/>
      <c r="D301" s="20"/>
      <c r="E301" s="5"/>
      <c r="F301" s="18"/>
      <c r="G301" s="18"/>
    </row>
    <row r="302" spans="2:7">
      <c r="B302" s="60"/>
      <c r="C302" s="60"/>
      <c r="D302" s="20"/>
      <c r="E302" s="5"/>
      <c r="F302" s="18"/>
      <c r="G302" s="18"/>
    </row>
    <row r="303" spans="2:7">
      <c r="B303" s="60"/>
      <c r="C303" s="60"/>
      <c r="D303" s="20"/>
      <c r="E303" s="5"/>
      <c r="F303" s="18"/>
      <c r="G303" s="18"/>
    </row>
    <row r="304" spans="2:7">
      <c r="B304" s="60"/>
      <c r="C304" s="60"/>
      <c r="D304" s="20"/>
      <c r="E304" s="5"/>
      <c r="F304" s="18"/>
      <c r="G304" s="18"/>
    </row>
    <row r="305" spans="2:7">
      <c r="B305" s="60"/>
      <c r="C305" s="60"/>
      <c r="D305" s="20"/>
      <c r="E305" s="5"/>
      <c r="F305" s="18"/>
      <c r="G305" s="18"/>
    </row>
    <row r="306" spans="2:7">
      <c r="B306" s="60"/>
      <c r="C306" s="60"/>
      <c r="D306" s="20"/>
      <c r="E306" s="5"/>
      <c r="F306" s="18"/>
      <c r="G306" s="18"/>
    </row>
    <row r="307" spans="2:7">
      <c r="B307" s="60"/>
      <c r="C307" s="60"/>
      <c r="D307" s="20"/>
      <c r="E307" s="75"/>
      <c r="F307" s="18"/>
      <c r="G307" s="18"/>
    </row>
    <row r="308" spans="2:7">
      <c r="B308" s="60"/>
      <c r="C308" s="60"/>
      <c r="D308" s="20"/>
      <c r="E308" s="75"/>
      <c r="F308" s="18"/>
      <c r="G308" s="18"/>
    </row>
    <row r="309" spans="2:7">
      <c r="B309" s="60"/>
      <c r="C309" s="60"/>
      <c r="D309" s="20"/>
      <c r="E309" s="5"/>
      <c r="F309" s="18"/>
      <c r="G309" s="18"/>
    </row>
    <row r="310" spans="2:7">
      <c r="B310" s="60"/>
      <c r="C310" s="60"/>
      <c r="D310" s="20"/>
      <c r="E310" s="5"/>
      <c r="F310" s="18"/>
      <c r="G310" s="18"/>
    </row>
    <row r="311" spans="2:7">
      <c r="B311" s="60"/>
      <c r="C311" s="60"/>
      <c r="D311" s="20"/>
      <c r="E311" s="5"/>
      <c r="F311" s="18"/>
      <c r="G311" s="18"/>
    </row>
    <row r="312" spans="2:7">
      <c r="B312" s="60"/>
      <c r="C312" s="60"/>
      <c r="D312" s="20"/>
      <c r="E312" s="5"/>
      <c r="F312" s="18"/>
      <c r="G312" s="18"/>
    </row>
    <row r="313" spans="2:7">
      <c r="B313" s="60"/>
      <c r="C313" s="60"/>
      <c r="D313" s="20"/>
      <c r="E313" s="5"/>
      <c r="F313" s="18"/>
      <c r="G313" s="18"/>
    </row>
    <row r="314" spans="2:7">
      <c r="B314" s="60"/>
      <c r="C314" s="60"/>
      <c r="D314" s="20"/>
      <c r="E314" s="5"/>
      <c r="F314" s="18"/>
      <c r="G314" s="18"/>
    </row>
    <row r="315" spans="2:7">
      <c r="B315" s="60"/>
      <c r="C315" s="60"/>
      <c r="D315" s="20"/>
      <c r="E315" s="5"/>
      <c r="F315" s="18"/>
      <c r="G315" s="18"/>
    </row>
    <row r="316" spans="2:7">
      <c r="B316" s="60"/>
      <c r="C316" s="60"/>
      <c r="D316" s="20"/>
      <c r="E316" s="5"/>
      <c r="F316" s="18"/>
      <c r="G316" s="18"/>
    </row>
    <row r="317" spans="2:7">
      <c r="B317" s="60"/>
      <c r="C317" s="60"/>
      <c r="D317" s="20"/>
      <c r="E317" s="5"/>
      <c r="F317" s="18"/>
      <c r="G317" s="18"/>
    </row>
    <row r="318" spans="2:7">
      <c r="B318" s="60"/>
      <c r="C318" s="60"/>
      <c r="D318" s="20"/>
      <c r="E318" s="5"/>
      <c r="F318" s="18"/>
      <c r="G318" s="18"/>
    </row>
    <row r="319" spans="2:7">
      <c r="B319" s="60"/>
      <c r="C319" s="60"/>
      <c r="D319" s="20"/>
      <c r="E319" s="5"/>
      <c r="F319" s="18"/>
      <c r="G319" s="18"/>
    </row>
    <row r="320" spans="2:7">
      <c r="B320" s="60"/>
      <c r="C320" s="60"/>
      <c r="D320" s="20"/>
      <c r="E320" s="5"/>
      <c r="F320" s="18"/>
      <c r="G320" s="18"/>
    </row>
    <row r="321" spans="2:7">
      <c r="B321" s="60"/>
      <c r="C321" s="60"/>
      <c r="D321" s="20"/>
      <c r="E321" s="5"/>
      <c r="F321" s="18"/>
      <c r="G321" s="18"/>
    </row>
    <row r="322" spans="2:7">
      <c r="B322" s="60"/>
      <c r="C322" s="60"/>
      <c r="D322" s="20"/>
      <c r="E322" s="5"/>
      <c r="F322" s="18"/>
      <c r="G322" s="18"/>
    </row>
    <row r="323" spans="2:7">
      <c r="B323" s="60"/>
      <c r="C323" s="60"/>
      <c r="D323" s="20"/>
      <c r="E323" s="5"/>
      <c r="F323" s="18"/>
      <c r="G323" s="18"/>
    </row>
    <row r="324" spans="2:7">
      <c r="B324" s="60"/>
      <c r="C324" s="60"/>
      <c r="D324" s="20"/>
      <c r="E324" s="5"/>
      <c r="F324" s="18"/>
      <c r="G324" s="18"/>
    </row>
    <row r="325" spans="2:7">
      <c r="B325" s="60"/>
      <c r="C325" s="60"/>
      <c r="D325" s="20"/>
      <c r="E325" s="5"/>
      <c r="F325" s="18"/>
      <c r="G325" s="18"/>
    </row>
    <row r="326" spans="2:7">
      <c r="B326" s="60"/>
      <c r="C326" s="60"/>
      <c r="D326" s="20"/>
      <c r="E326" s="75"/>
      <c r="F326" s="18"/>
      <c r="G326" s="18"/>
    </row>
    <row r="327" spans="2:7">
      <c r="B327" s="60"/>
      <c r="C327" s="60"/>
      <c r="D327" s="20"/>
      <c r="E327" s="5"/>
      <c r="F327" s="18"/>
      <c r="G327" s="18"/>
    </row>
    <row r="328" spans="2:7">
      <c r="B328" s="60"/>
      <c r="C328" s="60"/>
      <c r="D328" s="20"/>
      <c r="E328" s="5"/>
      <c r="F328" s="18"/>
      <c r="G328" s="18"/>
    </row>
    <row r="329" spans="2:7">
      <c r="B329" s="60"/>
      <c r="C329" s="60"/>
      <c r="D329" s="20"/>
      <c r="E329" s="5"/>
      <c r="F329" s="18"/>
      <c r="G329" s="18"/>
    </row>
    <row r="330" spans="2:7">
      <c r="B330" s="60"/>
      <c r="C330" s="60"/>
      <c r="D330" s="20"/>
      <c r="E330" s="5"/>
      <c r="F330" s="18"/>
      <c r="G330" s="18"/>
    </row>
    <row r="331" spans="2:7">
      <c r="B331" s="60"/>
      <c r="C331" s="60"/>
      <c r="D331" s="20"/>
      <c r="E331" s="5"/>
      <c r="F331" s="18"/>
      <c r="G331" s="18"/>
    </row>
    <row r="332" spans="2:7">
      <c r="B332" s="60"/>
      <c r="C332" s="60"/>
      <c r="D332" s="20"/>
      <c r="E332" s="5"/>
      <c r="F332" s="18"/>
      <c r="G332" s="18"/>
    </row>
    <row r="333" spans="2:7">
      <c r="B333" s="60"/>
      <c r="C333" s="60"/>
      <c r="D333" s="20"/>
      <c r="E333" s="5"/>
      <c r="F333" s="18"/>
      <c r="G333" s="18"/>
    </row>
    <row r="334" spans="2:7">
      <c r="B334" s="60"/>
      <c r="C334" s="60"/>
      <c r="D334" s="20"/>
      <c r="E334" s="5"/>
      <c r="F334" s="18"/>
      <c r="G334" s="18"/>
    </row>
    <row r="335" spans="2:7">
      <c r="B335" s="60"/>
      <c r="C335" s="60"/>
      <c r="D335" s="20"/>
      <c r="E335" s="5"/>
      <c r="F335" s="18"/>
      <c r="G335" s="18"/>
    </row>
    <row r="336" spans="2:7">
      <c r="B336" s="60"/>
      <c r="C336" s="60"/>
      <c r="D336" s="20"/>
      <c r="E336" s="5"/>
      <c r="F336" s="18"/>
      <c r="G336" s="18"/>
    </row>
    <row r="337" spans="2:7">
      <c r="B337" s="60"/>
      <c r="C337" s="60"/>
      <c r="D337" s="20"/>
      <c r="E337" s="5"/>
      <c r="F337" s="18"/>
      <c r="G337" s="18"/>
    </row>
    <row r="338" spans="2:7">
      <c r="B338" s="60"/>
      <c r="C338" s="60"/>
      <c r="D338" s="20"/>
      <c r="E338" s="5"/>
      <c r="F338" s="18"/>
      <c r="G338" s="18"/>
    </row>
    <row r="339" spans="2:7">
      <c r="B339" s="60"/>
      <c r="C339" s="60"/>
      <c r="D339" s="20"/>
      <c r="E339" s="5"/>
      <c r="F339" s="18"/>
      <c r="G339" s="18"/>
    </row>
    <row r="340" spans="2:7">
      <c r="B340" s="60"/>
      <c r="C340" s="60"/>
      <c r="D340" s="20"/>
      <c r="E340" s="5"/>
      <c r="F340" s="18"/>
      <c r="G340" s="18"/>
    </row>
    <row r="341" spans="2:7">
      <c r="B341" s="60"/>
      <c r="C341" s="60"/>
      <c r="D341" s="20"/>
      <c r="E341" s="5"/>
      <c r="F341" s="18"/>
      <c r="G341" s="18"/>
    </row>
    <row r="342" spans="2:7">
      <c r="B342" s="60"/>
      <c r="C342" s="60"/>
      <c r="D342" s="20"/>
      <c r="E342" s="5"/>
      <c r="F342" s="18"/>
      <c r="G342" s="18"/>
    </row>
    <row r="343" spans="2:7">
      <c r="B343" s="60"/>
      <c r="C343" s="60"/>
      <c r="D343" s="20"/>
      <c r="E343" s="5"/>
      <c r="F343" s="18"/>
      <c r="G343" s="18"/>
    </row>
    <row r="344" spans="2:7">
      <c r="B344" s="60"/>
      <c r="C344" s="60"/>
      <c r="D344" s="20"/>
      <c r="E344" s="5"/>
      <c r="F344" s="18"/>
      <c r="G344" s="18"/>
    </row>
    <row r="345" spans="2:7">
      <c r="B345" s="60"/>
      <c r="C345" s="60"/>
      <c r="D345" s="20"/>
      <c r="E345" s="5"/>
      <c r="F345" s="18"/>
      <c r="G345" s="18"/>
    </row>
    <row r="346" spans="2:7">
      <c r="B346" s="60"/>
      <c r="C346" s="60"/>
      <c r="D346" s="20"/>
      <c r="E346" s="5"/>
      <c r="F346" s="18"/>
      <c r="G346" s="18"/>
    </row>
    <row r="347" spans="2:7">
      <c r="B347" s="60"/>
      <c r="C347" s="60"/>
      <c r="D347" s="20"/>
      <c r="E347" s="5"/>
      <c r="F347" s="18"/>
      <c r="G347" s="18"/>
    </row>
    <row r="348" spans="2:7">
      <c r="B348" s="60"/>
      <c r="C348" s="60"/>
      <c r="D348" s="20"/>
      <c r="E348" s="5"/>
      <c r="F348" s="18"/>
      <c r="G348" s="18"/>
    </row>
    <row r="349" spans="2:7">
      <c r="B349" s="60"/>
      <c r="C349" s="60"/>
      <c r="D349" s="20"/>
      <c r="E349" s="5"/>
      <c r="F349" s="18"/>
      <c r="G349" s="18"/>
    </row>
    <row r="350" spans="2:7">
      <c r="B350" s="60"/>
      <c r="C350" s="60"/>
      <c r="D350" s="20"/>
      <c r="E350" s="5"/>
      <c r="F350" s="18"/>
      <c r="G350" s="18"/>
    </row>
    <row r="351" spans="2:7">
      <c r="B351" s="60"/>
      <c r="C351" s="60"/>
      <c r="D351" s="20"/>
      <c r="E351" s="5"/>
      <c r="F351" s="18"/>
      <c r="G351" s="18"/>
    </row>
    <row r="352" spans="2:7">
      <c r="B352" s="60"/>
      <c r="C352" s="60"/>
      <c r="D352" s="20"/>
      <c r="E352" s="5"/>
      <c r="F352" s="18"/>
      <c r="G352" s="18"/>
    </row>
    <row r="353" spans="2:7">
      <c r="B353" s="60"/>
      <c r="C353" s="60"/>
      <c r="D353" s="20"/>
      <c r="E353" s="5"/>
      <c r="F353" s="18"/>
      <c r="G353" s="18"/>
    </row>
    <row r="354" spans="2:7">
      <c r="B354" s="60"/>
      <c r="C354" s="60"/>
      <c r="D354" s="20"/>
      <c r="E354" s="5"/>
      <c r="F354" s="18"/>
      <c r="G354" s="18"/>
    </row>
    <row r="355" spans="2:7">
      <c r="B355" s="60"/>
      <c r="C355" s="60"/>
      <c r="D355" s="20"/>
      <c r="E355" s="5"/>
      <c r="F355" s="18"/>
      <c r="G355" s="18"/>
    </row>
    <row r="356" spans="2:7">
      <c r="B356" s="60"/>
      <c r="C356" s="60"/>
      <c r="D356" s="20"/>
      <c r="E356" s="5"/>
      <c r="F356" s="18"/>
      <c r="G356" s="18"/>
    </row>
    <row r="357" spans="2:7">
      <c r="B357" s="60"/>
      <c r="C357" s="60"/>
      <c r="D357" s="20"/>
      <c r="E357" s="5"/>
      <c r="F357" s="18"/>
      <c r="G357" s="18"/>
    </row>
    <row r="358" spans="2:7">
      <c r="B358" s="60"/>
      <c r="C358" s="60"/>
      <c r="D358" s="20"/>
      <c r="E358" s="5"/>
      <c r="F358" s="18"/>
      <c r="G358" s="18"/>
    </row>
    <row r="359" spans="2:7">
      <c r="B359" s="60"/>
      <c r="C359" s="60"/>
      <c r="D359" s="20"/>
      <c r="E359" s="5"/>
      <c r="F359" s="18"/>
      <c r="G359" s="18"/>
    </row>
    <row r="360" spans="2:7">
      <c r="B360" s="60"/>
      <c r="C360" s="60"/>
      <c r="D360" s="20"/>
      <c r="E360" s="5"/>
      <c r="F360" s="18"/>
      <c r="G360" s="18"/>
    </row>
    <row r="361" spans="2:7">
      <c r="B361" s="60"/>
      <c r="C361" s="60"/>
      <c r="D361" s="20"/>
      <c r="E361" s="5"/>
      <c r="F361" s="18"/>
      <c r="G361" s="18"/>
    </row>
    <row r="362" spans="2:7">
      <c r="B362" s="60"/>
      <c r="C362" s="60"/>
      <c r="D362" s="20"/>
      <c r="E362" s="5"/>
      <c r="F362" s="18"/>
      <c r="G362" s="18"/>
    </row>
    <row r="363" spans="2:7">
      <c r="B363" s="60"/>
      <c r="C363" s="60"/>
      <c r="D363" s="20"/>
      <c r="E363" s="5"/>
      <c r="F363" s="18"/>
      <c r="G363" s="18"/>
    </row>
    <row r="364" spans="2:7">
      <c r="B364" s="60"/>
      <c r="C364" s="60"/>
      <c r="D364" s="20"/>
      <c r="E364" s="5"/>
      <c r="F364" s="18"/>
      <c r="G364" s="18"/>
    </row>
    <row r="365" spans="2:7">
      <c r="B365" s="60"/>
      <c r="C365" s="60"/>
      <c r="D365" s="20"/>
      <c r="E365" s="5"/>
      <c r="F365" s="18"/>
      <c r="G365" s="18"/>
    </row>
    <row r="366" spans="2:7">
      <c r="B366" s="60"/>
      <c r="C366" s="60"/>
      <c r="D366" s="20"/>
      <c r="E366" s="5"/>
      <c r="F366" s="18"/>
      <c r="G366" s="18"/>
    </row>
    <row r="367" spans="2:7">
      <c r="B367" s="60"/>
      <c r="C367" s="60"/>
      <c r="D367" s="20"/>
      <c r="E367" s="5"/>
      <c r="F367" s="18"/>
      <c r="G367" s="18"/>
    </row>
    <row r="368" spans="2:7">
      <c r="B368" s="60"/>
      <c r="C368" s="60"/>
      <c r="D368" s="20"/>
      <c r="E368" s="5"/>
      <c r="F368" s="18"/>
      <c r="G368" s="18"/>
    </row>
    <row r="369" spans="2:7">
      <c r="B369" s="60"/>
      <c r="C369" s="60"/>
      <c r="D369" s="20"/>
      <c r="E369" s="5"/>
      <c r="F369" s="18"/>
      <c r="G369" s="18"/>
    </row>
    <row r="370" spans="2:7">
      <c r="B370" s="60"/>
      <c r="C370" s="60"/>
      <c r="D370" s="20"/>
      <c r="E370" s="5"/>
      <c r="F370" s="18"/>
      <c r="G370" s="18"/>
    </row>
    <row r="371" spans="2:7">
      <c r="B371" s="60"/>
      <c r="C371" s="60"/>
      <c r="D371" s="20"/>
      <c r="E371" s="5"/>
      <c r="F371" s="18"/>
      <c r="G371" s="18"/>
    </row>
    <row r="372" spans="2:7">
      <c r="B372" s="60"/>
      <c r="C372" s="60"/>
      <c r="D372" s="20"/>
      <c r="E372" s="5"/>
      <c r="F372" s="18"/>
      <c r="G372" s="18"/>
    </row>
    <row r="373" spans="2:7">
      <c r="B373" s="60"/>
      <c r="C373" s="60"/>
      <c r="D373" s="20"/>
      <c r="E373" s="5"/>
      <c r="F373" s="18"/>
      <c r="G373" s="18"/>
    </row>
    <row r="374" spans="2:7">
      <c r="B374" s="60"/>
      <c r="C374" s="60"/>
      <c r="D374" s="20"/>
      <c r="E374" s="5"/>
      <c r="F374" s="18"/>
      <c r="G374" s="18"/>
    </row>
    <row r="375" spans="2:7">
      <c r="B375" s="60"/>
      <c r="C375" s="60"/>
      <c r="D375" s="20"/>
      <c r="E375" s="5"/>
      <c r="F375" s="18"/>
      <c r="G375" s="18"/>
    </row>
    <row r="376" spans="2:7">
      <c r="B376" s="60"/>
      <c r="C376" s="60"/>
      <c r="D376" s="20"/>
      <c r="E376" s="5"/>
      <c r="F376" s="18"/>
      <c r="G376" s="18"/>
    </row>
    <row r="377" spans="2:7">
      <c r="B377" s="60"/>
      <c r="C377" s="60"/>
      <c r="D377" s="20"/>
      <c r="E377" s="5"/>
      <c r="F377" s="18"/>
      <c r="G377" s="18"/>
    </row>
    <row r="378" spans="2:7">
      <c r="B378" s="60"/>
      <c r="C378" s="60"/>
      <c r="D378" s="20"/>
      <c r="E378" s="5"/>
      <c r="F378" s="18"/>
      <c r="G378" s="18"/>
    </row>
    <row r="379" spans="2:7">
      <c r="B379" s="60"/>
      <c r="C379" s="60"/>
      <c r="D379" s="20"/>
      <c r="E379" s="5"/>
      <c r="F379" s="18"/>
      <c r="G379" s="18"/>
    </row>
    <row r="380" spans="2:7">
      <c r="B380" s="60"/>
      <c r="C380" s="60"/>
      <c r="D380" s="20"/>
      <c r="E380" s="5"/>
      <c r="F380" s="18"/>
      <c r="G380" s="18"/>
    </row>
    <row r="381" spans="2:7">
      <c r="B381" s="60"/>
      <c r="C381" s="60"/>
      <c r="D381" s="20"/>
      <c r="E381" s="5"/>
      <c r="F381" s="18"/>
      <c r="G381" s="18"/>
    </row>
    <row r="382" spans="2:7">
      <c r="B382" s="60"/>
      <c r="C382" s="60"/>
      <c r="D382" s="20"/>
      <c r="E382" s="5"/>
      <c r="F382" s="18"/>
      <c r="G382" s="18"/>
    </row>
    <row r="383" spans="2:7">
      <c r="B383" s="60"/>
      <c r="C383" s="60"/>
      <c r="D383" s="20"/>
      <c r="E383" s="5"/>
      <c r="F383" s="18"/>
      <c r="G383" s="18"/>
    </row>
    <row r="384" spans="2:7">
      <c r="B384" s="60"/>
      <c r="C384" s="60"/>
      <c r="D384" s="20"/>
      <c r="E384" s="5"/>
      <c r="F384" s="18"/>
      <c r="G384" s="18"/>
    </row>
    <row r="385" spans="2:7">
      <c r="B385" s="60"/>
      <c r="C385" s="60"/>
      <c r="D385" s="20"/>
      <c r="E385" s="5"/>
      <c r="F385" s="18"/>
      <c r="G385" s="18"/>
    </row>
    <row r="386" spans="2:7">
      <c r="B386" s="60"/>
      <c r="C386" s="60"/>
      <c r="D386" s="20"/>
      <c r="E386" s="5"/>
      <c r="F386" s="18"/>
      <c r="G386" s="18"/>
    </row>
    <row r="387" spans="2:7">
      <c r="B387" s="60"/>
      <c r="C387" s="60"/>
      <c r="D387" s="20"/>
      <c r="E387" s="5"/>
      <c r="F387" s="18"/>
      <c r="G387" s="18"/>
    </row>
    <row r="388" spans="2:7">
      <c r="B388" s="60"/>
      <c r="C388" s="60"/>
      <c r="D388" s="20"/>
      <c r="E388" s="5"/>
      <c r="F388" s="18"/>
      <c r="G388" s="18"/>
    </row>
    <row r="389" spans="2:7">
      <c r="B389" s="60"/>
      <c r="C389" s="60"/>
      <c r="D389" s="20"/>
      <c r="E389" s="5"/>
      <c r="F389" s="18"/>
      <c r="G389" s="18"/>
    </row>
    <row r="390" spans="2:7">
      <c r="B390" s="60"/>
      <c r="C390" s="60"/>
      <c r="D390" s="20"/>
      <c r="E390" s="5"/>
      <c r="F390" s="18"/>
      <c r="G390" s="18"/>
    </row>
    <row r="391" spans="2:7">
      <c r="B391" s="60"/>
      <c r="C391" s="60"/>
      <c r="D391" s="20"/>
      <c r="E391" s="5"/>
      <c r="F391" s="18"/>
      <c r="G391" s="18"/>
    </row>
    <row r="392" spans="2:7">
      <c r="B392" s="60"/>
      <c r="C392" s="60"/>
      <c r="D392" s="20"/>
      <c r="E392" s="5"/>
      <c r="F392" s="18"/>
      <c r="G392" s="18"/>
    </row>
    <row r="393" spans="2:7">
      <c r="B393" s="60"/>
      <c r="C393" s="60"/>
      <c r="D393" s="20"/>
      <c r="E393" s="5"/>
      <c r="F393" s="18"/>
      <c r="G393" s="18"/>
    </row>
    <row r="394" spans="2:7">
      <c r="B394" s="60"/>
      <c r="C394" s="60"/>
      <c r="D394" s="20"/>
      <c r="E394" s="5"/>
      <c r="F394" s="18"/>
      <c r="G394" s="18"/>
    </row>
    <row r="395" spans="2:7">
      <c r="B395" s="60"/>
      <c r="C395" s="60"/>
      <c r="D395" s="20"/>
      <c r="E395" s="5"/>
      <c r="F395" s="18"/>
      <c r="G395" s="18"/>
    </row>
    <row r="396" spans="2:7">
      <c r="B396" s="60"/>
      <c r="C396" s="60"/>
      <c r="D396" s="20"/>
      <c r="E396" s="5"/>
      <c r="F396" s="18"/>
      <c r="G396" s="18"/>
    </row>
    <row r="397" spans="2:7">
      <c r="B397" s="60"/>
      <c r="C397" s="60"/>
      <c r="D397" s="20"/>
      <c r="E397" s="5"/>
      <c r="F397" s="18"/>
      <c r="G397" s="18"/>
    </row>
    <row r="398" spans="2:7">
      <c r="B398" s="60"/>
      <c r="C398" s="60"/>
      <c r="D398" s="20"/>
      <c r="E398" s="5"/>
      <c r="F398" s="18"/>
      <c r="G398" s="18"/>
    </row>
    <row r="399" spans="2:7">
      <c r="B399" s="60"/>
      <c r="C399" s="60"/>
      <c r="D399" s="20"/>
      <c r="E399" s="5"/>
      <c r="F399" s="18"/>
      <c r="G399" s="18"/>
    </row>
    <row r="400" spans="2:7">
      <c r="B400" s="60"/>
      <c r="C400" s="60"/>
      <c r="D400" s="20"/>
      <c r="E400" s="5"/>
      <c r="F400" s="18"/>
      <c r="G400" s="18"/>
    </row>
    <row r="401" spans="2:7">
      <c r="B401" s="60"/>
      <c r="C401" s="60"/>
      <c r="D401" s="20"/>
      <c r="E401" s="5"/>
      <c r="F401" s="18"/>
      <c r="G401" s="18"/>
    </row>
    <row r="402" spans="2:7">
      <c r="B402" s="60"/>
      <c r="C402" s="60"/>
      <c r="D402" s="20"/>
      <c r="E402" s="5"/>
      <c r="F402" s="18"/>
      <c r="G402" s="18"/>
    </row>
    <row r="403" spans="2:7">
      <c r="B403" s="60"/>
      <c r="C403" s="60"/>
      <c r="D403" s="20"/>
      <c r="E403" s="5"/>
      <c r="F403" s="18"/>
      <c r="G403" s="18"/>
    </row>
    <row r="404" spans="2:7">
      <c r="B404" s="60"/>
      <c r="C404" s="60"/>
      <c r="D404" s="20"/>
      <c r="E404" s="5"/>
      <c r="F404" s="18"/>
      <c r="G404" s="18"/>
    </row>
    <row r="405" spans="2:7">
      <c r="B405" s="60"/>
      <c r="C405" s="60"/>
      <c r="D405" s="20"/>
      <c r="E405" s="5"/>
      <c r="F405" s="18"/>
      <c r="G405" s="18"/>
    </row>
    <row r="406" spans="2:7">
      <c r="B406" s="60"/>
      <c r="C406" s="60"/>
      <c r="D406" s="20"/>
      <c r="E406" s="5"/>
      <c r="F406" s="18"/>
      <c r="G406" s="18"/>
    </row>
    <row r="407" spans="2:7">
      <c r="B407" s="60"/>
      <c r="C407" s="60"/>
      <c r="D407" s="20"/>
      <c r="E407" s="5"/>
      <c r="F407" s="18"/>
      <c r="G407" s="18"/>
    </row>
    <row r="408" spans="2:7">
      <c r="B408" s="60"/>
      <c r="C408" s="60"/>
      <c r="D408" s="20"/>
      <c r="E408" s="5"/>
      <c r="F408" s="18"/>
      <c r="G408" s="18"/>
    </row>
    <row r="409" spans="2:7">
      <c r="B409" s="60"/>
      <c r="C409" s="60"/>
      <c r="D409" s="20"/>
      <c r="E409" s="5"/>
      <c r="F409" s="18"/>
      <c r="G409" s="18"/>
    </row>
    <row r="410" spans="2:7">
      <c r="B410" s="60"/>
      <c r="C410" s="60"/>
      <c r="D410" s="20"/>
      <c r="E410" s="5"/>
      <c r="F410" s="18"/>
      <c r="G410" s="18"/>
    </row>
    <row r="411" spans="2:7">
      <c r="B411" s="60"/>
      <c r="C411" s="60"/>
      <c r="D411" s="20"/>
      <c r="E411" s="5"/>
      <c r="F411" s="18"/>
      <c r="G411" s="18"/>
    </row>
    <row r="412" spans="2:7">
      <c r="B412" s="60"/>
      <c r="C412" s="60"/>
      <c r="D412" s="20"/>
      <c r="E412" s="5"/>
      <c r="F412" s="18"/>
      <c r="G412" s="18"/>
    </row>
    <row r="413" spans="2:7">
      <c r="B413" s="60"/>
      <c r="C413" s="60"/>
      <c r="D413" s="20"/>
      <c r="E413" s="5"/>
      <c r="F413" s="18"/>
      <c r="G413" s="18"/>
    </row>
    <row r="414" spans="2:7">
      <c r="B414" s="60"/>
      <c r="C414" s="60"/>
      <c r="D414" s="20"/>
      <c r="E414" s="5"/>
      <c r="F414" s="18"/>
      <c r="G414" s="18"/>
    </row>
    <row r="415" spans="2:7">
      <c r="B415" s="60"/>
      <c r="C415" s="60"/>
      <c r="D415" s="20"/>
      <c r="E415" s="5"/>
      <c r="F415" s="18"/>
      <c r="G415" s="18"/>
    </row>
    <row r="416" spans="2:7">
      <c r="B416" s="60"/>
      <c r="C416" s="60"/>
      <c r="D416" s="20"/>
      <c r="E416" s="5"/>
      <c r="F416" s="18"/>
      <c r="G416" s="18"/>
    </row>
    <row r="417" spans="2:7">
      <c r="B417" s="60"/>
      <c r="C417" s="60"/>
      <c r="D417" s="20"/>
      <c r="E417" s="5"/>
      <c r="F417" s="18"/>
      <c r="G417" s="18"/>
    </row>
    <row r="418" spans="2:7">
      <c r="B418" s="60"/>
      <c r="C418" s="60"/>
      <c r="D418" s="20"/>
      <c r="E418" s="5"/>
      <c r="F418" s="18"/>
      <c r="G418" s="18"/>
    </row>
    <row r="419" spans="2:7">
      <c r="B419" s="60"/>
      <c r="C419" s="60"/>
      <c r="D419" s="20"/>
      <c r="E419" s="5"/>
      <c r="F419" s="18"/>
      <c r="G419" s="18"/>
    </row>
    <row r="420" spans="2:7">
      <c r="B420" s="60"/>
      <c r="C420" s="60"/>
      <c r="D420" s="20"/>
      <c r="E420" s="5"/>
      <c r="F420" s="18"/>
      <c r="G420" s="18"/>
    </row>
    <row r="421" spans="2:7">
      <c r="B421" s="60"/>
      <c r="C421" s="60"/>
      <c r="D421" s="20"/>
      <c r="E421" s="5"/>
      <c r="F421" s="18"/>
      <c r="G421" s="18"/>
    </row>
    <row r="422" spans="2:7">
      <c r="B422" s="60"/>
      <c r="C422" s="60"/>
      <c r="D422" s="20"/>
      <c r="E422" s="5"/>
      <c r="F422" s="18"/>
      <c r="G422" s="18"/>
    </row>
    <row r="423" spans="2:7">
      <c r="B423" s="60"/>
      <c r="C423" s="60"/>
      <c r="D423" s="20"/>
      <c r="E423" s="5"/>
      <c r="F423" s="18"/>
      <c r="G423" s="18"/>
    </row>
    <row r="424" spans="2:7">
      <c r="B424" s="60"/>
      <c r="C424" s="60"/>
      <c r="D424" s="20"/>
      <c r="E424" s="5"/>
      <c r="F424" s="18"/>
      <c r="G424" s="18"/>
    </row>
    <row r="425" spans="2:7">
      <c r="B425" s="60"/>
      <c r="C425" s="60"/>
      <c r="D425" s="20"/>
      <c r="E425" s="5"/>
      <c r="F425" s="18"/>
      <c r="G425" s="18"/>
    </row>
    <row r="426" spans="2:7">
      <c r="B426" s="60"/>
      <c r="C426" s="60"/>
      <c r="D426" s="20"/>
      <c r="E426" s="5"/>
      <c r="F426" s="18"/>
      <c r="G426" s="18"/>
    </row>
    <row r="427" spans="2:7">
      <c r="B427" s="60"/>
      <c r="C427" s="60"/>
      <c r="D427" s="20"/>
      <c r="E427" s="5"/>
      <c r="F427" s="18"/>
      <c r="G427" s="18"/>
    </row>
    <row r="428" spans="2:7">
      <c r="B428" s="60"/>
      <c r="C428" s="60"/>
      <c r="D428" s="20"/>
      <c r="E428" s="5"/>
      <c r="F428" s="18"/>
      <c r="G428" s="18"/>
    </row>
    <row r="429" spans="2:7">
      <c r="B429" s="60"/>
      <c r="C429" s="60"/>
      <c r="D429" s="20"/>
      <c r="E429" s="5"/>
      <c r="F429" s="18"/>
      <c r="G429" s="18"/>
    </row>
    <row r="430" spans="2:7">
      <c r="B430" s="60"/>
      <c r="C430" s="60"/>
      <c r="D430" s="20"/>
      <c r="E430" s="5"/>
      <c r="F430" s="18"/>
      <c r="G430" s="18"/>
    </row>
    <row r="431" spans="2:7">
      <c r="B431" s="60"/>
      <c r="C431" s="60"/>
      <c r="D431" s="20"/>
      <c r="E431" s="5"/>
      <c r="F431" s="18"/>
      <c r="G431" s="18"/>
    </row>
    <row r="432" spans="2:7">
      <c r="B432" s="60"/>
      <c r="C432" s="60"/>
      <c r="D432" s="20"/>
      <c r="E432" s="5"/>
      <c r="F432" s="18"/>
      <c r="G432" s="18"/>
    </row>
    <row r="433" spans="2:7">
      <c r="B433" s="60"/>
      <c r="C433" s="60"/>
      <c r="D433" s="20"/>
      <c r="E433" s="5"/>
      <c r="F433" s="18"/>
      <c r="G433" s="18"/>
    </row>
    <row r="434" spans="2:7">
      <c r="B434" s="60"/>
      <c r="C434" s="60"/>
      <c r="D434" s="20"/>
      <c r="E434" s="5"/>
      <c r="F434" s="18"/>
      <c r="G434" s="18"/>
    </row>
    <row r="435" spans="2:7">
      <c r="B435" s="60"/>
      <c r="C435" s="60"/>
      <c r="D435" s="20"/>
      <c r="E435" s="5"/>
      <c r="F435" s="18"/>
      <c r="G435" s="18"/>
    </row>
    <row r="436" spans="2:7">
      <c r="B436" s="60"/>
      <c r="C436" s="60"/>
      <c r="D436" s="20"/>
      <c r="E436" s="5"/>
      <c r="F436" s="18"/>
      <c r="G436" s="18"/>
    </row>
    <row r="437" spans="2:7">
      <c r="B437" s="60"/>
      <c r="C437" s="60"/>
      <c r="D437" s="20"/>
      <c r="E437" s="5"/>
      <c r="F437" s="18"/>
      <c r="G437" s="18"/>
    </row>
    <row r="438" spans="2:7">
      <c r="B438" s="60"/>
      <c r="C438" s="60"/>
      <c r="D438" s="20"/>
      <c r="E438" s="5"/>
      <c r="F438" s="18"/>
      <c r="G438" s="18"/>
    </row>
    <row r="439" spans="2:7">
      <c r="B439" s="60"/>
      <c r="C439" s="60"/>
      <c r="D439" s="20"/>
      <c r="E439" s="5"/>
      <c r="F439" s="18"/>
      <c r="G439" s="18"/>
    </row>
    <row r="440" spans="2:7">
      <c r="B440" s="60"/>
      <c r="C440" s="60"/>
      <c r="D440" s="20"/>
      <c r="E440" s="5"/>
      <c r="F440" s="18"/>
      <c r="G440" s="18"/>
    </row>
    <row r="441" spans="2:7">
      <c r="B441" s="60"/>
      <c r="C441" s="60"/>
      <c r="D441" s="20"/>
      <c r="E441" s="5"/>
      <c r="F441" s="18"/>
      <c r="G441" s="18"/>
    </row>
    <row r="442" spans="2:7">
      <c r="B442" s="60"/>
      <c r="C442" s="60"/>
      <c r="D442" s="20"/>
      <c r="E442" s="5"/>
      <c r="F442" s="18"/>
      <c r="G442" s="18"/>
    </row>
    <row r="443" spans="2:7">
      <c r="B443" s="60"/>
      <c r="C443" s="60"/>
      <c r="D443" s="20"/>
      <c r="E443" s="5"/>
      <c r="F443" s="18"/>
      <c r="G443" s="18"/>
    </row>
    <row r="444" spans="2:7">
      <c r="B444" s="60"/>
      <c r="C444" s="60"/>
      <c r="D444" s="20"/>
      <c r="E444" s="5"/>
      <c r="F444" s="18"/>
      <c r="G444" s="18"/>
    </row>
    <row r="445" spans="2:7">
      <c r="B445" s="60"/>
      <c r="C445" s="60"/>
      <c r="D445" s="20"/>
      <c r="E445" s="5"/>
      <c r="F445" s="18"/>
      <c r="G445" s="18"/>
    </row>
    <row r="446" spans="2:7">
      <c r="B446" s="60"/>
      <c r="C446" s="60"/>
      <c r="D446" s="20"/>
      <c r="E446" s="5"/>
      <c r="F446" s="18"/>
      <c r="G446" s="18"/>
    </row>
    <row r="447" spans="2:7">
      <c r="B447" s="60"/>
      <c r="C447" s="60"/>
      <c r="D447" s="20"/>
      <c r="E447" s="5"/>
      <c r="F447" s="18"/>
      <c r="G447" s="18"/>
    </row>
    <row r="448" spans="2:7">
      <c r="B448" s="60"/>
      <c r="C448" s="60"/>
      <c r="D448" s="20"/>
      <c r="E448" s="5"/>
      <c r="F448" s="18"/>
      <c r="G448" s="18"/>
    </row>
    <row r="449" spans="2:7">
      <c r="B449" s="60"/>
      <c r="C449" s="60"/>
      <c r="D449" s="20"/>
      <c r="E449" s="5"/>
      <c r="F449" s="18"/>
      <c r="G449" s="18"/>
    </row>
    <row r="450" spans="2:7">
      <c r="B450" s="60"/>
      <c r="C450" s="60"/>
      <c r="D450" s="20"/>
      <c r="E450" s="5"/>
      <c r="F450" s="18"/>
      <c r="G450" s="18"/>
    </row>
    <row r="451" spans="2:7">
      <c r="B451" s="60"/>
      <c r="C451" s="60"/>
      <c r="D451" s="20"/>
      <c r="E451" s="5"/>
      <c r="F451" s="18"/>
      <c r="G451" s="18"/>
    </row>
    <row r="452" spans="2:7">
      <c r="B452" s="60"/>
      <c r="C452" s="60"/>
      <c r="D452" s="20"/>
      <c r="E452" s="5"/>
      <c r="F452" s="18"/>
      <c r="G452" s="18"/>
    </row>
    <row r="453" spans="2:7">
      <c r="B453" s="60"/>
      <c r="C453" s="60"/>
      <c r="D453" s="20"/>
      <c r="E453" s="5"/>
      <c r="F453" s="18"/>
      <c r="G453" s="18"/>
    </row>
    <row r="454" spans="2:7">
      <c r="B454" s="60"/>
      <c r="C454" s="60"/>
      <c r="D454" s="20"/>
      <c r="E454" s="5"/>
      <c r="F454" s="18"/>
      <c r="G454" s="18"/>
    </row>
    <row r="455" spans="2:7">
      <c r="B455" s="60"/>
      <c r="C455" s="60"/>
      <c r="D455" s="20"/>
      <c r="E455" s="5"/>
      <c r="F455" s="18"/>
      <c r="G455" s="18"/>
    </row>
    <row r="456" spans="2:7">
      <c r="B456" s="60"/>
      <c r="C456" s="60"/>
      <c r="D456" s="20"/>
      <c r="E456" s="5"/>
      <c r="F456" s="18"/>
      <c r="G456" s="18"/>
    </row>
    <row r="457" spans="2:7">
      <c r="B457" s="60"/>
      <c r="C457" s="60"/>
      <c r="D457" s="20"/>
      <c r="E457" s="5"/>
      <c r="F457" s="18"/>
      <c r="G457" s="18"/>
    </row>
    <row r="458" spans="2:7">
      <c r="B458" s="60"/>
      <c r="C458" s="60"/>
      <c r="D458" s="20"/>
      <c r="E458" s="5"/>
      <c r="F458" s="18"/>
      <c r="G458" s="18"/>
    </row>
    <row r="459" spans="2:7">
      <c r="B459" s="60"/>
      <c r="C459" s="60"/>
      <c r="D459" s="20"/>
      <c r="E459" s="5"/>
      <c r="F459" s="18"/>
      <c r="G459" s="18"/>
    </row>
    <row r="460" spans="2:7">
      <c r="B460" s="60"/>
      <c r="C460" s="60"/>
      <c r="D460" s="20"/>
      <c r="E460" s="5"/>
      <c r="F460" s="18"/>
      <c r="G460" s="18"/>
    </row>
    <row r="461" spans="2:7">
      <c r="B461" s="60"/>
      <c r="C461" s="60"/>
      <c r="D461" s="20"/>
      <c r="E461" s="5"/>
      <c r="F461" s="18"/>
      <c r="G461" s="18"/>
    </row>
    <row r="462" spans="2:7">
      <c r="B462" s="60"/>
      <c r="C462" s="60"/>
      <c r="D462" s="20"/>
      <c r="E462" s="5"/>
      <c r="F462" s="18"/>
      <c r="G462" s="18"/>
    </row>
    <row r="463" spans="2:7">
      <c r="B463" s="60"/>
      <c r="C463" s="60"/>
      <c r="D463" s="20"/>
      <c r="E463" s="5"/>
      <c r="F463" s="18"/>
      <c r="G463" s="18"/>
    </row>
    <row r="464" spans="2:7">
      <c r="B464" s="60"/>
      <c r="C464" s="60"/>
      <c r="D464" s="20"/>
      <c r="E464" s="5"/>
      <c r="F464" s="18"/>
      <c r="G464" s="18"/>
    </row>
    <row r="465" spans="2:7">
      <c r="B465" s="60"/>
      <c r="C465" s="60"/>
      <c r="D465" s="20"/>
      <c r="E465" s="5"/>
      <c r="F465" s="18"/>
      <c r="G465" s="18"/>
    </row>
    <row r="466" spans="2:7">
      <c r="B466" s="60"/>
      <c r="C466" s="60"/>
      <c r="D466" s="20"/>
      <c r="E466" s="5"/>
      <c r="F466" s="18"/>
      <c r="G466" s="18"/>
    </row>
    <row r="467" spans="2:7">
      <c r="B467" s="60"/>
      <c r="C467" s="60"/>
      <c r="D467" s="20"/>
      <c r="E467" s="5"/>
      <c r="F467" s="18"/>
      <c r="G467" s="18"/>
    </row>
    <row r="468" spans="2:7">
      <c r="B468" s="60"/>
      <c r="C468" s="60"/>
      <c r="D468" s="20"/>
      <c r="E468" s="5"/>
      <c r="F468" s="18"/>
      <c r="G468" s="18"/>
    </row>
    <row r="469" spans="2:7">
      <c r="B469" s="60"/>
      <c r="C469" s="60"/>
      <c r="D469" s="20"/>
      <c r="E469" s="5"/>
      <c r="F469" s="18"/>
      <c r="G469" s="18"/>
    </row>
    <row r="470" spans="2:7">
      <c r="B470" s="60"/>
      <c r="C470" s="60"/>
      <c r="D470" s="20"/>
      <c r="E470" s="5"/>
      <c r="F470" s="18"/>
      <c r="G470" s="18"/>
    </row>
    <row r="471" spans="2:7">
      <c r="B471" s="60"/>
      <c r="C471" s="60"/>
      <c r="D471" s="20"/>
      <c r="E471" s="5"/>
      <c r="F471" s="18"/>
      <c r="G471" s="18"/>
    </row>
    <row r="472" spans="2:7">
      <c r="B472" s="60"/>
      <c r="C472" s="60"/>
      <c r="D472" s="20"/>
      <c r="E472" s="5"/>
      <c r="F472" s="18"/>
      <c r="G472" s="18"/>
    </row>
    <row r="473" spans="2:7">
      <c r="B473" s="60"/>
      <c r="C473" s="60"/>
      <c r="D473" s="20"/>
      <c r="E473" s="5"/>
      <c r="F473" s="18"/>
      <c r="G473" s="18"/>
    </row>
    <row r="474" spans="2:7">
      <c r="B474" s="60"/>
      <c r="C474" s="60"/>
      <c r="D474" s="20"/>
      <c r="E474" s="5"/>
      <c r="F474" s="18"/>
      <c r="G474" s="18"/>
    </row>
    <row r="475" spans="2:7">
      <c r="B475" s="60"/>
      <c r="C475" s="60"/>
      <c r="D475" s="20"/>
      <c r="E475" s="5"/>
      <c r="F475" s="18"/>
      <c r="G475" s="18"/>
    </row>
    <row r="476" spans="2:7">
      <c r="B476" s="60"/>
      <c r="C476" s="60"/>
      <c r="D476" s="20"/>
      <c r="E476" s="5"/>
      <c r="F476" s="18"/>
      <c r="G476" s="18"/>
    </row>
    <row r="477" spans="2:7">
      <c r="B477" s="60"/>
      <c r="C477" s="60"/>
      <c r="D477" s="20"/>
      <c r="E477" s="5"/>
      <c r="F477" s="18"/>
      <c r="G477" s="18"/>
    </row>
    <row r="478" spans="2:7">
      <c r="B478" s="60"/>
      <c r="C478" s="60"/>
      <c r="D478" s="20"/>
      <c r="E478" s="5"/>
      <c r="F478" s="18"/>
      <c r="G478" s="18"/>
    </row>
    <row r="479" spans="2:7">
      <c r="B479" s="60"/>
      <c r="C479" s="60"/>
      <c r="D479" s="20"/>
      <c r="E479" s="5"/>
      <c r="F479" s="18"/>
      <c r="G479" s="18"/>
    </row>
    <row r="480" spans="2:7">
      <c r="B480" s="60"/>
      <c r="C480" s="60"/>
      <c r="D480" s="20"/>
      <c r="E480" s="5"/>
      <c r="F480" s="18"/>
      <c r="G480" s="18"/>
    </row>
    <row r="481" spans="2:7">
      <c r="B481" s="60"/>
      <c r="C481" s="60"/>
      <c r="D481" s="20"/>
      <c r="E481" s="5"/>
      <c r="F481" s="18"/>
      <c r="G481" s="18"/>
    </row>
    <row r="482" spans="2:7">
      <c r="B482" s="60"/>
      <c r="C482" s="60"/>
      <c r="D482" s="20"/>
      <c r="E482" s="5"/>
      <c r="F482" s="18"/>
      <c r="G482" s="18"/>
    </row>
    <row r="483" spans="2:7">
      <c r="B483" s="60"/>
      <c r="C483" s="60"/>
      <c r="D483" s="20"/>
      <c r="E483" s="5"/>
      <c r="F483" s="18"/>
      <c r="G483" s="18"/>
    </row>
    <row r="484" spans="2:7">
      <c r="B484" s="60"/>
      <c r="C484" s="60"/>
      <c r="D484" s="20"/>
      <c r="E484" s="5"/>
      <c r="F484" s="18"/>
      <c r="G484" s="18"/>
    </row>
    <row r="485" spans="2:7">
      <c r="B485" s="60"/>
      <c r="C485" s="60"/>
      <c r="D485" s="20"/>
      <c r="E485" s="5"/>
      <c r="F485" s="18"/>
      <c r="G485" s="18"/>
    </row>
    <row r="486" spans="2:7">
      <c r="B486" s="60"/>
      <c r="C486" s="60"/>
      <c r="D486" s="20"/>
      <c r="E486" s="5"/>
      <c r="F486" s="18"/>
      <c r="G486" s="18"/>
    </row>
  </sheetData>
  <sortState ref="B3:G103">
    <sortCondition ref="G3:G103"/>
    <sortCondition ref="D3:D103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O25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defaultColWidth="8.75" defaultRowHeight="14.25"/>
  <cols>
    <col min="1" max="1" width="5.75" style="1" customWidth="1"/>
    <col min="2" max="2" width="14.625" style="1" bestFit="1" customWidth="1"/>
    <col min="3" max="15" width="11.75" style="1" customWidth="1"/>
    <col min="16" max="16384" width="8.75" style="1"/>
  </cols>
  <sheetData>
    <row r="1" spans="2:15" ht="9.9499999999999993" customHeight="1">
      <c r="C1" s="36">
        <v>1</v>
      </c>
      <c r="D1" s="36">
        <v>2</v>
      </c>
      <c r="E1" s="36">
        <v>3</v>
      </c>
      <c r="F1" s="36">
        <v>4</v>
      </c>
      <c r="G1" s="36">
        <v>5</v>
      </c>
      <c r="H1" s="36">
        <v>6</v>
      </c>
      <c r="I1" s="36">
        <v>7</v>
      </c>
      <c r="J1" s="36">
        <v>8</v>
      </c>
      <c r="K1" s="36">
        <v>9</v>
      </c>
      <c r="L1" s="36">
        <v>10</v>
      </c>
      <c r="M1" s="36">
        <v>11</v>
      </c>
      <c r="N1" s="36">
        <v>12</v>
      </c>
    </row>
    <row r="2" spans="2:15" ht="15">
      <c r="B2" s="38" t="s">
        <v>135</v>
      </c>
      <c r="C2" s="3" t="s">
        <v>14</v>
      </c>
      <c r="D2" s="3" t="s">
        <v>33</v>
      </c>
      <c r="E2" s="3" t="s">
        <v>55</v>
      </c>
      <c r="F2" s="3" t="s">
        <v>59</v>
      </c>
      <c r="G2" s="3" t="s">
        <v>64</v>
      </c>
      <c r="H2" s="3" t="s">
        <v>66</v>
      </c>
      <c r="I2" s="3" t="s">
        <v>70</v>
      </c>
      <c r="J2" s="3" t="s">
        <v>75</v>
      </c>
      <c r="K2" s="3" t="s">
        <v>81</v>
      </c>
      <c r="L2" s="3" t="s">
        <v>82</v>
      </c>
      <c r="M2" s="3" t="s">
        <v>83</v>
      </c>
      <c r="N2" s="3" t="s">
        <v>84</v>
      </c>
      <c r="O2" s="6">
        <v>2019</v>
      </c>
    </row>
    <row r="3" spans="2:15">
      <c r="B3" s="4" t="s">
        <v>136</v>
      </c>
      <c r="C3" s="24">
        <f>-(SUMIF('despesas (evento)'!$C$3:$C$9987,'Eventos e Doações'!C$1,'despesas (evento)'!$D$3:$D$9987))</f>
        <v>0</v>
      </c>
      <c r="D3" s="24">
        <f>-(SUMIF('despesas (evento)'!$C$3:$C$9987,'Eventos e Doações'!D$1,'despesas (evento)'!$D$3:$D$9987))</f>
        <v>0</v>
      </c>
      <c r="E3" s="24">
        <f>-(SUMIF('despesas (evento)'!$C$3:$C$9987,'Eventos e Doações'!E$1,'despesas (evento)'!$D$3:$D$9987))</f>
        <v>0</v>
      </c>
      <c r="F3" s="24">
        <f>-(SUMIF('despesas (evento)'!$C$3:$C$9987,'Eventos e Doações'!F$1,'despesas (evento)'!$D$3:$D$9987))</f>
        <v>0</v>
      </c>
      <c r="G3" s="24">
        <f>-(SUMIF('despesas (evento)'!$C$3:$C$9987,'Eventos e Doações'!G$1,'despesas (evento)'!$D$3:$D$9987))</f>
        <v>0</v>
      </c>
      <c r="H3" s="24">
        <f>-(SUMIF('despesas (evento)'!$C$3:$C$9987,'Eventos e Doações'!H$1,'despesas (evento)'!$D$3:$D$9987))</f>
        <v>0</v>
      </c>
      <c r="I3" s="24">
        <f>-(SUMIF('despesas (evento)'!$C$3:$C$9987,'Eventos e Doações'!I$1,'despesas (evento)'!$D$3:$D$9987))</f>
        <v>0</v>
      </c>
      <c r="J3" s="24">
        <f>-(SUMIF('despesas (evento)'!$C$3:$C$9987,'Eventos e Doações'!J$1,'despesas (evento)'!$D$3:$D$9987))</f>
        <v>-150</v>
      </c>
      <c r="K3" s="24">
        <f>-(SUMIF('despesas (evento)'!$C$3:$C$9987,'Eventos e Doações'!K$1,'despesas (evento)'!$D$3:$D$9987))</f>
        <v>0</v>
      </c>
      <c r="L3" s="24">
        <f>-(SUMIF('despesas (evento)'!$C$3:$C$9987,'Eventos e Doações'!L$1,'despesas (evento)'!$D$3:$D$9987))</f>
        <v>0</v>
      </c>
      <c r="M3" s="24">
        <f>-(SUMIF('despesas (evento)'!$C$3:$C$9987,'Eventos e Doações'!M$1,'despesas (evento)'!$D$3:$D$9987))</f>
        <v>0</v>
      </c>
      <c r="N3" s="24">
        <f>-(SUMIF('despesas (evento)'!$C$3:$C$9987,'Eventos e Doações'!N$1,'despesas (evento)'!$D$3:$D$9987))</f>
        <v>0</v>
      </c>
      <c r="O3" s="24">
        <f>SUM(C3:N3)</f>
        <v>-150</v>
      </c>
    </row>
    <row r="4" spans="2:15">
      <c r="B4" s="4" t="s">
        <v>137</v>
      </c>
      <c r="C4" s="24">
        <f>-(SUMIF('despesas (limpeza)'!$C$3:$C$10000,'Eventos e Doações'!C$1,'despesas (limpeza)'!$D$3:$D$10000))</f>
        <v>0</v>
      </c>
      <c r="D4" s="24">
        <f>-(SUMIF('despesas (limpeza)'!$C$3:$C$10000,'Eventos e Doações'!D$1,'despesas (limpeza)'!$D$3:$D$10000))</f>
        <v>0</v>
      </c>
      <c r="E4" s="24">
        <f>-(SUMIF('despesas (limpeza)'!$C$3:$C$10000,'Eventos e Doações'!E$1,'despesas (limpeza)'!$D$3:$D$10000))</f>
        <v>0</v>
      </c>
      <c r="F4" s="24">
        <f>-(SUMIF('despesas (limpeza)'!$C$3:$C$10000,'Eventos e Doações'!F$1,'despesas (limpeza)'!$D$3:$D$10000))</f>
        <v>0</v>
      </c>
      <c r="G4" s="24">
        <f>-(SUMIF('despesas (limpeza)'!$C$3:$C$10000,'Eventos e Doações'!G$1,'despesas (limpeza)'!$D$3:$D$10000))</f>
        <v>0</v>
      </c>
      <c r="H4" s="24">
        <f>-(SUMIF('despesas (limpeza)'!$C$3:$C$10000,'Eventos e Doações'!H$1,'despesas (limpeza)'!$D$3:$D$10000))</f>
        <v>0</v>
      </c>
      <c r="I4" s="24">
        <f>-(SUMIF('despesas (limpeza)'!$C$3:$C$10000,'Eventos e Doações'!I$1,'despesas (limpeza)'!$D$3:$D$10000))</f>
        <v>0</v>
      </c>
      <c r="J4" s="24">
        <f>-(SUMIF('despesas (limpeza)'!$C$3:$C$10000,'Eventos e Doações'!J$1,'despesas (limpeza)'!$D$3:$D$10000))</f>
        <v>0</v>
      </c>
      <c r="K4" s="24">
        <f>-(SUMIF('despesas (limpeza)'!$C$3:$C$10000,'Eventos e Doações'!K$1,'despesas (limpeza)'!$D$3:$D$10000))</f>
        <v>0</v>
      </c>
      <c r="L4" s="24">
        <f>-(SUMIF('despesas (limpeza)'!$C$3:$C$10000,'Eventos e Doações'!L$1,'despesas (limpeza)'!$D$3:$D$10000))</f>
        <v>0</v>
      </c>
      <c r="M4" s="24">
        <f>-(SUMIF('despesas (limpeza)'!$C$3:$C$10000,'Eventos e Doações'!M$1,'despesas (limpeza)'!$D$3:$D$10000))</f>
        <v>0</v>
      </c>
      <c r="N4" s="24">
        <f>-(SUMIF('despesas (limpeza)'!$C$3:$C$10000,'Eventos e Doações'!N$1,'despesas (limpeza)'!$D$3:$D$10000))</f>
        <v>0</v>
      </c>
      <c r="O4" s="24">
        <f t="shared" ref="O4:O6" si="0">SUM(C4:N4)</f>
        <v>0</v>
      </c>
    </row>
    <row r="5" spans="2:15">
      <c r="B5" s="4" t="s">
        <v>138</v>
      </c>
      <c r="C5" s="24">
        <f>-(SUMIF('despesas (descartavel)'!$C$3:$C$10002,'Eventos e Doações'!C$1,'despesas (descartavel)'!$D$3:$D$10002))</f>
        <v>0</v>
      </c>
      <c r="D5" s="24">
        <f>-(SUMIF('despesas (descartavel)'!$C$3:$C$10002,'Eventos e Doações'!D$1,'despesas (descartavel)'!$D$3:$D$10002))</f>
        <v>0</v>
      </c>
      <c r="E5" s="24">
        <f>-(SUMIF('despesas (descartavel)'!$C$3:$C$10002,'Eventos e Doações'!E$1,'despesas (descartavel)'!$D$3:$D$10002))</f>
        <v>0</v>
      </c>
      <c r="F5" s="24">
        <f>-(SUMIF('despesas (descartavel)'!$C$3:$C$10002,'Eventos e Doações'!F$1,'despesas (descartavel)'!$D$3:$D$10002))</f>
        <v>0</v>
      </c>
      <c r="G5" s="24">
        <f>-(SUMIF('despesas (descartavel)'!$C$3:$C$10002,'Eventos e Doações'!G$1,'despesas (descartavel)'!$D$3:$D$10002))</f>
        <v>0</v>
      </c>
      <c r="H5" s="24">
        <f>-(SUMIF('despesas (descartavel)'!$C$3:$C$10002,'Eventos e Doações'!H$1,'despesas (descartavel)'!$D$3:$D$10002))</f>
        <v>0</v>
      </c>
      <c r="I5" s="24">
        <f>-(SUMIF('despesas (descartavel)'!$C$3:$C$10002,'Eventos e Doações'!I$1,'despesas (descartavel)'!$D$3:$D$10002))</f>
        <v>0</v>
      </c>
      <c r="J5" s="24">
        <f>-(SUMIF('despesas (descartavel)'!$C$3:$C$10002,'Eventos e Doações'!J$1,'despesas (descartavel)'!$D$3:$D$10002))</f>
        <v>0</v>
      </c>
      <c r="K5" s="24">
        <f>-(SUMIF('despesas (descartavel)'!$C$3:$C$10002,'Eventos e Doações'!K$1,'despesas (descartavel)'!$D$3:$D$10002))</f>
        <v>0</v>
      </c>
      <c r="L5" s="24">
        <f>-(SUMIF('despesas (descartavel)'!$C$3:$C$10002,'Eventos e Doações'!L$1,'despesas (descartavel)'!$D$3:$D$10002))</f>
        <v>0</v>
      </c>
      <c r="M5" s="24">
        <f>-(SUMIF('despesas (descartavel)'!$C$3:$C$10002,'Eventos e Doações'!M$1,'despesas (descartavel)'!$D$3:$D$10002))</f>
        <v>0</v>
      </c>
      <c r="N5" s="24">
        <f>-(SUMIF('despesas (descartavel)'!$C$3:$C$10002,'Eventos e Doações'!N$1,'despesas (descartavel)'!$D$3:$D$10002))</f>
        <v>0</v>
      </c>
      <c r="O5" s="24">
        <f t="shared" si="0"/>
        <v>0</v>
      </c>
    </row>
    <row r="6" spans="2:15">
      <c r="B6" s="4" t="s">
        <v>139</v>
      </c>
      <c r="C6" s="24">
        <f>-(SUMIF('despesas (art religi)'!$C$3:$C$10002,'Eventos e Doações'!C$1,'despesas (art religi)'!$D$3:$D$10002))</f>
        <v>0</v>
      </c>
      <c r="D6" s="24">
        <f>-(SUMIF('despesas (art religi)'!$C$3:$C$10002,'Eventos e Doações'!D$1,'despesas (art religi)'!$D$3:$D$10002))</f>
        <v>0</v>
      </c>
      <c r="E6" s="24">
        <f>-(SUMIF('despesas (art religi)'!$C$3:$C$10002,'Eventos e Doações'!E$1,'despesas (art religi)'!$D$3:$D$10002))</f>
        <v>0</v>
      </c>
      <c r="F6" s="24">
        <f>-(SUMIF('despesas (art religi)'!$C$3:$C$10002,'Eventos e Doações'!F$1,'despesas (art religi)'!$D$3:$D$10002))</f>
        <v>0</v>
      </c>
      <c r="G6" s="24">
        <f>-(SUMIF('despesas (art religi)'!$C$3:$C$10002,'Eventos e Doações'!G$1,'despesas (art religi)'!$D$3:$D$10002))</f>
        <v>0</v>
      </c>
      <c r="H6" s="24">
        <f>-(SUMIF('despesas (art religi)'!$C$3:$C$10002,'Eventos e Doações'!H$1,'despesas (art religi)'!$D$3:$D$10002))</f>
        <v>0</v>
      </c>
      <c r="I6" s="24">
        <f>-(SUMIF('despesas (art religi)'!$C$3:$C$10002,'Eventos e Doações'!I$1,'despesas (art religi)'!$D$3:$D$10002))</f>
        <v>0</v>
      </c>
      <c r="J6" s="24">
        <f>-(SUMIF('despesas (art religi)'!$C$3:$C$10002,'Eventos e Doações'!J$1,'despesas (art religi)'!$D$3:$D$10002))</f>
        <v>-108</v>
      </c>
      <c r="K6" s="24">
        <f>-(SUMIF('despesas (art religi)'!$C$3:$C$10002,'Eventos e Doações'!K$1,'despesas (art religi)'!$D$3:$D$10002))</f>
        <v>-44</v>
      </c>
      <c r="L6" s="24">
        <f>-(SUMIF('despesas (art religi)'!$C$3:$C$10002,'Eventos e Doações'!L$1,'despesas (art religi)'!$D$3:$D$10002))</f>
        <v>0</v>
      </c>
      <c r="M6" s="24">
        <f>-(SUMIF('despesas (art religi)'!$C$3:$C$10002,'Eventos e Doações'!M$1,'despesas (art religi)'!$D$3:$D$10002))</f>
        <v>0</v>
      </c>
      <c r="N6" s="24">
        <f>-(SUMIF('despesas (art religi)'!$C$3:$C$10002,'Eventos e Doações'!N$1,'despesas (art religi)'!$D$3:$D$10002))</f>
        <v>0</v>
      </c>
      <c r="O6" s="24">
        <f t="shared" si="0"/>
        <v>-152</v>
      </c>
    </row>
    <row r="7" spans="2:15" ht="15" thickBot="1">
      <c r="B7" s="8" t="s">
        <v>140</v>
      </c>
      <c r="C7" s="26">
        <f>-(SUMIF('despesas (extra)'!$C$3:$C$10000,'Eventos e Doações'!C$1,'despesas (extra)'!$D$3:$D$10000))</f>
        <v>0</v>
      </c>
      <c r="D7" s="26">
        <f>-(SUMIF('despesas (extra)'!$C$3:$C$10000,'Eventos e Doações'!D$1,'despesas (extra)'!$D$3:$D$10000))</f>
        <v>0</v>
      </c>
      <c r="E7" s="26">
        <f>-(SUMIF('despesas (extra)'!$C$3:$C$10000,'Eventos e Doações'!E$1,'despesas (extra)'!$D$3:$D$10000))</f>
        <v>0</v>
      </c>
      <c r="F7" s="26">
        <f>-(SUMIF('despesas (extra)'!$C$3:$C$10000,'Eventos e Doações'!F$1,'despesas (extra)'!$D$3:$D$10000))</f>
        <v>0</v>
      </c>
      <c r="G7" s="26">
        <f>-(SUMIF('despesas (extra)'!$C$3:$C$10000,'Eventos e Doações'!G$1,'despesas (extra)'!$D$3:$D$10000))</f>
        <v>0</v>
      </c>
      <c r="H7" s="26">
        <f>-(SUMIF('despesas (extra)'!$C$3:$C$10000,'Eventos e Doações'!H$1,'despesas (extra)'!$D$3:$D$10000))</f>
        <v>0</v>
      </c>
      <c r="I7" s="26">
        <f>-(SUMIF('despesas (extra)'!$C$3:$C$10000,'Eventos e Doações'!I$1,'despesas (extra)'!$D$3:$D$10000))</f>
        <v>0</v>
      </c>
      <c r="J7" s="26">
        <f>-(SUMIF('despesas (extra)'!$C$3:$C$10000,'Eventos e Doações'!J$1,'despesas (extra)'!$D$3:$D$10000))</f>
        <v>0</v>
      </c>
      <c r="K7" s="26">
        <f>-(SUMIF('despesas (extra)'!$C$3:$C$10000,'Eventos e Doações'!K$1,'despesas (extra)'!$D$3:$D$10000))</f>
        <v>0</v>
      </c>
      <c r="L7" s="26">
        <f>-(SUMIF('despesas (extra)'!$C$3:$C$10000,'Eventos e Doações'!L$1,'despesas (extra)'!$D$3:$D$10000))</f>
        <v>0</v>
      </c>
      <c r="M7" s="26">
        <f>-(SUMIF('despesas (extra)'!$C$3:$C$10000,'Eventos e Doações'!M$1,'despesas (extra)'!$D$3:$D$10000))</f>
        <v>0</v>
      </c>
      <c r="N7" s="26">
        <f>-(SUMIF('despesas (extra)'!$C$3:$C$10000,'Eventos e Doações'!N$1,'despesas (extra)'!$D$3:$D$10000))</f>
        <v>0</v>
      </c>
      <c r="O7" s="26">
        <f t="shared" ref="O7" si="1">SUM(C7:N7)</f>
        <v>0</v>
      </c>
    </row>
    <row r="8" spans="2:15" ht="16.5" thickTop="1" thickBot="1">
      <c r="B8" s="7" t="s">
        <v>91</v>
      </c>
      <c r="C8" s="28">
        <f t="shared" ref="C8" si="2">SUM(C3:C7)</f>
        <v>0</v>
      </c>
      <c r="D8" s="28">
        <f t="shared" ref="D8" si="3">SUM(D3:D7)</f>
        <v>0</v>
      </c>
      <c r="E8" s="28">
        <f t="shared" ref="E8" si="4">SUM(E3:E7)</f>
        <v>0</v>
      </c>
      <c r="F8" s="28">
        <f t="shared" ref="F8" si="5">SUM(F3:F7)</f>
        <v>0</v>
      </c>
      <c r="G8" s="28">
        <f t="shared" ref="G8" si="6">SUM(G3:G7)</f>
        <v>0</v>
      </c>
      <c r="H8" s="28">
        <f t="shared" ref="H8" si="7">SUM(H3:H7)</f>
        <v>0</v>
      </c>
      <c r="I8" s="28">
        <f t="shared" ref="I8" si="8">SUM(I3:I7)</f>
        <v>0</v>
      </c>
      <c r="J8" s="28">
        <f t="shared" ref="J8" si="9">SUM(J3:J7)</f>
        <v>-258</v>
      </c>
      <c r="K8" s="28">
        <f t="shared" ref="K8" si="10">SUM(K3:K7)</f>
        <v>-44</v>
      </c>
      <c r="L8" s="28">
        <f t="shared" ref="L8" si="11">SUM(L3:L7)</f>
        <v>0</v>
      </c>
      <c r="M8" s="28">
        <f t="shared" ref="M8" si="12">SUM(M3:M7)</f>
        <v>0</v>
      </c>
      <c r="N8" s="28">
        <f t="shared" ref="N8" si="13">SUM(N3:N7)</f>
        <v>0</v>
      </c>
      <c r="O8" s="28">
        <f>SUM(O3:O7)</f>
        <v>-302</v>
      </c>
    </row>
    <row r="9" spans="2:15" ht="15" thickTop="1"/>
    <row r="10" spans="2:15" ht="15">
      <c r="B10" s="22" t="s">
        <v>92</v>
      </c>
      <c r="C10" s="45">
        <f>(C12+C8)</f>
        <v>0</v>
      </c>
      <c r="D10" s="45">
        <f>C10+(D12+D8)</f>
        <v>0</v>
      </c>
      <c r="E10" s="45">
        <f t="shared" ref="E10:N10" si="14">D10+(E12+E8)</f>
        <v>0</v>
      </c>
      <c r="F10" s="45">
        <f t="shared" si="14"/>
        <v>225</v>
      </c>
      <c r="G10" s="45">
        <f t="shared" si="14"/>
        <v>516</v>
      </c>
      <c r="H10" s="45">
        <f t="shared" si="14"/>
        <v>822</v>
      </c>
      <c r="I10" s="45">
        <f>H10+(I12+I8)</f>
        <v>1288</v>
      </c>
      <c r="J10" s="45">
        <f t="shared" si="14"/>
        <v>1438</v>
      </c>
      <c r="K10" s="45">
        <f t="shared" si="14"/>
        <v>1414</v>
      </c>
      <c r="L10" s="45">
        <f t="shared" si="14"/>
        <v>1414</v>
      </c>
      <c r="M10" s="45">
        <f t="shared" si="14"/>
        <v>1414</v>
      </c>
      <c r="N10" s="45">
        <f t="shared" si="14"/>
        <v>1414</v>
      </c>
      <c r="O10" s="47">
        <f>(O12+O8)</f>
        <v>1414</v>
      </c>
    </row>
    <row r="11" spans="2:15" ht="15" thickBot="1"/>
    <row r="12" spans="2:15" ht="16.5" thickTop="1" thickBot="1">
      <c r="B12" s="12" t="s">
        <v>91</v>
      </c>
      <c r="C12" s="13">
        <f t="shared" ref="C12:O12" si="15">SUM(C14:C19)</f>
        <v>0</v>
      </c>
      <c r="D12" s="13">
        <f t="shared" si="15"/>
        <v>0</v>
      </c>
      <c r="E12" s="13">
        <f t="shared" si="15"/>
        <v>0</v>
      </c>
      <c r="F12" s="13">
        <f t="shared" si="15"/>
        <v>225</v>
      </c>
      <c r="G12" s="13">
        <f t="shared" si="15"/>
        <v>291</v>
      </c>
      <c r="H12" s="13">
        <f t="shared" si="15"/>
        <v>306</v>
      </c>
      <c r="I12" s="13">
        <f t="shared" si="15"/>
        <v>466</v>
      </c>
      <c r="J12" s="13">
        <f t="shared" si="15"/>
        <v>408</v>
      </c>
      <c r="K12" s="13">
        <f t="shared" si="15"/>
        <v>20</v>
      </c>
      <c r="L12" s="13">
        <f t="shared" si="15"/>
        <v>0</v>
      </c>
      <c r="M12" s="13">
        <f t="shared" si="15"/>
        <v>0</v>
      </c>
      <c r="N12" s="13">
        <f t="shared" si="15"/>
        <v>0</v>
      </c>
      <c r="O12" s="13">
        <f t="shared" si="15"/>
        <v>1716</v>
      </c>
    </row>
    <row r="13" spans="2:15" ht="15.75" thickTop="1">
      <c r="B13" s="37" t="s">
        <v>141</v>
      </c>
      <c r="C13" s="10" t="s">
        <v>14</v>
      </c>
      <c r="D13" s="10" t="s">
        <v>33</v>
      </c>
      <c r="E13" s="10" t="s">
        <v>55</v>
      </c>
      <c r="F13" s="10" t="s">
        <v>59</v>
      </c>
      <c r="G13" s="10" t="s">
        <v>64</v>
      </c>
      <c r="H13" s="10" t="s">
        <v>66</v>
      </c>
      <c r="I13" s="10" t="s">
        <v>70</v>
      </c>
      <c r="J13" s="10" t="s">
        <v>75</v>
      </c>
      <c r="K13" s="10" t="s">
        <v>81</v>
      </c>
      <c r="L13" s="10" t="s">
        <v>82</v>
      </c>
      <c r="M13" s="10" t="s">
        <v>83</v>
      </c>
      <c r="N13" s="10" t="s">
        <v>84</v>
      </c>
      <c r="O13" s="11">
        <v>2019</v>
      </c>
    </row>
    <row r="14" spans="2:15">
      <c r="B14" s="4" t="s">
        <v>136</v>
      </c>
      <c r="C14" s="5">
        <f>eventos!C4</f>
        <v>0</v>
      </c>
      <c r="D14" s="5">
        <f>eventos!D4</f>
        <v>0</v>
      </c>
      <c r="E14" s="5">
        <f>eventos!E4</f>
        <v>0</v>
      </c>
      <c r="F14" s="5">
        <f>eventos!F4</f>
        <v>0</v>
      </c>
      <c r="G14" s="5">
        <f>eventos!G4</f>
        <v>0</v>
      </c>
      <c r="H14" s="5">
        <f>eventos!H4</f>
        <v>0</v>
      </c>
      <c r="I14" s="5">
        <f>eventos!I4</f>
        <v>0</v>
      </c>
      <c r="J14" s="5">
        <f>eventos!J4</f>
        <v>0</v>
      </c>
      <c r="K14" s="5">
        <f>eventos!K4</f>
        <v>0</v>
      </c>
      <c r="L14" s="5">
        <f>eventos!L4</f>
        <v>0</v>
      </c>
      <c r="M14" s="5">
        <f>eventos!M4</f>
        <v>0</v>
      </c>
      <c r="N14" s="5">
        <f>eventos!N4</f>
        <v>0</v>
      </c>
      <c r="O14" s="5">
        <f>SUM(C14:N14)</f>
        <v>0</v>
      </c>
    </row>
    <row r="15" spans="2:15">
      <c r="B15" s="4" t="s">
        <v>142</v>
      </c>
      <c r="C15" s="5">
        <f>SUMIF(arrecadações!$C$3:$C$10000,'Eventos e Doações'!C$1,arrecadações!$E$3:$E$10000)</f>
        <v>0</v>
      </c>
      <c r="D15" s="5">
        <f>SUMIF(arrecadações!$C$3:$C$10000,'Eventos e Doações'!D$1,arrecadações!$E$3:$E$10000)</f>
        <v>0</v>
      </c>
      <c r="E15" s="5">
        <f>SUMIF(arrecadações!$C$3:$C$10000,'Eventos e Doações'!E$1,arrecadações!$E$3:$E$10000)</f>
        <v>0</v>
      </c>
      <c r="F15" s="5">
        <f>SUMIF(arrecadações!$C$3:$C$10000,'Eventos e Doações'!F$1,arrecadações!$E$3:$E$10000)</f>
        <v>0</v>
      </c>
      <c r="G15" s="5">
        <f>SUMIF(arrecadações!$C$3:$C$10000,'Eventos e Doações'!G$1,arrecadações!$E$3:$E$10000)</f>
        <v>0</v>
      </c>
      <c r="H15" s="5">
        <f>SUMIF(arrecadações!$C$3:$C$10000,'Eventos e Doações'!H$1,arrecadações!$E$3:$E$10000)</f>
        <v>0</v>
      </c>
      <c r="I15" s="5">
        <f>SUMIF(arrecadações!$C$3:$C$10000,'Eventos e Doações'!I$1,arrecadações!$E$3:$E$10000)</f>
        <v>0</v>
      </c>
      <c r="J15" s="5">
        <f>SUMIF(arrecadações!$C$3:$C$10000,'Eventos e Doações'!J$1,arrecadações!$E$3:$E$10000)</f>
        <v>0</v>
      </c>
      <c r="K15" s="5">
        <f>SUMIF(arrecadações!$C$3:$C$10000,'Eventos e Doações'!K$1,arrecadações!$E$3:$E$10000)</f>
        <v>20</v>
      </c>
      <c r="L15" s="5">
        <f>SUMIF(arrecadações!$C$3:$C$10000,'Eventos e Doações'!L$1,arrecadações!$E$3:$E$10000)</f>
        <v>0</v>
      </c>
      <c r="M15" s="5">
        <f>SUMIF(arrecadações!$C$3:$C$10000,'Eventos e Doações'!M$1,arrecadações!$E$3:$E$10000)</f>
        <v>0</v>
      </c>
      <c r="N15" s="5">
        <f>SUMIF(arrecadações!$C$3:$C$10000,'Eventos e Doações'!N$1,arrecadações!$E$3:$E$10000)</f>
        <v>0</v>
      </c>
      <c r="O15" s="5">
        <f t="shared" ref="O15:O19" si="16">SUM(C15:N15)</f>
        <v>20</v>
      </c>
    </row>
    <row r="16" spans="2:15">
      <c r="B16" s="4" t="s">
        <v>143</v>
      </c>
      <c r="C16" s="5">
        <f>SUMIF(banho!$A$3:$A$10001,'Eventos e Doações'!C$1,banho!$E$3:$E$10001)</f>
        <v>0</v>
      </c>
      <c r="D16" s="5">
        <f>SUMIF(banho!$A$3:$A$10001,'Eventos e Doações'!D$1,banho!$E$3:$E$10001)</f>
        <v>0</v>
      </c>
      <c r="E16" s="5">
        <f>SUMIF(banho!$A$3:$A$10001,'Eventos e Doações'!E$1,banho!$E$3:$E$10001)</f>
        <v>0</v>
      </c>
      <c r="F16" s="5">
        <f>SUMIF(banho!$A$3:$A$10001,'Eventos e Doações'!F$1,banho!$E$3:$E$10001)</f>
        <v>0</v>
      </c>
      <c r="G16" s="5">
        <f>SUMIF(banho!$A$3:$A$10001,'Eventos e Doações'!G$1,banho!$E$3:$E$10001)</f>
        <v>6</v>
      </c>
      <c r="H16" s="5">
        <f>SUMIF(banho!$A$3:$A$10001,'Eventos e Doações'!H$1,banho!$E$3:$E$10001)</f>
        <v>6</v>
      </c>
      <c r="I16" s="5">
        <f>SUMIF(banho!$A$3:$A$10001,'Eventos e Doações'!I$1,banho!$E$3:$E$10001)</f>
        <v>16</v>
      </c>
      <c r="J16" s="5">
        <f>SUMIF(banho!$A$3:$A$10001,'Eventos e Doações'!J$1,banho!$E$3:$E$10001)</f>
        <v>18</v>
      </c>
      <c r="K16" s="5">
        <f>SUMIF(banho!$A$3:$A$10001,'Eventos e Doações'!K$1,banho!$E$3:$E$10001)</f>
        <v>0</v>
      </c>
      <c r="L16" s="5">
        <f>SUMIF(banho!$A$3:$A$10001,'Eventos e Doações'!L$1,banho!$E$3:$E$10001)</f>
        <v>0</v>
      </c>
      <c r="M16" s="5">
        <f>SUMIF(banho!$A$3:$A$10001,'Eventos e Doações'!M$1,banho!$E$3:$E$10001)</f>
        <v>0</v>
      </c>
      <c r="N16" s="5">
        <f>SUMIF(banho!$A$3:$A$10001,'Eventos e Doações'!N$1,banho!$E$3:$E$10001)</f>
        <v>0</v>
      </c>
      <c r="O16" s="5">
        <f t="shared" si="16"/>
        <v>46</v>
      </c>
    </row>
    <row r="17" spans="2:15">
      <c r="B17" s="4" t="s">
        <v>144</v>
      </c>
      <c r="C17" s="5">
        <f>SUMIF(Prato!$B:$B,'Eventos e Doações'!C1,Prato!$E:$E)</f>
        <v>0</v>
      </c>
      <c r="D17" s="5">
        <f>SUMIF(Prato!$B:$B,'Eventos e Doações'!D1,Prato!$E:$E)</f>
        <v>0</v>
      </c>
      <c r="E17" s="5">
        <f>SUMIF(Prato!$B:$B,'Eventos e Doações'!E1,Prato!$E:$E)</f>
        <v>0</v>
      </c>
      <c r="F17" s="5">
        <f>SUMIF(Prato!$B:$B,'Eventos e Doações'!F1,Prato!$E:$E)</f>
        <v>225</v>
      </c>
      <c r="G17" s="5">
        <f>SUMIF(Prato!$B:$B,'Eventos e Doações'!G1,Prato!$E:$E)</f>
        <v>285</v>
      </c>
      <c r="H17" s="5">
        <f>SUMIF(Prato!$B:$B,'Eventos e Doações'!H1,Prato!$E:$E)</f>
        <v>300</v>
      </c>
      <c r="I17" s="5">
        <f>SUMIF(Prato!$B:$B,'Eventos e Doações'!I1,Prato!$E:$E)</f>
        <v>225</v>
      </c>
      <c r="J17" s="5">
        <f>SUMIF(Prato!$B:$B,'Eventos e Doações'!J1,Prato!$E:$E)</f>
        <v>90</v>
      </c>
      <c r="K17" s="5">
        <f>SUMIF(Prato!$B:$B,'Eventos e Doações'!K1,Prato!$E:$E)</f>
        <v>0</v>
      </c>
      <c r="L17" s="5">
        <f>SUMIF(Prato!$B:$B,'Eventos e Doações'!L1,Prato!$E:$E)</f>
        <v>0</v>
      </c>
      <c r="M17" s="5">
        <f>SUMIF(Prato!$B:$B,'Eventos e Doações'!M1,Prato!$E:$E)</f>
        <v>0</v>
      </c>
      <c r="N17" s="5">
        <f>SUMIF(Prato!$B:$B,'Eventos e Doações'!N1,Prato!$E:$E)</f>
        <v>0</v>
      </c>
      <c r="O17" s="5">
        <f t="shared" si="16"/>
        <v>1125</v>
      </c>
    </row>
    <row r="18" spans="2:15">
      <c r="B18" s="4" t="s">
        <v>145</v>
      </c>
      <c r="C18" s="5">
        <f>SUMIF(Praia!$B:$B,'Eventos e Doações'!C$1,Praia!$E:$E)</f>
        <v>0</v>
      </c>
      <c r="D18" s="5">
        <f>SUMIF(Praia!$B:$B,'Eventos e Doações'!D$1,Praia!$E:$E)</f>
        <v>0</v>
      </c>
      <c r="E18" s="5">
        <f>SUMIF(Praia!$B:$B,'Eventos e Doações'!E$1,Praia!$E:$E)</f>
        <v>0</v>
      </c>
      <c r="F18" s="5">
        <f>SUMIF(Praia!$B:$B,'Eventos e Doações'!F$1,Praia!$E:$E)</f>
        <v>0</v>
      </c>
      <c r="G18" s="5">
        <f>SUMIF(Praia!$B:$B,'Eventos e Doações'!G$1,Praia!$E:$E)</f>
        <v>0</v>
      </c>
      <c r="H18" s="5">
        <f>SUMIF(Praia!$B:$B,'Eventos e Doações'!H$1,Praia!$E:$E)</f>
        <v>0</v>
      </c>
      <c r="I18" s="5">
        <f>SUMIF(Praia!$B:$B,'Eventos e Doações'!I$1,Praia!$E:$E)</f>
        <v>225</v>
      </c>
      <c r="J18" s="5">
        <f>SUMIF(Praia!$B:$B,'Eventos e Doações'!J$1,Praia!$E:$E)</f>
        <v>300</v>
      </c>
      <c r="K18" s="5">
        <f>SUMIF(Praia!$B:$B,'Eventos e Doações'!K$1,Praia!$E:$E)</f>
        <v>0</v>
      </c>
      <c r="L18" s="5">
        <f>SUMIF(Praia!$B:$B,'Eventos e Doações'!L$1,Praia!$E:$E)</f>
        <v>0</v>
      </c>
      <c r="M18" s="5">
        <f>SUMIF(Praia!$B:$B,'Eventos e Doações'!M$1,Praia!$E:$E)</f>
        <v>0</v>
      </c>
      <c r="N18" s="5">
        <f>SUMIF(Praia!$B:$B,'Eventos e Doações'!N$1,Praia!$E:$E)</f>
        <v>0</v>
      </c>
      <c r="O18" s="5">
        <f t="shared" si="16"/>
        <v>525</v>
      </c>
    </row>
    <row r="19" spans="2:15">
      <c r="B19" s="4" t="s">
        <v>146</v>
      </c>
      <c r="C19" s="5">
        <f>SUMIF(descarrego!$C$3:$C$10000,'Eventos e Doações'!C$1,descarrego!$E$3:$E$10000)</f>
        <v>0</v>
      </c>
      <c r="D19" s="5">
        <f>SUMIF(descarrego!$C$3:$C$10000,'Eventos e Doações'!D$1,descarrego!$E$3:$E$10000)</f>
        <v>0</v>
      </c>
      <c r="E19" s="5">
        <f>SUMIF(descarrego!$C$3:$C$10000,'Eventos e Doações'!E$1,descarrego!$E$3:$E$10000)</f>
        <v>0</v>
      </c>
      <c r="F19" s="5">
        <f>SUMIF(descarrego!$C$3:$C$10000,'Eventos e Doações'!F$1,descarrego!$E$3:$E$10000)</f>
        <v>0</v>
      </c>
      <c r="G19" s="5">
        <f>SUMIF(descarrego!$C$3:$C$10000,'Eventos e Doações'!G$1,descarrego!$E$3:$E$10000)</f>
        <v>0</v>
      </c>
      <c r="H19" s="5">
        <f>SUMIF(descarrego!$C$3:$C$10000,'Eventos e Doações'!H$1,descarrego!$E$3:$E$10000)</f>
        <v>0</v>
      </c>
      <c r="I19" s="5">
        <f>SUMIF(descarrego!$C$3:$C$10000,'Eventos e Doações'!I$1,descarrego!$E$3:$E$10000)</f>
        <v>0</v>
      </c>
      <c r="J19" s="5">
        <f>SUMIF(descarrego!$C$3:$C$10000,'Eventos e Doações'!J$1,descarrego!$E$3:$E$10000)</f>
        <v>0</v>
      </c>
      <c r="K19" s="5">
        <f>SUMIF(descarrego!$C$3:$C$10000,'Eventos e Doações'!K$1,descarrego!$E$3:$E$10000)</f>
        <v>0</v>
      </c>
      <c r="L19" s="5">
        <f>SUMIF(descarrego!$C$3:$C$10000,'Eventos e Doações'!L$1,descarrego!$E$3:$E$10000)</f>
        <v>0</v>
      </c>
      <c r="M19" s="5">
        <f>SUMIF(descarrego!$C$3:$C$10000,'Eventos e Doações'!M$1,descarrego!$E$3:$E$10000)</f>
        <v>0</v>
      </c>
      <c r="N19" s="5">
        <f>SUMIF(descarrego!$C$3:$C$10000,'Eventos e Doações'!N$1,descarrego!$E$3:$E$10000)</f>
        <v>0</v>
      </c>
      <c r="O19" s="5">
        <f t="shared" si="16"/>
        <v>0</v>
      </c>
    </row>
    <row r="20" spans="2:15">
      <c r="G20" s="1" t="s">
        <v>78</v>
      </c>
    </row>
    <row r="21" spans="2:15" s="32" customFormat="1">
      <c r="B21" s="31" t="s">
        <v>136</v>
      </c>
      <c r="C21" s="30" t="s">
        <v>147</v>
      </c>
      <c r="D21" s="30"/>
      <c r="E21" s="30" t="s">
        <v>148</v>
      </c>
      <c r="F21" s="30" t="s">
        <v>149</v>
      </c>
      <c r="G21" s="30" t="s">
        <v>150</v>
      </c>
      <c r="H21" s="30" t="s">
        <v>151</v>
      </c>
      <c r="I21" s="30" t="s">
        <v>152</v>
      </c>
      <c r="J21" s="30" t="s">
        <v>153</v>
      </c>
      <c r="K21" s="30"/>
      <c r="L21" s="30"/>
      <c r="M21" s="30" t="s">
        <v>154</v>
      </c>
      <c r="N21" s="30" t="s">
        <v>155</v>
      </c>
      <c r="O21" s="30"/>
    </row>
    <row r="25" spans="2:15">
      <c r="L25" s="14"/>
    </row>
  </sheetData>
  <pageMargins left="0.70866141732283472" right="0.70866141732283472" top="0.74803149606299213" bottom="0.74803149606299213" header="0.31496062992125984" footer="0.31496062992125984"/>
  <pageSetup paperSize="9" scale="68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O66"/>
  <sheetViews>
    <sheetView showGridLines="0" workbookViewId="0">
      <pane xSplit="2" ySplit="5" topLeftCell="H6" activePane="bottomRight" state="frozen"/>
      <selection pane="topRight" activeCell="E58" sqref="E58"/>
      <selection pane="bottomLeft" activeCell="E58" sqref="E58"/>
      <selection pane="bottomRight" activeCell="H4" sqref="H4"/>
    </sheetView>
  </sheetViews>
  <sheetFormatPr defaultColWidth="8.75" defaultRowHeight="14.25"/>
  <cols>
    <col min="1" max="1" width="5.75" style="1" customWidth="1"/>
    <col min="2" max="2" width="19.5" style="1" bestFit="1" customWidth="1"/>
    <col min="3" max="3" width="10.25" style="1" bestFit="1" customWidth="1"/>
    <col min="4" max="4" width="9.75" style="1" customWidth="1"/>
    <col min="5" max="5" width="11.625" style="1" bestFit="1" customWidth="1"/>
    <col min="6" max="10" width="9.75" style="1" customWidth="1"/>
    <col min="11" max="11" width="13.375" style="1" bestFit="1" customWidth="1"/>
    <col min="12" max="15" width="9.75" style="1" customWidth="1"/>
    <col min="16" max="16384" width="8.75" style="1"/>
  </cols>
  <sheetData>
    <row r="1" spans="2:15" ht="9.9499999999999993" customHeight="1"/>
    <row r="2" spans="2:15" s="32" customFormat="1">
      <c r="B2" s="31" t="s">
        <v>136</v>
      </c>
      <c r="C2" s="30"/>
      <c r="D2" s="30"/>
      <c r="E2" s="30"/>
      <c r="F2" s="30" t="s">
        <v>149</v>
      </c>
      <c r="G2" s="30" t="s">
        <v>150</v>
      </c>
      <c r="H2" s="30" t="s">
        <v>151</v>
      </c>
      <c r="I2" s="30" t="s">
        <v>152</v>
      </c>
      <c r="J2" s="30" t="s">
        <v>156</v>
      </c>
      <c r="K2" s="30" t="s">
        <v>157</v>
      </c>
      <c r="L2" s="30"/>
      <c r="M2" s="30"/>
      <c r="N2" s="30"/>
      <c r="O2" s="30"/>
    </row>
    <row r="3" spans="2:15" ht="9.9499999999999993" customHeight="1" thickBot="1"/>
    <row r="4" spans="2:15" ht="16.5" thickTop="1" thickBot="1">
      <c r="B4" s="12" t="s">
        <v>158</v>
      </c>
      <c r="C4" s="13">
        <f t="shared" ref="C4:N4" si="0">SUM(C6:C94)</f>
        <v>0</v>
      </c>
      <c r="D4" s="13">
        <f t="shared" si="0"/>
        <v>0</v>
      </c>
      <c r="E4" s="13">
        <f t="shared" si="0"/>
        <v>0</v>
      </c>
      <c r="F4" s="13">
        <f t="shared" si="0"/>
        <v>0</v>
      </c>
      <c r="G4" s="13">
        <f t="shared" si="0"/>
        <v>0</v>
      </c>
      <c r="H4" s="13">
        <f t="shared" si="0"/>
        <v>0</v>
      </c>
      <c r="I4" s="13">
        <f t="shared" si="0"/>
        <v>0</v>
      </c>
      <c r="J4" s="13">
        <f t="shared" si="0"/>
        <v>0</v>
      </c>
      <c r="K4" s="13">
        <f t="shared" si="0"/>
        <v>0</v>
      </c>
      <c r="L4" s="13">
        <f t="shared" si="0"/>
        <v>0</v>
      </c>
      <c r="M4" s="13">
        <f t="shared" si="0"/>
        <v>0</v>
      </c>
      <c r="N4" s="13">
        <f t="shared" si="0"/>
        <v>0</v>
      </c>
      <c r="O4" s="13">
        <f t="shared" ref="O4" si="1">SUM(C4:N4)</f>
        <v>0</v>
      </c>
    </row>
    <row r="5" spans="2:15" ht="15" thickTop="1">
      <c r="B5" s="9"/>
      <c r="C5" s="10" t="s">
        <v>14</v>
      </c>
      <c r="D5" s="10" t="s">
        <v>33</v>
      </c>
      <c r="E5" s="10" t="s">
        <v>55</v>
      </c>
      <c r="F5" s="10" t="s">
        <v>59</v>
      </c>
      <c r="G5" s="10" t="s">
        <v>64</v>
      </c>
      <c r="H5" s="10" t="s">
        <v>66</v>
      </c>
      <c r="I5" s="10" t="s">
        <v>70</v>
      </c>
      <c r="J5" s="10" t="s">
        <v>75</v>
      </c>
      <c r="K5" s="10" t="s">
        <v>81</v>
      </c>
      <c r="L5" s="10" t="s">
        <v>82</v>
      </c>
      <c r="M5" s="10" t="s">
        <v>83</v>
      </c>
      <c r="N5" s="10" t="s">
        <v>84</v>
      </c>
      <c r="O5" s="11">
        <v>2019</v>
      </c>
    </row>
    <row r="6" spans="2:15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2:15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2:15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2:15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2:15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2:15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2:15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2:15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2:1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2:15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2:15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2:15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2:15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2:15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2:15"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2:15"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2:15"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2:15"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2:15"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2:15"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2:15"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2:15"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2:15"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2:15"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2:15"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2:15">
      <c r="B34" s="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2:15">
      <c r="B35" s="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2:15"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2:15">
      <c r="B37" s="4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2:15"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2:15">
      <c r="B39" s="4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2:15">
      <c r="B40" s="4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2:15">
      <c r="B41" s="4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2:15">
      <c r="B42" s="4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2:15"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2:15"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2:15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5">
      <c r="B46" s="4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2:15">
      <c r="B47" s="4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2:15">
      <c r="B48" s="4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2:15">
      <c r="B49" s="4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2:15">
      <c r="B50" s="4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2:15">
      <c r="B51" s="4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2:15">
      <c r="B52" s="4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2:15">
      <c r="B53" s="4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2:15">
      <c r="B54" s="4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2:15">
      <c r="B55" s="4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2:15">
      <c r="B56" s="4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2:15">
      <c r="B57" s="4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2:15"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2:15">
      <c r="B59" s="4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2:15">
      <c r="B60" s="4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2:15">
      <c r="B61" s="4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2:15">
      <c r="B62" s="4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2:15">
      <c r="B63" s="4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2:1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2:15">
      <c r="B65" s="4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2:15">
      <c r="B66" s="4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</sheetData>
  <autoFilter ref="B5:O58"/>
  <printOptions horizontalCentered="1"/>
  <pageMargins left="0.31496062992125984" right="0.31496062992125984" top="0.74803149606299213" bottom="0.74803149606299213" header="0.31496062992125984" footer="0.31496062992125984"/>
  <pageSetup paperSize="9" scale="5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196"/>
  <sheetViews>
    <sheetView showGridLines="0" workbookViewId="0">
      <selection activeCell="H4" sqref="H4"/>
    </sheetView>
  </sheetViews>
  <sheetFormatPr defaultRowHeight="14.25"/>
  <cols>
    <col min="2" max="2" width="3" bestFit="1" customWidth="1"/>
    <col min="3" max="3" width="7.75" style="132" bestFit="1" customWidth="1"/>
    <col min="4" max="4" width="9.875" bestFit="1" customWidth="1"/>
    <col min="5" max="5" width="10.375" bestFit="1" customWidth="1"/>
    <col min="6" max="7" width="9" customWidth="1"/>
    <col min="10" max="10" width="14.5" bestFit="1" customWidth="1"/>
    <col min="13" max="13" width="14.875" bestFit="1" customWidth="1"/>
  </cols>
  <sheetData>
    <row r="1" spans="2:13">
      <c r="B1" s="136"/>
      <c r="D1" s="136"/>
      <c r="E1" s="48"/>
      <c r="F1" s="136"/>
      <c r="G1" s="136"/>
      <c r="H1" s="136"/>
      <c r="I1" s="136"/>
      <c r="J1" s="136"/>
      <c r="K1" s="136"/>
      <c r="L1" s="136"/>
      <c r="M1" s="136"/>
    </row>
    <row r="2" spans="2:13" ht="15">
      <c r="B2" s="15" t="s">
        <v>7</v>
      </c>
      <c r="C2" s="133" t="s">
        <v>8</v>
      </c>
      <c r="D2" s="16" t="s">
        <v>9</v>
      </c>
      <c r="E2" s="16" t="s">
        <v>105</v>
      </c>
      <c r="F2" s="17" t="s">
        <v>11</v>
      </c>
      <c r="G2" s="16" t="s">
        <v>12</v>
      </c>
      <c r="H2" s="136"/>
      <c r="I2" s="136"/>
      <c r="J2" s="118" t="s">
        <v>159</v>
      </c>
      <c r="K2" s="136"/>
      <c r="L2" s="136"/>
      <c r="M2" s="118" t="s">
        <v>160</v>
      </c>
    </row>
    <row r="3" spans="2:13">
      <c r="B3" s="60">
        <f>IF(G3="","",MONTH(G3))</f>
        <v>7</v>
      </c>
      <c r="C3" s="134" t="s">
        <v>70</v>
      </c>
      <c r="D3" s="20" t="s">
        <v>32</v>
      </c>
      <c r="E3" s="5">
        <v>75</v>
      </c>
      <c r="F3" s="18" t="s">
        <v>16</v>
      </c>
      <c r="G3" s="18">
        <v>43656</v>
      </c>
      <c r="H3" s="136"/>
      <c r="I3" s="136"/>
      <c r="J3" s="107">
        <v>2243</v>
      </c>
      <c r="K3" s="136"/>
      <c r="L3" s="136"/>
      <c r="M3" s="61">
        <f>ROUND(SUM(J3+J6)/150,0)</f>
        <v>22</v>
      </c>
    </row>
    <row r="4" spans="2:13">
      <c r="B4" s="60">
        <f t="shared" ref="B4:B7" si="0">IF(G4="","",MONTH(G4))</f>
        <v>7</v>
      </c>
      <c r="C4" s="134" t="s">
        <v>70</v>
      </c>
      <c r="D4" s="20" t="s">
        <v>31</v>
      </c>
      <c r="E4" s="5">
        <v>75</v>
      </c>
      <c r="F4" s="18" t="s">
        <v>16</v>
      </c>
      <c r="G4" s="18">
        <v>43656</v>
      </c>
      <c r="H4" s="136"/>
      <c r="I4" s="136"/>
      <c r="J4" s="136"/>
      <c r="K4" s="136"/>
      <c r="L4" s="136"/>
      <c r="M4" s="136"/>
    </row>
    <row r="5" spans="2:13" ht="15">
      <c r="B5" s="60">
        <f t="shared" si="0"/>
        <v>7</v>
      </c>
      <c r="C5" s="134" t="s">
        <v>70</v>
      </c>
      <c r="D5" s="20" t="s">
        <v>74</v>
      </c>
      <c r="E5" s="5">
        <v>75</v>
      </c>
      <c r="F5" s="18" t="s">
        <v>16</v>
      </c>
      <c r="G5" s="18">
        <v>43656</v>
      </c>
      <c r="H5" s="136"/>
      <c r="I5" s="136"/>
      <c r="J5" s="118" t="s">
        <v>161</v>
      </c>
      <c r="K5" s="136"/>
      <c r="L5" s="136"/>
      <c r="M5" s="118" t="s">
        <v>162</v>
      </c>
    </row>
    <row r="6" spans="2:13">
      <c r="B6" s="60">
        <f t="shared" si="0"/>
        <v>8</v>
      </c>
      <c r="C6" s="134" t="s">
        <v>75</v>
      </c>
      <c r="D6" s="20" t="s">
        <v>37</v>
      </c>
      <c r="E6" s="5">
        <v>150</v>
      </c>
      <c r="F6" s="18" t="s">
        <v>16</v>
      </c>
      <c r="G6" s="18">
        <v>43697</v>
      </c>
      <c r="H6" s="136"/>
      <c r="I6" s="136"/>
      <c r="J6" s="107">
        <v>1000</v>
      </c>
      <c r="K6" s="136"/>
      <c r="L6" s="136"/>
      <c r="M6" s="69">
        <f>SUM(E:E)</f>
        <v>525</v>
      </c>
    </row>
    <row r="7" spans="2:13">
      <c r="B7" s="60">
        <f t="shared" si="0"/>
        <v>8</v>
      </c>
      <c r="C7" s="134" t="s">
        <v>75</v>
      </c>
      <c r="D7" s="20" t="s">
        <v>38</v>
      </c>
      <c r="E7" s="5">
        <v>150</v>
      </c>
      <c r="F7" s="18" t="s">
        <v>16</v>
      </c>
      <c r="G7" s="18">
        <v>43697</v>
      </c>
      <c r="H7" s="136"/>
      <c r="I7" s="136"/>
      <c r="J7" s="136"/>
      <c r="K7" s="136"/>
      <c r="L7" s="136"/>
      <c r="M7" s="136"/>
    </row>
    <row r="8" spans="2:13">
      <c r="B8" s="60"/>
      <c r="C8" s="134"/>
      <c r="D8" s="20"/>
      <c r="E8" s="5"/>
      <c r="F8" s="18"/>
      <c r="G8" s="18"/>
      <c r="H8" s="136"/>
      <c r="I8" s="136"/>
      <c r="J8" s="136"/>
      <c r="K8" s="136"/>
      <c r="L8" s="136"/>
      <c r="M8" s="136"/>
    </row>
    <row r="9" spans="2:13">
      <c r="B9" s="60"/>
      <c r="C9" s="134"/>
      <c r="D9" s="20"/>
      <c r="E9" s="5"/>
      <c r="F9" s="18"/>
      <c r="G9" s="18"/>
      <c r="H9" s="136"/>
      <c r="I9" s="136"/>
      <c r="J9" s="136"/>
      <c r="K9" s="136"/>
      <c r="L9" s="136"/>
      <c r="M9" s="136"/>
    </row>
    <row r="10" spans="2:13">
      <c r="B10" s="60"/>
      <c r="C10" s="134"/>
      <c r="D10" s="20"/>
      <c r="E10" s="5"/>
      <c r="F10" s="18"/>
      <c r="G10" s="18"/>
      <c r="H10" s="136"/>
      <c r="I10" s="136"/>
      <c r="J10" s="136"/>
      <c r="K10" s="136"/>
      <c r="L10" s="136"/>
      <c r="M10" s="136"/>
    </row>
    <row r="11" spans="2:13">
      <c r="B11" s="60"/>
      <c r="C11" s="134"/>
      <c r="D11" s="20"/>
      <c r="E11" s="5"/>
      <c r="F11" s="18"/>
      <c r="G11" s="18"/>
      <c r="H11" s="136"/>
      <c r="I11" s="136"/>
      <c r="J11" s="136"/>
      <c r="K11" s="136"/>
      <c r="L11" s="136"/>
      <c r="M11" s="136"/>
    </row>
    <row r="12" spans="2:13">
      <c r="B12" s="60"/>
      <c r="C12" s="134"/>
      <c r="D12" s="20"/>
      <c r="E12" s="5"/>
      <c r="F12" s="18"/>
      <c r="G12" s="18"/>
      <c r="H12" s="136"/>
      <c r="I12" s="136"/>
      <c r="J12" s="136"/>
      <c r="K12" s="136"/>
      <c r="L12" s="136"/>
      <c r="M12" s="136"/>
    </row>
    <row r="13" spans="2:13">
      <c r="B13" s="60"/>
      <c r="C13" s="134"/>
      <c r="D13" s="20"/>
      <c r="E13" s="5"/>
      <c r="F13" s="18"/>
      <c r="G13" s="18"/>
      <c r="H13" s="136"/>
      <c r="I13" s="136"/>
      <c r="J13" s="136"/>
      <c r="K13" s="136"/>
      <c r="L13" s="136"/>
      <c r="M13" s="136"/>
    </row>
    <row r="14" spans="2:13">
      <c r="B14" s="60"/>
      <c r="C14" s="134"/>
      <c r="D14" s="20"/>
      <c r="E14" s="5"/>
      <c r="F14" s="18"/>
      <c r="G14" s="18"/>
      <c r="H14" s="136"/>
      <c r="I14" s="136"/>
      <c r="J14" s="136"/>
      <c r="K14" s="136"/>
      <c r="L14" s="136"/>
      <c r="M14" s="136"/>
    </row>
    <row r="15" spans="2:13">
      <c r="B15" s="60"/>
      <c r="C15" s="134"/>
      <c r="D15" s="20"/>
      <c r="E15" s="5"/>
      <c r="F15" s="18"/>
      <c r="G15" s="18"/>
      <c r="H15" s="136"/>
      <c r="I15" s="136"/>
      <c r="J15" s="136"/>
      <c r="K15" s="136"/>
      <c r="L15" s="136"/>
      <c r="M15" s="136"/>
    </row>
    <row r="16" spans="2:13">
      <c r="B16" s="60"/>
      <c r="C16" s="134"/>
      <c r="D16" s="20"/>
      <c r="E16" s="5"/>
      <c r="F16" s="18"/>
      <c r="G16" s="18"/>
      <c r="H16" s="136"/>
      <c r="I16" s="136"/>
      <c r="J16" s="136"/>
      <c r="K16" s="136"/>
      <c r="L16" s="136"/>
      <c r="M16" s="136"/>
    </row>
    <row r="17" spans="2:7">
      <c r="B17" s="60"/>
      <c r="C17" s="134"/>
      <c r="D17" s="20"/>
      <c r="E17" s="5"/>
      <c r="F17" s="18"/>
      <c r="G17" s="18"/>
    </row>
    <row r="18" spans="2:7">
      <c r="B18" s="60"/>
      <c r="C18" s="134"/>
      <c r="D18" s="20"/>
      <c r="E18" s="5"/>
      <c r="F18" s="18"/>
      <c r="G18" s="18"/>
    </row>
    <row r="19" spans="2:7">
      <c r="B19" s="60"/>
      <c r="C19" s="134"/>
      <c r="D19" s="20"/>
      <c r="E19" s="5"/>
      <c r="F19" s="18"/>
      <c r="G19" s="18"/>
    </row>
    <row r="20" spans="2:7">
      <c r="B20" s="60"/>
      <c r="C20" s="134"/>
      <c r="D20" s="20"/>
      <c r="E20" s="5"/>
      <c r="F20" s="18"/>
      <c r="G20" s="18"/>
    </row>
    <row r="21" spans="2:7">
      <c r="B21" s="60"/>
      <c r="C21" s="134"/>
      <c r="D21" s="20"/>
      <c r="E21" s="5"/>
      <c r="F21" s="18"/>
      <c r="G21" s="18"/>
    </row>
    <row r="22" spans="2:7">
      <c r="B22" s="60"/>
      <c r="C22" s="134"/>
      <c r="D22" s="20"/>
      <c r="E22" s="5"/>
      <c r="F22" s="18"/>
      <c r="G22" s="18"/>
    </row>
    <row r="23" spans="2:7">
      <c r="B23" s="60"/>
      <c r="C23" s="134"/>
      <c r="D23" s="20"/>
      <c r="E23" s="5"/>
      <c r="F23" s="18"/>
      <c r="G23" s="18"/>
    </row>
    <row r="24" spans="2:7">
      <c r="B24" s="60"/>
      <c r="C24" s="134"/>
      <c r="D24" s="20"/>
      <c r="E24" s="5"/>
      <c r="F24" s="18"/>
      <c r="G24" s="18"/>
    </row>
    <row r="25" spans="2:7">
      <c r="B25" s="60"/>
      <c r="C25" s="134"/>
      <c r="D25" s="20"/>
      <c r="E25" s="5"/>
      <c r="F25" s="18"/>
      <c r="G25" s="18"/>
    </row>
    <row r="26" spans="2:7">
      <c r="B26" s="60"/>
      <c r="C26" s="134"/>
      <c r="D26" s="20"/>
      <c r="E26" s="5"/>
      <c r="F26" s="18"/>
      <c r="G26" s="18"/>
    </row>
    <row r="27" spans="2:7">
      <c r="B27" s="60"/>
      <c r="C27" s="134"/>
      <c r="D27" s="20"/>
      <c r="E27" s="5"/>
      <c r="F27" s="18"/>
      <c r="G27" s="18"/>
    </row>
    <row r="28" spans="2:7">
      <c r="B28" s="60"/>
      <c r="C28" s="134"/>
      <c r="D28" s="20"/>
      <c r="E28" s="5"/>
      <c r="F28" s="18"/>
      <c r="G28" s="18"/>
    </row>
    <row r="29" spans="2:7">
      <c r="B29" s="60"/>
      <c r="C29" s="134"/>
      <c r="D29" s="20"/>
      <c r="E29" s="5"/>
      <c r="F29" s="18"/>
      <c r="G29" s="18"/>
    </row>
    <row r="30" spans="2:7">
      <c r="B30" s="60"/>
      <c r="C30" s="134"/>
      <c r="D30" s="20"/>
      <c r="E30" s="5"/>
      <c r="F30" s="18"/>
      <c r="G30" s="18"/>
    </row>
    <row r="31" spans="2:7">
      <c r="B31" s="60"/>
      <c r="C31" s="134"/>
      <c r="D31" s="20"/>
      <c r="E31" s="5"/>
      <c r="F31" s="18"/>
      <c r="G31" s="18"/>
    </row>
    <row r="32" spans="2:7">
      <c r="B32" s="60"/>
      <c r="C32" s="134"/>
      <c r="D32" s="20"/>
      <c r="E32" s="5"/>
      <c r="F32" s="18"/>
      <c r="G32" s="18"/>
    </row>
    <row r="33" spans="2:7">
      <c r="B33" s="60"/>
      <c r="C33" s="134"/>
      <c r="D33" s="20"/>
      <c r="E33" s="5"/>
      <c r="F33" s="18"/>
      <c r="G33" s="18"/>
    </row>
    <row r="34" spans="2:7">
      <c r="B34" s="60"/>
      <c r="C34" s="134"/>
      <c r="D34" s="20"/>
      <c r="E34" s="5"/>
      <c r="F34" s="18"/>
      <c r="G34" s="18"/>
    </row>
    <row r="35" spans="2:7">
      <c r="B35" s="60"/>
      <c r="C35" s="134"/>
      <c r="D35" s="20"/>
      <c r="E35" s="5"/>
      <c r="F35" s="18"/>
      <c r="G35" s="18"/>
    </row>
    <row r="36" spans="2:7">
      <c r="B36" s="60"/>
      <c r="C36" s="134"/>
      <c r="D36" s="20"/>
      <c r="E36" s="5"/>
      <c r="F36" s="18"/>
      <c r="G36" s="18"/>
    </row>
    <row r="37" spans="2:7">
      <c r="B37" s="60"/>
      <c r="C37" s="134"/>
      <c r="D37" s="20"/>
      <c r="E37" s="5"/>
      <c r="F37" s="18"/>
      <c r="G37" s="18"/>
    </row>
    <row r="38" spans="2:7">
      <c r="B38" s="60"/>
      <c r="C38" s="134"/>
      <c r="D38" s="20"/>
      <c r="E38" s="5"/>
      <c r="F38" s="18"/>
      <c r="G38" s="18"/>
    </row>
    <row r="39" spans="2:7">
      <c r="B39" s="60"/>
      <c r="C39" s="134"/>
      <c r="D39" s="20"/>
      <c r="E39" s="5"/>
      <c r="F39" s="18"/>
      <c r="G39" s="18"/>
    </row>
    <row r="40" spans="2:7">
      <c r="B40" s="60"/>
      <c r="C40" s="134"/>
      <c r="D40" s="20"/>
      <c r="E40" s="5"/>
      <c r="F40" s="18"/>
      <c r="G40" s="18"/>
    </row>
    <row r="41" spans="2:7">
      <c r="B41" s="60"/>
      <c r="C41" s="134"/>
      <c r="D41" s="20"/>
      <c r="E41" s="5"/>
      <c r="F41" s="18"/>
      <c r="G41" s="18"/>
    </row>
    <row r="42" spans="2:7">
      <c r="B42" s="60"/>
      <c r="C42" s="134"/>
      <c r="D42" s="20"/>
      <c r="E42" s="5"/>
      <c r="F42" s="18"/>
      <c r="G42" s="18"/>
    </row>
    <row r="43" spans="2:7">
      <c r="B43" s="60"/>
      <c r="C43" s="134"/>
      <c r="D43" s="20"/>
      <c r="E43" s="5"/>
      <c r="F43" s="18"/>
      <c r="G43" s="18"/>
    </row>
    <row r="44" spans="2:7">
      <c r="B44" s="60"/>
      <c r="C44" s="134"/>
      <c r="D44" s="20"/>
      <c r="E44" s="5"/>
      <c r="F44" s="18"/>
      <c r="G44" s="18"/>
    </row>
    <row r="45" spans="2:7">
      <c r="B45" s="60"/>
      <c r="C45" s="134"/>
      <c r="D45" s="20"/>
      <c r="E45" s="5"/>
      <c r="F45" s="18"/>
      <c r="G45" s="18"/>
    </row>
    <row r="46" spans="2:7">
      <c r="B46" s="60"/>
      <c r="C46" s="134"/>
      <c r="D46" s="20"/>
      <c r="E46" s="5"/>
      <c r="F46" s="18"/>
      <c r="G46" s="18"/>
    </row>
    <row r="47" spans="2:7">
      <c r="B47" s="60"/>
      <c r="C47" s="134"/>
      <c r="D47" s="20"/>
      <c r="E47" s="5"/>
      <c r="F47" s="18"/>
      <c r="G47" s="18"/>
    </row>
    <row r="48" spans="2:7">
      <c r="B48" s="60"/>
      <c r="C48" s="134"/>
      <c r="D48" s="20"/>
      <c r="E48" s="5"/>
      <c r="F48" s="18"/>
      <c r="G48" s="18"/>
    </row>
    <row r="49" spans="2:7">
      <c r="B49" s="60"/>
      <c r="C49" s="134"/>
      <c r="D49" s="20"/>
      <c r="E49" s="5"/>
      <c r="F49" s="18"/>
      <c r="G49" s="18"/>
    </row>
    <row r="50" spans="2:7">
      <c r="B50" s="60"/>
      <c r="C50" s="134"/>
      <c r="D50" s="20"/>
      <c r="E50" s="5"/>
      <c r="F50" s="18"/>
      <c r="G50" s="18"/>
    </row>
    <row r="51" spans="2:7">
      <c r="B51" s="60"/>
      <c r="C51" s="134"/>
      <c r="D51" s="20"/>
      <c r="E51" s="5"/>
      <c r="F51" s="18"/>
      <c r="G51" s="18"/>
    </row>
    <row r="52" spans="2:7">
      <c r="B52" s="60"/>
      <c r="C52" s="134"/>
      <c r="D52" s="20"/>
      <c r="E52" s="5"/>
      <c r="F52" s="18"/>
      <c r="G52" s="18"/>
    </row>
    <row r="53" spans="2:7">
      <c r="B53" s="60"/>
      <c r="C53" s="134"/>
      <c r="D53" s="20"/>
      <c r="E53" s="5"/>
      <c r="F53" s="18"/>
      <c r="G53" s="18"/>
    </row>
    <row r="54" spans="2:7">
      <c r="B54" s="60"/>
      <c r="C54" s="134"/>
      <c r="D54" s="20"/>
      <c r="E54" s="5"/>
      <c r="F54" s="18"/>
      <c r="G54" s="18"/>
    </row>
    <row r="55" spans="2:7">
      <c r="B55" s="60"/>
      <c r="C55" s="134"/>
      <c r="D55" s="20"/>
      <c r="E55" s="5"/>
      <c r="F55" s="18"/>
      <c r="G55" s="18"/>
    </row>
    <row r="56" spans="2:7">
      <c r="B56" s="60"/>
      <c r="C56" s="134"/>
      <c r="D56" s="20"/>
      <c r="E56" s="5"/>
      <c r="F56" s="18"/>
      <c r="G56" s="18"/>
    </row>
    <row r="57" spans="2:7">
      <c r="B57" s="60"/>
      <c r="C57" s="134"/>
      <c r="D57" s="20"/>
      <c r="E57" s="5"/>
      <c r="F57" s="18"/>
      <c r="G57" s="18"/>
    </row>
    <row r="58" spans="2:7">
      <c r="B58" s="60"/>
      <c r="C58" s="134"/>
      <c r="D58" s="20"/>
      <c r="E58" s="5"/>
      <c r="F58" s="18"/>
      <c r="G58" s="18"/>
    </row>
    <row r="59" spans="2:7">
      <c r="B59" s="60"/>
      <c r="C59" s="134"/>
      <c r="D59" s="20"/>
      <c r="E59" s="5"/>
      <c r="F59" s="18"/>
      <c r="G59" s="18"/>
    </row>
    <row r="60" spans="2:7">
      <c r="B60" s="60"/>
      <c r="C60" s="134"/>
      <c r="D60" s="20"/>
      <c r="E60" s="5"/>
      <c r="F60" s="18"/>
      <c r="G60" s="18"/>
    </row>
    <row r="61" spans="2:7">
      <c r="B61" s="60"/>
      <c r="C61" s="134"/>
      <c r="D61" s="20"/>
      <c r="E61" s="5"/>
      <c r="F61" s="18"/>
      <c r="G61" s="18"/>
    </row>
    <row r="62" spans="2:7">
      <c r="B62" s="60"/>
      <c r="C62" s="134"/>
      <c r="D62" s="20"/>
      <c r="E62" s="5"/>
      <c r="F62" s="18"/>
      <c r="G62" s="18"/>
    </row>
    <row r="63" spans="2:7">
      <c r="B63" s="60"/>
      <c r="C63" s="134"/>
      <c r="D63" s="20"/>
      <c r="E63" s="5"/>
      <c r="F63" s="18"/>
      <c r="G63" s="18"/>
    </row>
    <row r="64" spans="2:7">
      <c r="B64" s="60"/>
      <c r="C64" s="134"/>
      <c r="D64" s="20"/>
      <c r="E64" s="5"/>
      <c r="F64" s="18"/>
      <c r="G64" s="18"/>
    </row>
    <row r="65" spans="2:7">
      <c r="B65" s="60"/>
      <c r="C65" s="134"/>
      <c r="D65" s="20"/>
      <c r="E65" s="5"/>
      <c r="F65" s="18"/>
      <c r="G65" s="18"/>
    </row>
    <row r="66" spans="2:7">
      <c r="B66" s="60"/>
      <c r="C66" s="134"/>
      <c r="D66" s="20"/>
      <c r="E66" s="5"/>
      <c r="F66" s="18"/>
      <c r="G66" s="18"/>
    </row>
    <row r="67" spans="2:7">
      <c r="B67" s="60"/>
      <c r="C67" s="134"/>
      <c r="D67" s="20"/>
      <c r="E67" s="5"/>
      <c r="F67" s="18"/>
      <c r="G67" s="18"/>
    </row>
    <row r="68" spans="2:7">
      <c r="B68" s="60"/>
      <c r="C68" s="134"/>
      <c r="D68" s="20"/>
      <c r="E68" s="5"/>
      <c r="F68" s="18"/>
      <c r="G68" s="18"/>
    </row>
    <row r="69" spans="2:7">
      <c r="B69" s="60"/>
      <c r="C69" s="134"/>
      <c r="D69" s="20"/>
      <c r="E69" s="5"/>
      <c r="F69" s="18"/>
      <c r="G69" s="18"/>
    </row>
    <row r="70" spans="2:7">
      <c r="B70" s="60"/>
      <c r="C70" s="134"/>
      <c r="D70" s="20"/>
      <c r="E70" s="5"/>
      <c r="F70" s="18"/>
      <c r="G70" s="18"/>
    </row>
    <row r="71" spans="2:7">
      <c r="B71" s="60"/>
      <c r="C71" s="134"/>
      <c r="D71" s="20"/>
      <c r="E71" s="5"/>
      <c r="F71" s="18"/>
      <c r="G71" s="18"/>
    </row>
    <row r="72" spans="2:7">
      <c r="B72" s="60"/>
      <c r="C72" s="134"/>
      <c r="D72" s="20"/>
      <c r="E72" s="5"/>
      <c r="F72" s="18"/>
      <c r="G72" s="18"/>
    </row>
    <row r="73" spans="2:7">
      <c r="B73" s="60"/>
      <c r="C73" s="134"/>
      <c r="D73" s="20"/>
      <c r="E73" s="5"/>
      <c r="F73" s="18"/>
      <c r="G73" s="18"/>
    </row>
    <row r="74" spans="2:7">
      <c r="B74" s="60"/>
      <c r="C74" s="134"/>
      <c r="D74" s="20"/>
      <c r="E74" s="5"/>
      <c r="F74" s="18"/>
      <c r="G74" s="18"/>
    </row>
    <row r="75" spans="2:7">
      <c r="B75" s="60"/>
      <c r="C75" s="134"/>
      <c r="D75" s="20"/>
      <c r="E75" s="5"/>
      <c r="F75" s="18"/>
      <c r="G75" s="18"/>
    </row>
    <row r="76" spans="2:7">
      <c r="B76" s="60"/>
      <c r="C76" s="134"/>
      <c r="D76" s="20"/>
      <c r="E76" s="5"/>
      <c r="F76" s="18"/>
      <c r="G76" s="18"/>
    </row>
    <row r="77" spans="2:7">
      <c r="B77" s="60"/>
      <c r="C77" s="134"/>
      <c r="D77" s="20"/>
      <c r="E77" s="5"/>
      <c r="F77" s="18"/>
      <c r="G77" s="18"/>
    </row>
    <row r="78" spans="2:7">
      <c r="B78" s="60"/>
      <c r="C78" s="134"/>
      <c r="D78" s="20"/>
      <c r="E78" s="5"/>
      <c r="F78" s="18"/>
      <c r="G78" s="18"/>
    </row>
    <row r="79" spans="2:7">
      <c r="B79" s="60"/>
      <c r="C79" s="134"/>
      <c r="D79" s="20"/>
      <c r="E79" s="5"/>
      <c r="F79" s="18"/>
      <c r="G79" s="18"/>
    </row>
    <row r="80" spans="2:7">
      <c r="B80" s="60"/>
      <c r="C80" s="134"/>
      <c r="D80" s="20"/>
      <c r="E80" s="5"/>
      <c r="F80" s="18"/>
      <c r="G80" s="18"/>
    </row>
    <row r="81" spans="2:7">
      <c r="B81" s="60"/>
      <c r="C81" s="134"/>
      <c r="D81" s="20"/>
      <c r="E81" s="5"/>
      <c r="F81" s="18"/>
      <c r="G81" s="18"/>
    </row>
    <row r="82" spans="2:7">
      <c r="B82" s="60"/>
      <c r="C82" s="134"/>
      <c r="D82" s="20"/>
      <c r="E82" s="5"/>
      <c r="F82" s="18"/>
      <c r="G82" s="18"/>
    </row>
    <row r="83" spans="2:7">
      <c r="B83" s="60"/>
      <c r="C83" s="134"/>
      <c r="D83" s="20"/>
      <c r="E83" s="5"/>
      <c r="F83" s="18"/>
      <c r="G83" s="18"/>
    </row>
    <row r="84" spans="2:7">
      <c r="B84" s="60"/>
      <c r="C84" s="134"/>
      <c r="D84" s="20"/>
      <c r="E84" s="5"/>
      <c r="F84" s="18"/>
      <c r="G84" s="18"/>
    </row>
    <row r="85" spans="2:7">
      <c r="B85" s="60"/>
      <c r="C85" s="134"/>
      <c r="D85" s="20"/>
      <c r="E85" s="5"/>
      <c r="F85" s="18"/>
      <c r="G85" s="18"/>
    </row>
    <row r="86" spans="2:7">
      <c r="B86" s="60"/>
      <c r="C86" s="134"/>
      <c r="D86" s="20"/>
      <c r="E86" s="5"/>
      <c r="F86" s="18"/>
      <c r="G86" s="18"/>
    </row>
    <row r="87" spans="2:7">
      <c r="B87" s="60"/>
      <c r="C87" s="134"/>
      <c r="D87" s="20"/>
      <c r="E87" s="5"/>
      <c r="F87" s="18"/>
      <c r="G87" s="18"/>
    </row>
    <row r="88" spans="2:7">
      <c r="B88" s="60"/>
      <c r="C88" s="134"/>
      <c r="D88" s="20"/>
      <c r="E88" s="5"/>
      <c r="F88" s="18"/>
      <c r="G88" s="18"/>
    </row>
    <row r="89" spans="2:7">
      <c r="B89" s="60"/>
      <c r="C89" s="134"/>
      <c r="D89" s="20"/>
      <c r="E89" s="5"/>
      <c r="F89" s="18"/>
      <c r="G89" s="18"/>
    </row>
    <row r="90" spans="2:7">
      <c r="B90" s="60"/>
      <c r="C90" s="134"/>
      <c r="D90" s="20"/>
      <c r="E90" s="5"/>
      <c r="F90" s="18"/>
      <c r="G90" s="18"/>
    </row>
    <row r="91" spans="2:7">
      <c r="B91" s="60"/>
      <c r="C91" s="134"/>
      <c r="D91" s="20"/>
      <c r="E91" s="5"/>
      <c r="F91" s="18"/>
      <c r="G91" s="18"/>
    </row>
    <row r="92" spans="2:7">
      <c r="B92" s="60"/>
      <c r="C92" s="134"/>
      <c r="D92" s="20"/>
      <c r="E92" s="5"/>
      <c r="F92" s="18"/>
      <c r="G92" s="18"/>
    </row>
    <row r="93" spans="2:7">
      <c r="B93" s="60"/>
      <c r="C93" s="134"/>
      <c r="D93" s="20"/>
      <c r="E93" s="5"/>
      <c r="F93" s="18"/>
      <c r="G93" s="18"/>
    </row>
    <row r="94" spans="2:7">
      <c r="B94" s="60"/>
      <c r="C94" s="134"/>
      <c r="D94" s="20"/>
      <c r="E94" s="5"/>
      <c r="F94" s="18"/>
      <c r="G94" s="18"/>
    </row>
    <row r="95" spans="2:7">
      <c r="B95" s="60"/>
      <c r="C95" s="134"/>
      <c r="D95" s="20"/>
      <c r="E95" s="5"/>
      <c r="F95" s="18"/>
      <c r="G95" s="18"/>
    </row>
    <row r="96" spans="2:7">
      <c r="B96" s="60"/>
      <c r="C96" s="134"/>
      <c r="D96" s="20"/>
      <c r="E96" s="5"/>
      <c r="F96" s="18"/>
      <c r="G96" s="18"/>
    </row>
    <row r="97" spans="2:7">
      <c r="B97" s="60"/>
      <c r="C97" s="134"/>
      <c r="D97" s="20"/>
      <c r="E97" s="5"/>
      <c r="F97" s="18"/>
      <c r="G97" s="18"/>
    </row>
    <row r="98" spans="2:7">
      <c r="B98" s="60"/>
      <c r="C98" s="134"/>
      <c r="D98" s="20"/>
      <c r="E98" s="5"/>
      <c r="F98" s="18"/>
      <c r="G98" s="18"/>
    </row>
    <row r="99" spans="2:7">
      <c r="B99" s="60"/>
      <c r="C99" s="134"/>
      <c r="D99" s="20"/>
      <c r="E99" s="5"/>
      <c r="F99" s="18"/>
      <c r="G99" s="18"/>
    </row>
    <row r="100" spans="2:7">
      <c r="B100" s="60"/>
      <c r="C100" s="134"/>
      <c r="D100" s="20"/>
      <c r="E100" s="5"/>
      <c r="F100" s="18"/>
      <c r="G100" s="18"/>
    </row>
    <row r="101" spans="2:7">
      <c r="B101" s="60"/>
      <c r="C101" s="134"/>
      <c r="D101" s="20"/>
      <c r="E101" s="5"/>
      <c r="F101" s="18"/>
      <c r="G101" s="18"/>
    </row>
    <row r="102" spans="2:7">
      <c r="B102" s="60"/>
      <c r="C102" s="134"/>
      <c r="D102" s="20"/>
      <c r="E102" s="5"/>
      <c r="F102" s="18"/>
      <c r="G102" s="18"/>
    </row>
    <row r="103" spans="2:7">
      <c r="B103" s="60"/>
      <c r="C103" s="134"/>
      <c r="D103" s="20"/>
      <c r="E103" s="5"/>
      <c r="F103" s="18"/>
      <c r="G103" s="18"/>
    </row>
    <row r="104" spans="2:7">
      <c r="B104" s="60"/>
      <c r="C104" s="134"/>
      <c r="D104" s="20"/>
      <c r="E104" s="5"/>
      <c r="F104" s="18"/>
      <c r="G104" s="18"/>
    </row>
    <row r="105" spans="2:7">
      <c r="B105" s="60"/>
      <c r="C105" s="134"/>
      <c r="D105" s="20"/>
      <c r="E105" s="5"/>
      <c r="F105" s="18"/>
      <c r="G105" s="18"/>
    </row>
    <row r="106" spans="2:7">
      <c r="B106" s="60"/>
      <c r="C106" s="134"/>
      <c r="D106" s="20"/>
      <c r="E106" s="5"/>
      <c r="F106" s="18"/>
      <c r="G106" s="18"/>
    </row>
    <row r="107" spans="2:7">
      <c r="B107" s="60"/>
      <c r="C107" s="134"/>
      <c r="D107" s="20"/>
      <c r="E107" s="5"/>
      <c r="F107" s="18"/>
      <c r="G107" s="18"/>
    </row>
    <row r="108" spans="2:7">
      <c r="B108" s="60"/>
      <c r="C108" s="134"/>
      <c r="D108" s="20"/>
      <c r="E108" s="5"/>
      <c r="F108" s="18"/>
      <c r="G108" s="18"/>
    </row>
    <row r="109" spans="2:7">
      <c r="B109" s="60"/>
      <c r="C109" s="134"/>
      <c r="D109" s="20"/>
      <c r="E109" s="5"/>
      <c r="F109" s="18"/>
      <c r="G109" s="18"/>
    </row>
    <row r="110" spans="2:7">
      <c r="B110" s="60"/>
      <c r="C110" s="134"/>
      <c r="D110" s="20"/>
      <c r="E110" s="5"/>
      <c r="F110" s="18"/>
      <c r="G110" s="18"/>
    </row>
    <row r="111" spans="2:7">
      <c r="B111" s="60"/>
      <c r="C111" s="134"/>
      <c r="D111" s="20"/>
      <c r="E111" s="5"/>
      <c r="F111" s="18"/>
      <c r="G111" s="18"/>
    </row>
    <row r="112" spans="2:7">
      <c r="B112" s="60"/>
      <c r="C112" s="134"/>
      <c r="D112" s="20"/>
      <c r="E112" s="5"/>
      <c r="F112" s="18"/>
      <c r="G112" s="18"/>
    </row>
    <row r="113" spans="2:7">
      <c r="B113" s="60"/>
      <c r="C113" s="134"/>
      <c r="D113" s="20"/>
      <c r="E113" s="5"/>
      <c r="F113" s="18"/>
      <c r="G113" s="18"/>
    </row>
    <row r="114" spans="2:7">
      <c r="B114" s="60"/>
      <c r="C114" s="134"/>
      <c r="D114" s="20"/>
      <c r="E114" s="5"/>
      <c r="F114" s="18"/>
      <c r="G114" s="18"/>
    </row>
    <row r="115" spans="2:7">
      <c r="B115" s="60"/>
      <c r="C115" s="134"/>
      <c r="D115" s="20"/>
      <c r="E115" s="5"/>
      <c r="F115" s="18"/>
      <c r="G115" s="18"/>
    </row>
    <row r="116" spans="2:7">
      <c r="B116" s="60"/>
      <c r="C116" s="134"/>
      <c r="D116" s="20"/>
      <c r="E116" s="5"/>
      <c r="F116" s="18"/>
      <c r="G116" s="18"/>
    </row>
    <row r="117" spans="2:7">
      <c r="B117" s="60"/>
      <c r="C117" s="134"/>
      <c r="D117" s="20"/>
      <c r="E117" s="5"/>
      <c r="F117" s="18"/>
      <c r="G117" s="18"/>
    </row>
    <row r="118" spans="2:7">
      <c r="B118" s="60"/>
      <c r="C118" s="134"/>
      <c r="D118" s="20"/>
      <c r="E118" s="5"/>
      <c r="F118" s="18"/>
      <c r="G118" s="18"/>
    </row>
    <row r="119" spans="2:7">
      <c r="B119" s="60"/>
      <c r="C119" s="134"/>
      <c r="D119" s="20"/>
      <c r="E119" s="5"/>
      <c r="F119" s="18"/>
      <c r="G119" s="18"/>
    </row>
    <row r="120" spans="2:7">
      <c r="B120" s="60"/>
      <c r="C120" s="134"/>
      <c r="D120" s="20"/>
      <c r="E120" s="5"/>
      <c r="F120" s="18"/>
      <c r="G120" s="18"/>
    </row>
    <row r="121" spans="2:7">
      <c r="B121" s="60"/>
      <c r="C121" s="134"/>
      <c r="D121" s="20"/>
      <c r="E121" s="5"/>
      <c r="F121" s="18"/>
      <c r="G121" s="18"/>
    </row>
    <row r="122" spans="2:7">
      <c r="B122" s="60"/>
      <c r="C122" s="134"/>
      <c r="D122" s="20"/>
      <c r="E122" s="5"/>
      <c r="F122" s="18"/>
      <c r="G122" s="18"/>
    </row>
    <row r="123" spans="2:7">
      <c r="B123" s="60"/>
      <c r="C123" s="134"/>
      <c r="D123" s="20"/>
      <c r="E123" s="5"/>
      <c r="F123" s="18"/>
      <c r="G123" s="18"/>
    </row>
    <row r="124" spans="2:7">
      <c r="B124" s="60"/>
      <c r="C124" s="134"/>
      <c r="D124" s="20"/>
      <c r="E124" s="5"/>
      <c r="F124" s="18"/>
      <c r="G124" s="18"/>
    </row>
    <row r="125" spans="2:7">
      <c r="B125" s="60"/>
      <c r="C125" s="134"/>
      <c r="D125" s="20"/>
      <c r="E125" s="5"/>
      <c r="F125" s="18"/>
      <c r="G125" s="18"/>
    </row>
    <row r="126" spans="2:7">
      <c r="B126" s="60"/>
      <c r="C126" s="134"/>
      <c r="D126" s="20"/>
      <c r="E126" s="5"/>
      <c r="F126" s="18"/>
      <c r="G126" s="18"/>
    </row>
    <row r="127" spans="2:7">
      <c r="B127" s="60"/>
      <c r="C127" s="134"/>
      <c r="D127" s="20"/>
      <c r="E127" s="5"/>
      <c r="F127" s="18"/>
      <c r="G127" s="18"/>
    </row>
    <row r="128" spans="2:7">
      <c r="B128" s="60"/>
      <c r="C128" s="134"/>
      <c r="D128" s="20"/>
      <c r="E128" s="5"/>
      <c r="F128" s="18"/>
      <c r="G128" s="18"/>
    </row>
    <row r="129" spans="2:7">
      <c r="B129" s="60"/>
      <c r="C129" s="134"/>
      <c r="D129" s="20"/>
      <c r="E129" s="5"/>
      <c r="F129" s="18"/>
      <c r="G129" s="18"/>
    </row>
    <row r="130" spans="2:7">
      <c r="B130" s="60"/>
      <c r="C130" s="134"/>
      <c r="D130" s="20"/>
      <c r="E130" s="5"/>
      <c r="F130" s="18"/>
      <c r="G130" s="18"/>
    </row>
    <row r="131" spans="2:7">
      <c r="B131" s="60"/>
      <c r="C131" s="134"/>
      <c r="D131" s="20"/>
      <c r="E131" s="5"/>
      <c r="F131" s="18"/>
      <c r="G131" s="18"/>
    </row>
    <row r="132" spans="2:7">
      <c r="B132" s="60"/>
      <c r="C132" s="134"/>
      <c r="D132" s="20"/>
      <c r="E132" s="5"/>
      <c r="F132" s="18"/>
      <c r="G132" s="18"/>
    </row>
    <row r="133" spans="2:7">
      <c r="B133" s="60"/>
      <c r="C133" s="134"/>
      <c r="D133" s="20"/>
      <c r="E133" s="5"/>
      <c r="F133" s="18"/>
      <c r="G133" s="18"/>
    </row>
    <row r="134" spans="2:7">
      <c r="B134" s="60"/>
      <c r="C134" s="134"/>
      <c r="D134" s="20"/>
      <c r="E134" s="5"/>
      <c r="F134" s="18"/>
      <c r="G134" s="18"/>
    </row>
    <row r="135" spans="2:7">
      <c r="B135" s="60"/>
      <c r="C135" s="134"/>
      <c r="D135" s="20"/>
      <c r="E135" s="5"/>
      <c r="F135" s="18"/>
      <c r="G135" s="18"/>
    </row>
    <row r="136" spans="2:7">
      <c r="B136" s="60"/>
      <c r="C136" s="134"/>
      <c r="D136" s="20"/>
      <c r="E136" s="5"/>
      <c r="F136" s="18"/>
      <c r="G136" s="18"/>
    </row>
    <row r="137" spans="2:7">
      <c r="B137" s="60"/>
      <c r="C137" s="134"/>
      <c r="D137" s="20"/>
      <c r="E137" s="5"/>
      <c r="F137" s="18"/>
      <c r="G137" s="18"/>
    </row>
    <row r="138" spans="2:7">
      <c r="B138" s="60"/>
      <c r="C138" s="134"/>
      <c r="D138" s="20"/>
      <c r="E138" s="5"/>
      <c r="F138" s="18"/>
      <c r="G138" s="18"/>
    </row>
    <row r="139" spans="2:7">
      <c r="B139" s="60"/>
      <c r="C139" s="134"/>
      <c r="D139" s="20"/>
      <c r="E139" s="5"/>
      <c r="F139" s="18"/>
      <c r="G139" s="18"/>
    </row>
    <row r="140" spans="2:7">
      <c r="B140" s="60"/>
      <c r="C140" s="134"/>
      <c r="D140" s="20"/>
      <c r="E140" s="5"/>
      <c r="F140" s="18"/>
      <c r="G140" s="18"/>
    </row>
    <row r="141" spans="2:7">
      <c r="B141" s="60"/>
      <c r="C141" s="134"/>
      <c r="D141" s="20"/>
      <c r="E141" s="5"/>
      <c r="F141" s="18"/>
      <c r="G141" s="18"/>
    </row>
    <row r="142" spans="2:7">
      <c r="B142" s="60"/>
      <c r="C142" s="134"/>
      <c r="D142" s="20"/>
      <c r="E142" s="5"/>
      <c r="F142" s="18"/>
      <c r="G142" s="18"/>
    </row>
    <row r="143" spans="2:7">
      <c r="B143" s="60"/>
      <c r="C143" s="134"/>
      <c r="D143" s="20"/>
      <c r="E143" s="5"/>
      <c r="F143" s="18"/>
      <c r="G143" s="18"/>
    </row>
    <row r="144" spans="2:7">
      <c r="B144" s="60"/>
      <c r="C144" s="134"/>
      <c r="D144" s="20"/>
      <c r="E144" s="5"/>
      <c r="F144" s="18"/>
      <c r="G144" s="18"/>
    </row>
    <row r="145" spans="2:7">
      <c r="B145" s="60"/>
      <c r="C145" s="134"/>
      <c r="D145" s="20"/>
      <c r="E145" s="5"/>
      <c r="F145" s="18"/>
      <c r="G145" s="18"/>
    </row>
    <row r="146" spans="2:7">
      <c r="B146" s="60"/>
      <c r="C146" s="134"/>
      <c r="D146" s="20"/>
      <c r="E146" s="5"/>
      <c r="F146" s="18"/>
      <c r="G146" s="18"/>
    </row>
    <row r="147" spans="2:7">
      <c r="B147" s="60"/>
      <c r="C147" s="134"/>
      <c r="D147" s="20"/>
      <c r="E147" s="5"/>
      <c r="F147" s="18"/>
      <c r="G147" s="18"/>
    </row>
    <row r="148" spans="2:7">
      <c r="B148" s="60"/>
      <c r="C148" s="134"/>
      <c r="D148" s="20"/>
      <c r="E148" s="5"/>
      <c r="F148" s="18"/>
      <c r="G148" s="18"/>
    </row>
    <row r="149" spans="2:7">
      <c r="B149" s="60"/>
      <c r="C149" s="134"/>
      <c r="D149" s="20"/>
      <c r="E149" s="5"/>
      <c r="F149" s="18"/>
      <c r="G149" s="18"/>
    </row>
    <row r="150" spans="2:7">
      <c r="B150" s="60"/>
      <c r="C150" s="134"/>
      <c r="D150" s="20"/>
      <c r="E150" s="5"/>
      <c r="F150" s="18"/>
      <c r="G150" s="18"/>
    </row>
    <row r="151" spans="2:7">
      <c r="B151" s="60"/>
      <c r="C151" s="134"/>
      <c r="D151" s="20"/>
      <c r="E151" s="5"/>
      <c r="F151" s="18"/>
      <c r="G151" s="18"/>
    </row>
    <row r="152" spans="2:7">
      <c r="B152" s="60"/>
      <c r="C152" s="134"/>
      <c r="D152" s="20"/>
      <c r="E152" s="5"/>
      <c r="F152" s="18"/>
      <c r="G152" s="18"/>
    </row>
    <row r="153" spans="2:7">
      <c r="B153" s="60"/>
      <c r="C153" s="134"/>
      <c r="D153" s="20"/>
      <c r="E153" s="5"/>
      <c r="F153" s="18"/>
      <c r="G153" s="18"/>
    </row>
    <row r="154" spans="2:7">
      <c r="B154" s="60"/>
      <c r="C154" s="134"/>
      <c r="D154" s="20"/>
      <c r="E154" s="5"/>
      <c r="F154" s="18"/>
      <c r="G154" s="18"/>
    </row>
    <row r="155" spans="2:7">
      <c r="B155" s="60"/>
      <c r="C155" s="134"/>
      <c r="D155" s="20"/>
      <c r="E155" s="5"/>
      <c r="F155" s="18"/>
      <c r="G155" s="18"/>
    </row>
    <row r="156" spans="2:7">
      <c r="B156" s="60"/>
      <c r="C156" s="134"/>
      <c r="D156" s="20"/>
      <c r="E156" s="5"/>
      <c r="F156" s="18"/>
      <c r="G156" s="18"/>
    </row>
    <row r="157" spans="2:7">
      <c r="B157" s="60"/>
      <c r="C157" s="134"/>
      <c r="D157" s="20"/>
      <c r="E157" s="5"/>
      <c r="F157" s="18"/>
      <c r="G157" s="18"/>
    </row>
    <row r="158" spans="2:7">
      <c r="B158" s="60"/>
      <c r="C158" s="134"/>
      <c r="D158" s="20"/>
      <c r="E158" s="5"/>
      <c r="F158" s="18"/>
      <c r="G158" s="18"/>
    </row>
    <row r="159" spans="2:7">
      <c r="B159" s="60"/>
      <c r="C159" s="134"/>
      <c r="D159" s="20"/>
      <c r="E159" s="5"/>
      <c r="F159" s="18"/>
      <c r="G159" s="18"/>
    </row>
    <row r="160" spans="2:7">
      <c r="B160" s="60"/>
      <c r="C160" s="134"/>
      <c r="D160" s="20"/>
      <c r="E160" s="5"/>
      <c r="F160" s="18"/>
      <c r="G160" s="18"/>
    </row>
    <row r="161" spans="2:7">
      <c r="B161" s="60"/>
      <c r="C161" s="134"/>
      <c r="D161" s="20"/>
      <c r="E161" s="5"/>
      <c r="F161" s="18"/>
      <c r="G161" s="18"/>
    </row>
    <row r="162" spans="2:7">
      <c r="B162" s="60"/>
      <c r="C162" s="134"/>
      <c r="D162" s="20"/>
      <c r="E162" s="5"/>
      <c r="F162" s="18"/>
      <c r="G162" s="18"/>
    </row>
    <row r="163" spans="2:7">
      <c r="B163" s="60"/>
      <c r="C163" s="134"/>
      <c r="D163" s="20"/>
      <c r="E163" s="5"/>
      <c r="F163" s="18"/>
      <c r="G163" s="18"/>
    </row>
    <row r="164" spans="2:7">
      <c r="B164" s="60"/>
      <c r="C164" s="134"/>
      <c r="D164" s="20"/>
      <c r="E164" s="5"/>
      <c r="F164" s="18"/>
      <c r="G164" s="18"/>
    </row>
    <row r="165" spans="2:7">
      <c r="B165" s="60"/>
      <c r="C165" s="134"/>
      <c r="D165" s="20"/>
      <c r="E165" s="5"/>
      <c r="F165" s="18"/>
      <c r="G165" s="18"/>
    </row>
    <row r="166" spans="2:7">
      <c r="B166" s="60"/>
      <c r="C166" s="134"/>
      <c r="D166" s="20"/>
      <c r="E166" s="5"/>
      <c r="F166" s="18"/>
      <c r="G166" s="18"/>
    </row>
    <row r="167" spans="2:7">
      <c r="B167" s="60"/>
      <c r="C167" s="134"/>
      <c r="D167" s="20"/>
      <c r="E167" s="5"/>
      <c r="F167" s="18"/>
      <c r="G167" s="18"/>
    </row>
    <row r="168" spans="2:7">
      <c r="B168" s="60"/>
      <c r="C168" s="134"/>
      <c r="D168" s="20"/>
      <c r="E168" s="5"/>
      <c r="F168" s="18"/>
      <c r="G168" s="18"/>
    </row>
    <row r="169" spans="2:7">
      <c r="B169" s="60"/>
      <c r="C169" s="134"/>
      <c r="D169" s="20"/>
      <c r="E169" s="5"/>
      <c r="F169" s="18"/>
      <c r="G169" s="18"/>
    </row>
    <row r="170" spans="2:7">
      <c r="B170" s="60"/>
      <c r="C170" s="134"/>
      <c r="D170" s="20"/>
      <c r="E170" s="5"/>
      <c r="F170" s="18"/>
      <c r="G170" s="18"/>
    </row>
    <row r="171" spans="2:7">
      <c r="B171" s="60"/>
      <c r="C171" s="134"/>
      <c r="D171" s="20"/>
      <c r="E171" s="5"/>
      <c r="F171" s="18"/>
      <c r="G171" s="18"/>
    </row>
    <row r="172" spans="2:7">
      <c r="B172" s="60"/>
      <c r="C172" s="134"/>
      <c r="D172" s="20"/>
      <c r="E172" s="5"/>
      <c r="F172" s="18"/>
      <c r="G172" s="18"/>
    </row>
    <row r="173" spans="2:7">
      <c r="B173" s="60"/>
      <c r="C173" s="134"/>
      <c r="D173" s="20"/>
      <c r="E173" s="5"/>
      <c r="F173" s="18"/>
      <c r="G173" s="18"/>
    </row>
    <row r="174" spans="2:7">
      <c r="B174" s="60"/>
      <c r="C174" s="134"/>
      <c r="D174" s="20"/>
      <c r="E174" s="5"/>
      <c r="F174" s="18"/>
      <c r="G174" s="18"/>
    </row>
    <row r="175" spans="2:7">
      <c r="B175" s="60"/>
      <c r="C175" s="134"/>
      <c r="D175" s="20"/>
      <c r="E175" s="5"/>
      <c r="F175" s="18"/>
      <c r="G175" s="18"/>
    </row>
    <row r="176" spans="2:7">
      <c r="B176" s="60"/>
      <c r="C176" s="134"/>
      <c r="D176" s="20"/>
      <c r="E176" s="5"/>
      <c r="F176" s="18"/>
      <c r="G176" s="18"/>
    </row>
    <row r="177" spans="2:7">
      <c r="B177" s="60"/>
      <c r="C177" s="134"/>
      <c r="D177" s="20"/>
      <c r="E177" s="5"/>
      <c r="F177" s="18"/>
      <c r="G177" s="18"/>
    </row>
    <row r="178" spans="2:7">
      <c r="B178" s="60"/>
      <c r="C178" s="134"/>
      <c r="D178" s="20"/>
      <c r="E178" s="5"/>
      <c r="F178" s="18"/>
      <c r="G178" s="18"/>
    </row>
    <row r="179" spans="2:7">
      <c r="B179" s="60"/>
      <c r="C179" s="134"/>
      <c r="D179" s="20"/>
      <c r="E179" s="5"/>
      <c r="F179" s="18"/>
      <c r="G179" s="18"/>
    </row>
    <row r="180" spans="2:7">
      <c r="B180" s="60"/>
      <c r="C180" s="134"/>
      <c r="D180" s="20"/>
      <c r="E180" s="5"/>
      <c r="F180" s="18"/>
      <c r="G180" s="18"/>
    </row>
    <row r="181" spans="2:7">
      <c r="B181" s="60"/>
      <c r="C181" s="134"/>
      <c r="D181" s="20"/>
      <c r="E181" s="5"/>
      <c r="F181" s="18"/>
      <c r="G181" s="18"/>
    </row>
    <row r="182" spans="2:7">
      <c r="B182" s="60"/>
      <c r="C182" s="134"/>
      <c r="D182" s="20"/>
      <c r="E182" s="5"/>
      <c r="F182" s="18"/>
      <c r="G182" s="18"/>
    </row>
    <row r="183" spans="2:7">
      <c r="B183" s="60"/>
      <c r="C183" s="134"/>
      <c r="D183" s="20"/>
      <c r="E183" s="5"/>
      <c r="F183" s="18"/>
      <c r="G183" s="18"/>
    </row>
    <row r="184" spans="2:7">
      <c r="B184" s="60"/>
      <c r="C184" s="134"/>
      <c r="D184" s="20"/>
      <c r="E184" s="5"/>
      <c r="F184" s="18"/>
      <c r="G184" s="18"/>
    </row>
    <row r="185" spans="2:7">
      <c r="B185" s="60"/>
      <c r="C185" s="134"/>
      <c r="D185" s="20"/>
      <c r="E185" s="5"/>
      <c r="F185" s="18"/>
      <c r="G185" s="18"/>
    </row>
    <row r="186" spans="2:7">
      <c r="B186" s="60"/>
      <c r="C186" s="134"/>
      <c r="D186" s="20"/>
      <c r="E186" s="5"/>
      <c r="F186" s="18"/>
      <c r="G186" s="18"/>
    </row>
    <row r="187" spans="2:7">
      <c r="B187" s="60"/>
      <c r="C187" s="134"/>
      <c r="D187" s="20"/>
      <c r="E187" s="5"/>
      <c r="F187" s="18"/>
      <c r="G187" s="18"/>
    </row>
    <row r="188" spans="2:7">
      <c r="B188" s="60"/>
      <c r="C188" s="134"/>
      <c r="D188" s="20"/>
      <c r="E188" s="5"/>
      <c r="F188" s="18"/>
      <c r="G188" s="18"/>
    </row>
    <row r="189" spans="2:7">
      <c r="B189" s="60"/>
      <c r="C189" s="134"/>
      <c r="D189" s="20"/>
      <c r="E189" s="5"/>
      <c r="F189" s="18"/>
      <c r="G189" s="18"/>
    </row>
    <row r="190" spans="2:7">
      <c r="B190" s="60"/>
      <c r="C190" s="134"/>
      <c r="D190" s="20"/>
      <c r="E190" s="5"/>
      <c r="F190" s="18"/>
      <c r="G190" s="18"/>
    </row>
    <row r="191" spans="2:7">
      <c r="B191" s="60"/>
      <c r="C191" s="134"/>
      <c r="D191" s="20"/>
      <c r="E191" s="5"/>
      <c r="F191" s="18"/>
      <c r="G191" s="18"/>
    </row>
    <row r="192" spans="2:7">
      <c r="B192" s="60"/>
      <c r="C192" s="134"/>
      <c r="D192" s="20"/>
      <c r="E192" s="5"/>
      <c r="F192" s="18"/>
      <c r="G192" s="18"/>
    </row>
    <row r="193" spans="2:7">
      <c r="B193" s="60"/>
      <c r="C193" s="134"/>
      <c r="D193" s="20"/>
      <c r="E193" s="5"/>
      <c r="F193" s="18"/>
      <c r="G193" s="18"/>
    </row>
    <row r="194" spans="2:7">
      <c r="B194" s="60"/>
      <c r="C194" s="134"/>
      <c r="D194" s="20"/>
      <c r="E194" s="5"/>
      <c r="F194" s="18"/>
      <c r="G194" s="18"/>
    </row>
    <row r="195" spans="2:7">
      <c r="B195" s="60"/>
      <c r="C195" s="134"/>
      <c r="D195" s="20"/>
      <c r="E195" s="5"/>
      <c r="F195" s="18"/>
      <c r="G195" s="18"/>
    </row>
    <row r="196" spans="2:7">
      <c r="B196" s="60"/>
      <c r="C196" s="134"/>
      <c r="D196" s="20"/>
      <c r="E196" s="5"/>
      <c r="F196" s="18"/>
      <c r="G196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E220"/>
  <sheetViews>
    <sheetView showGridLines="0" workbookViewId="0">
      <pane ySplit="2" topLeftCell="A3" activePane="bottomLeft" state="frozen"/>
      <selection activeCell="E58" sqref="E58"/>
      <selection pane="bottomLeft" activeCell="C4" sqref="C4"/>
    </sheetView>
  </sheetViews>
  <sheetFormatPr defaultRowHeight="14.25"/>
  <cols>
    <col min="2" max="3" width="11.75" style="34" customWidth="1"/>
    <col min="4" max="5" width="11.75" customWidth="1"/>
  </cols>
  <sheetData>
    <row r="1" spans="2:5" ht="15">
      <c r="B1" s="49" t="s">
        <v>163</v>
      </c>
      <c r="C1" s="141"/>
      <c r="D1" s="136"/>
      <c r="E1" s="136"/>
    </row>
    <row r="2" spans="2:5">
      <c r="B2" s="15" t="s">
        <v>164</v>
      </c>
      <c r="C2" s="15" t="s">
        <v>8</v>
      </c>
      <c r="D2" s="16" t="s">
        <v>9</v>
      </c>
      <c r="E2" s="16" t="s">
        <v>105</v>
      </c>
    </row>
    <row r="3" spans="2:5">
      <c r="B3" s="40">
        <v>43713</v>
      </c>
      <c r="C3" s="33">
        <v>9</v>
      </c>
      <c r="D3" s="20" t="s">
        <v>165</v>
      </c>
      <c r="E3" s="21">
        <v>20</v>
      </c>
    </row>
    <row r="4" spans="2:5">
      <c r="B4" s="35"/>
      <c r="C4" s="33"/>
      <c r="D4" s="20"/>
      <c r="E4" s="21"/>
    </row>
    <row r="5" spans="2:5">
      <c r="B5" s="40"/>
      <c r="C5" s="33"/>
      <c r="D5" s="20"/>
      <c r="E5" s="21"/>
    </row>
    <row r="6" spans="2:5">
      <c r="B6" s="40"/>
      <c r="C6" s="33"/>
      <c r="D6" s="20"/>
      <c r="E6" s="21"/>
    </row>
    <row r="7" spans="2:5">
      <c r="B7" s="40"/>
      <c r="C7" s="33"/>
      <c r="D7" s="20"/>
      <c r="E7" s="21"/>
    </row>
    <row r="8" spans="2:5">
      <c r="B8" s="40"/>
      <c r="C8" s="33"/>
      <c r="D8" s="20"/>
      <c r="E8" s="21"/>
    </row>
    <row r="9" spans="2:5">
      <c r="B9" s="40"/>
      <c r="C9" s="33"/>
      <c r="D9" s="20"/>
      <c r="E9" s="21"/>
    </row>
    <row r="10" spans="2:5">
      <c r="B10" s="40"/>
      <c r="C10" s="33"/>
      <c r="D10" s="20"/>
      <c r="E10" s="21"/>
    </row>
    <row r="11" spans="2:5">
      <c r="B11" s="40"/>
      <c r="C11" s="33"/>
      <c r="D11" s="20"/>
      <c r="E11" s="21"/>
    </row>
    <row r="12" spans="2:5">
      <c r="B12" s="40"/>
      <c r="C12" s="33"/>
      <c r="D12" s="20"/>
      <c r="E12" s="21"/>
    </row>
    <row r="13" spans="2:5">
      <c r="B13" s="40"/>
      <c r="C13" s="33"/>
      <c r="D13" s="20"/>
      <c r="E13" s="21"/>
    </row>
    <row r="14" spans="2:5">
      <c r="B14" s="59"/>
      <c r="C14" s="33"/>
      <c r="D14" s="20"/>
      <c r="E14" s="21"/>
    </row>
    <row r="15" spans="2:5">
      <c r="B15" s="40"/>
      <c r="C15" s="33"/>
      <c r="D15" s="20"/>
      <c r="E15" s="21"/>
    </row>
    <row r="16" spans="2:5">
      <c r="B16" s="40"/>
      <c r="C16" s="33"/>
      <c r="D16" s="20"/>
      <c r="E16" s="21"/>
    </row>
    <row r="18" spans="2:5">
      <c r="B18" s="33"/>
      <c r="C18" s="33"/>
      <c r="D18" s="20"/>
      <c r="E18" s="21"/>
    </row>
    <row r="19" spans="2:5">
      <c r="B19" s="33"/>
      <c r="C19" s="33"/>
      <c r="D19" s="20"/>
      <c r="E19" s="21"/>
    </row>
    <row r="20" spans="2:5">
      <c r="B20" s="33"/>
      <c r="C20" s="33"/>
      <c r="D20" s="20"/>
      <c r="E20" s="21"/>
    </row>
    <row r="21" spans="2:5">
      <c r="B21" s="33"/>
      <c r="C21" s="33"/>
      <c r="D21" s="20"/>
      <c r="E21" s="21"/>
    </row>
    <row r="22" spans="2:5">
      <c r="B22" s="33"/>
      <c r="C22" s="33"/>
      <c r="D22" s="20"/>
      <c r="E22" s="21"/>
    </row>
    <row r="23" spans="2:5">
      <c r="B23" s="33"/>
      <c r="C23" s="33"/>
      <c r="D23" s="20"/>
      <c r="E23" s="21"/>
    </row>
    <row r="24" spans="2:5">
      <c r="B24" s="33"/>
      <c r="C24" s="33"/>
      <c r="D24" s="20"/>
      <c r="E24" s="21"/>
    </row>
    <row r="25" spans="2:5">
      <c r="B25" s="33"/>
      <c r="C25" s="33"/>
      <c r="D25" s="20"/>
      <c r="E25" s="21"/>
    </row>
    <row r="26" spans="2:5">
      <c r="B26" s="33"/>
      <c r="C26" s="33"/>
      <c r="D26" s="20"/>
      <c r="E26" s="21"/>
    </row>
    <row r="27" spans="2:5">
      <c r="B27" s="33"/>
      <c r="C27" s="33"/>
      <c r="D27" s="20"/>
      <c r="E27" s="21"/>
    </row>
    <row r="28" spans="2:5">
      <c r="B28" s="33"/>
      <c r="C28" s="33"/>
      <c r="D28" s="20"/>
      <c r="E28" s="21"/>
    </row>
    <row r="29" spans="2:5">
      <c r="B29" s="33"/>
      <c r="C29" s="33"/>
      <c r="D29" s="20"/>
      <c r="E29" s="21"/>
    </row>
    <row r="30" spans="2:5">
      <c r="B30" s="33"/>
      <c r="C30" s="33"/>
      <c r="D30" s="20"/>
      <c r="E30" s="21"/>
    </row>
    <row r="31" spans="2:5">
      <c r="B31" s="33"/>
      <c r="C31" s="33"/>
      <c r="D31" s="20"/>
      <c r="E31" s="21"/>
    </row>
    <row r="32" spans="2:5">
      <c r="B32" s="33"/>
      <c r="C32" s="33"/>
      <c r="D32" s="20"/>
      <c r="E32" s="21"/>
    </row>
    <row r="33" spans="2:5">
      <c r="B33" s="33"/>
      <c r="C33" s="33"/>
      <c r="D33" s="20"/>
      <c r="E33" s="21"/>
    </row>
    <row r="34" spans="2:5">
      <c r="B34" s="33"/>
      <c r="C34" s="33"/>
      <c r="D34" s="20"/>
      <c r="E34" s="21"/>
    </row>
    <row r="35" spans="2:5">
      <c r="B35" s="33"/>
      <c r="C35" s="33"/>
      <c r="D35" s="20"/>
      <c r="E35" s="21"/>
    </row>
    <row r="36" spans="2:5">
      <c r="B36" s="33"/>
      <c r="C36" s="33"/>
      <c r="D36" s="20"/>
      <c r="E36" s="21"/>
    </row>
    <row r="37" spans="2:5">
      <c r="B37" s="33"/>
      <c r="C37" s="33"/>
      <c r="D37" s="20"/>
      <c r="E37" s="21"/>
    </row>
    <row r="38" spans="2:5">
      <c r="B38" s="33"/>
      <c r="C38" s="33"/>
      <c r="D38" s="20"/>
      <c r="E38" s="21"/>
    </row>
    <row r="39" spans="2:5">
      <c r="B39" s="33"/>
      <c r="C39" s="33"/>
      <c r="D39" s="20"/>
      <c r="E39" s="21"/>
    </row>
    <row r="40" spans="2:5">
      <c r="B40" s="33"/>
      <c r="C40" s="33"/>
      <c r="D40" s="20"/>
      <c r="E40" s="21"/>
    </row>
    <row r="41" spans="2:5">
      <c r="B41" s="33"/>
      <c r="C41" s="33"/>
      <c r="D41" s="20"/>
      <c r="E41" s="21"/>
    </row>
    <row r="42" spans="2:5">
      <c r="B42" s="33"/>
      <c r="C42" s="33"/>
      <c r="D42" s="20"/>
      <c r="E42" s="21"/>
    </row>
    <row r="43" spans="2:5">
      <c r="B43" s="33"/>
      <c r="C43" s="33"/>
      <c r="D43" s="20"/>
      <c r="E43" s="21"/>
    </row>
    <row r="44" spans="2:5">
      <c r="B44" s="33"/>
      <c r="C44" s="33"/>
      <c r="D44" s="20"/>
      <c r="E44" s="21"/>
    </row>
    <row r="45" spans="2:5">
      <c r="B45" s="33"/>
      <c r="C45" s="33"/>
      <c r="D45" s="20"/>
      <c r="E45" s="21"/>
    </row>
    <row r="46" spans="2:5">
      <c r="B46" s="33"/>
      <c r="C46" s="33"/>
      <c r="D46" s="20"/>
      <c r="E46" s="21"/>
    </row>
    <row r="47" spans="2:5">
      <c r="B47" s="33"/>
      <c r="C47" s="33"/>
      <c r="D47" s="20"/>
      <c r="E47" s="21"/>
    </row>
    <row r="48" spans="2:5">
      <c r="B48" s="33"/>
      <c r="C48" s="33"/>
      <c r="D48" s="20"/>
      <c r="E48" s="21"/>
    </row>
    <row r="49" spans="2:5">
      <c r="B49" s="33"/>
      <c r="C49" s="33"/>
      <c r="D49" s="20"/>
      <c r="E49" s="21"/>
    </row>
    <row r="50" spans="2:5">
      <c r="B50" s="33"/>
      <c r="C50" s="33"/>
      <c r="D50" s="20"/>
      <c r="E50" s="21"/>
    </row>
    <row r="51" spans="2:5">
      <c r="B51" s="33"/>
      <c r="C51" s="33"/>
      <c r="D51" s="20"/>
      <c r="E51" s="21"/>
    </row>
    <row r="52" spans="2:5">
      <c r="B52" s="33"/>
      <c r="C52" s="33"/>
      <c r="D52" s="20"/>
      <c r="E52" s="21"/>
    </row>
    <row r="53" spans="2:5">
      <c r="B53" s="33"/>
      <c r="C53" s="33"/>
      <c r="D53" s="20"/>
      <c r="E53" s="21"/>
    </row>
    <row r="54" spans="2:5">
      <c r="B54" s="33"/>
      <c r="C54" s="33"/>
      <c r="D54" s="20"/>
      <c r="E54" s="21"/>
    </row>
    <row r="55" spans="2:5">
      <c r="B55" s="33"/>
      <c r="C55" s="33"/>
      <c r="D55" s="20"/>
      <c r="E55" s="21"/>
    </row>
    <row r="56" spans="2:5">
      <c r="B56" s="33"/>
      <c r="C56" s="33"/>
      <c r="D56" s="20"/>
      <c r="E56" s="21"/>
    </row>
    <row r="57" spans="2:5">
      <c r="B57" s="33"/>
      <c r="C57" s="33"/>
      <c r="D57" s="20"/>
      <c r="E57" s="21"/>
    </row>
    <row r="58" spans="2:5">
      <c r="B58" s="33"/>
      <c r="C58" s="33"/>
      <c r="D58" s="20"/>
      <c r="E58" s="21"/>
    </row>
    <row r="59" spans="2:5">
      <c r="B59" s="33"/>
      <c r="C59" s="33"/>
      <c r="D59" s="20"/>
      <c r="E59" s="21"/>
    </row>
    <row r="60" spans="2:5">
      <c r="B60" s="33"/>
      <c r="C60" s="33"/>
      <c r="D60" s="20"/>
      <c r="E60" s="21"/>
    </row>
    <row r="61" spans="2:5">
      <c r="B61" s="33"/>
      <c r="C61" s="33"/>
      <c r="D61" s="20"/>
      <c r="E61" s="21"/>
    </row>
    <row r="62" spans="2:5">
      <c r="B62" s="33"/>
      <c r="C62" s="33"/>
      <c r="D62" s="20"/>
      <c r="E62" s="21"/>
    </row>
    <row r="63" spans="2:5">
      <c r="B63" s="33"/>
      <c r="C63" s="33"/>
      <c r="D63" s="20"/>
      <c r="E63" s="21"/>
    </row>
    <row r="64" spans="2:5">
      <c r="B64" s="33"/>
      <c r="C64" s="33"/>
      <c r="D64" s="20"/>
      <c r="E64" s="21"/>
    </row>
    <row r="65" spans="2:5">
      <c r="B65" s="33"/>
      <c r="C65" s="33"/>
      <c r="D65" s="20"/>
      <c r="E65" s="21"/>
    </row>
    <row r="66" spans="2:5">
      <c r="B66" s="33"/>
      <c r="C66" s="33"/>
      <c r="D66" s="20"/>
      <c r="E66" s="21"/>
    </row>
    <row r="67" spans="2:5">
      <c r="B67" s="33"/>
      <c r="C67" s="33"/>
      <c r="D67" s="20"/>
      <c r="E67" s="21"/>
    </row>
    <row r="68" spans="2:5">
      <c r="B68" s="33"/>
      <c r="C68" s="33"/>
      <c r="D68" s="20"/>
      <c r="E68" s="21"/>
    </row>
    <row r="69" spans="2:5">
      <c r="B69" s="33"/>
      <c r="C69" s="33"/>
      <c r="D69" s="20"/>
      <c r="E69" s="21"/>
    </row>
    <row r="70" spans="2:5">
      <c r="B70" s="33"/>
      <c r="C70" s="33"/>
      <c r="D70" s="20"/>
      <c r="E70" s="21"/>
    </row>
    <row r="71" spans="2:5">
      <c r="B71" s="33"/>
      <c r="C71" s="33"/>
      <c r="D71" s="20"/>
      <c r="E71" s="21"/>
    </row>
    <row r="72" spans="2:5">
      <c r="B72" s="33"/>
      <c r="C72" s="33"/>
      <c r="D72" s="20"/>
      <c r="E72" s="21"/>
    </row>
    <row r="73" spans="2:5">
      <c r="B73" s="33"/>
      <c r="C73" s="33"/>
      <c r="D73" s="20"/>
      <c r="E73" s="21"/>
    </row>
    <row r="74" spans="2:5">
      <c r="B74" s="33"/>
      <c r="C74" s="33"/>
      <c r="D74" s="20"/>
      <c r="E74" s="21"/>
    </row>
    <row r="75" spans="2:5">
      <c r="B75" s="33"/>
      <c r="C75" s="33"/>
      <c r="D75" s="20"/>
      <c r="E75" s="21"/>
    </row>
    <row r="76" spans="2:5">
      <c r="B76" s="33"/>
      <c r="C76" s="33"/>
      <c r="D76" s="20"/>
      <c r="E76" s="21"/>
    </row>
    <row r="77" spans="2:5">
      <c r="B77" s="33"/>
      <c r="C77" s="33"/>
      <c r="D77" s="20"/>
      <c r="E77" s="21"/>
    </row>
    <row r="78" spans="2:5">
      <c r="B78" s="33"/>
      <c r="C78" s="33"/>
      <c r="D78" s="20"/>
      <c r="E78" s="21"/>
    </row>
    <row r="79" spans="2:5">
      <c r="B79" s="33"/>
      <c r="C79" s="33"/>
      <c r="D79" s="20"/>
      <c r="E79" s="21"/>
    </row>
    <row r="80" spans="2:5">
      <c r="B80" s="33"/>
      <c r="C80" s="33"/>
      <c r="D80" s="20"/>
      <c r="E80" s="21"/>
    </row>
    <row r="81" spans="2:5">
      <c r="B81" s="33"/>
      <c r="C81" s="33"/>
      <c r="D81" s="20"/>
      <c r="E81" s="21"/>
    </row>
    <row r="82" spans="2:5">
      <c r="B82" s="33"/>
      <c r="C82" s="33"/>
      <c r="D82" s="20"/>
      <c r="E82" s="21"/>
    </row>
    <row r="83" spans="2:5">
      <c r="B83" s="33"/>
      <c r="C83" s="33"/>
      <c r="D83" s="20"/>
      <c r="E83" s="21"/>
    </row>
    <row r="84" spans="2:5">
      <c r="B84" s="33"/>
      <c r="C84" s="33"/>
      <c r="D84" s="20"/>
      <c r="E84" s="21"/>
    </row>
    <row r="85" spans="2:5">
      <c r="B85" s="33"/>
      <c r="C85" s="33"/>
      <c r="D85" s="20"/>
      <c r="E85" s="21"/>
    </row>
    <row r="86" spans="2:5">
      <c r="B86" s="33"/>
      <c r="C86" s="33"/>
      <c r="D86" s="20"/>
      <c r="E86" s="21"/>
    </row>
    <row r="87" spans="2:5">
      <c r="B87" s="33"/>
      <c r="C87" s="33"/>
      <c r="D87" s="20"/>
      <c r="E87" s="21"/>
    </row>
    <row r="88" spans="2:5">
      <c r="B88" s="33"/>
      <c r="C88" s="33"/>
      <c r="D88" s="20"/>
      <c r="E88" s="21"/>
    </row>
    <row r="89" spans="2:5">
      <c r="B89" s="33"/>
      <c r="C89" s="33"/>
      <c r="D89" s="20"/>
      <c r="E89" s="21"/>
    </row>
    <row r="90" spans="2:5">
      <c r="B90" s="33"/>
      <c r="C90" s="33"/>
      <c r="D90" s="20"/>
      <c r="E90" s="21"/>
    </row>
    <row r="91" spans="2:5">
      <c r="B91" s="33"/>
      <c r="C91" s="33"/>
      <c r="D91" s="20"/>
      <c r="E91" s="21"/>
    </row>
    <row r="92" spans="2:5">
      <c r="B92" s="33"/>
      <c r="C92" s="33"/>
      <c r="D92" s="20"/>
      <c r="E92" s="21"/>
    </row>
    <row r="93" spans="2:5">
      <c r="B93" s="33"/>
      <c r="C93" s="33"/>
      <c r="D93" s="20"/>
      <c r="E93" s="21"/>
    </row>
    <row r="94" spans="2:5">
      <c r="B94" s="33"/>
      <c r="C94" s="33"/>
      <c r="D94" s="20"/>
      <c r="E94" s="21"/>
    </row>
    <row r="95" spans="2:5">
      <c r="B95" s="33"/>
      <c r="C95" s="33"/>
      <c r="D95" s="20"/>
      <c r="E95" s="21"/>
    </row>
    <row r="96" spans="2:5">
      <c r="B96" s="33"/>
      <c r="C96" s="33"/>
      <c r="D96" s="20"/>
      <c r="E96" s="21"/>
    </row>
    <row r="97" spans="2:5">
      <c r="B97" s="33"/>
      <c r="C97" s="33"/>
      <c r="D97" s="20"/>
      <c r="E97" s="21"/>
    </row>
    <row r="98" spans="2:5">
      <c r="B98" s="33"/>
      <c r="C98" s="33"/>
      <c r="D98" s="20"/>
      <c r="E98" s="21"/>
    </row>
    <row r="99" spans="2:5">
      <c r="B99" s="33"/>
      <c r="C99" s="33"/>
      <c r="D99" s="20"/>
      <c r="E99" s="21"/>
    </row>
    <row r="100" spans="2:5">
      <c r="B100" s="33"/>
      <c r="C100" s="33"/>
      <c r="D100" s="20"/>
      <c r="E100" s="21"/>
    </row>
    <row r="101" spans="2:5">
      <c r="B101" s="33"/>
      <c r="C101" s="33"/>
      <c r="D101" s="20"/>
      <c r="E101" s="21"/>
    </row>
    <row r="102" spans="2:5">
      <c r="B102" s="33"/>
      <c r="C102" s="33"/>
      <c r="D102" s="20"/>
      <c r="E102" s="21"/>
    </row>
    <row r="103" spans="2:5">
      <c r="B103" s="33"/>
      <c r="C103" s="33"/>
      <c r="D103" s="20"/>
      <c r="E103" s="21"/>
    </row>
    <row r="104" spans="2:5">
      <c r="B104" s="33"/>
      <c r="C104" s="33"/>
      <c r="D104" s="20"/>
      <c r="E104" s="21"/>
    </row>
    <row r="105" spans="2:5">
      <c r="B105" s="33"/>
      <c r="C105" s="33"/>
      <c r="D105" s="20"/>
      <c r="E105" s="21"/>
    </row>
    <row r="106" spans="2:5">
      <c r="B106" s="33"/>
      <c r="C106" s="33"/>
      <c r="D106" s="20"/>
      <c r="E106" s="21"/>
    </row>
    <row r="107" spans="2:5">
      <c r="B107" s="33"/>
      <c r="C107" s="33"/>
      <c r="D107" s="20"/>
      <c r="E107" s="21"/>
    </row>
    <row r="108" spans="2:5">
      <c r="B108" s="33"/>
      <c r="C108" s="33"/>
      <c r="D108" s="20"/>
      <c r="E108" s="21"/>
    </row>
    <row r="109" spans="2:5">
      <c r="B109" s="33"/>
      <c r="C109" s="33"/>
      <c r="D109" s="20"/>
      <c r="E109" s="21"/>
    </row>
    <row r="110" spans="2:5">
      <c r="B110" s="33"/>
      <c r="C110" s="33"/>
      <c r="D110" s="20"/>
      <c r="E110" s="21"/>
    </row>
    <row r="111" spans="2:5">
      <c r="B111" s="33"/>
      <c r="C111" s="33"/>
      <c r="D111" s="20"/>
      <c r="E111" s="21"/>
    </row>
    <row r="112" spans="2:5">
      <c r="B112" s="33"/>
      <c r="C112" s="33"/>
      <c r="D112" s="20"/>
      <c r="E112" s="21"/>
    </row>
    <row r="113" spans="2:5">
      <c r="B113" s="33"/>
      <c r="C113" s="33"/>
      <c r="D113" s="20"/>
      <c r="E113" s="21"/>
    </row>
    <row r="114" spans="2:5">
      <c r="B114" s="33"/>
      <c r="C114" s="33"/>
      <c r="D114" s="20"/>
      <c r="E114" s="21"/>
    </row>
    <row r="115" spans="2:5">
      <c r="B115" s="33"/>
      <c r="C115" s="33"/>
      <c r="D115" s="20"/>
      <c r="E115" s="21"/>
    </row>
    <row r="116" spans="2:5">
      <c r="B116" s="33"/>
      <c r="C116" s="33"/>
      <c r="D116" s="20"/>
      <c r="E116" s="21"/>
    </row>
    <row r="117" spans="2:5">
      <c r="B117" s="33"/>
      <c r="C117" s="33"/>
      <c r="D117" s="20"/>
      <c r="E117" s="21"/>
    </row>
    <row r="118" spans="2:5">
      <c r="B118" s="33"/>
      <c r="C118" s="33"/>
      <c r="D118" s="20"/>
      <c r="E118" s="21"/>
    </row>
    <row r="119" spans="2:5">
      <c r="B119" s="33"/>
      <c r="C119" s="33"/>
      <c r="D119" s="20"/>
      <c r="E119" s="21"/>
    </row>
    <row r="120" spans="2:5">
      <c r="B120" s="33"/>
      <c r="C120" s="33"/>
      <c r="D120" s="20"/>
      <c r="E120" s="21"/>
    </row>
    <row r="121" spans="2:5">
      <c r="B121" s="33"/>
      <c r="C121" s="33"/>
      <c r="D121" s="20"/>
      <c r="E121" s="21"/>
    </row>
    <row r="122" spans="2:5">
      <c r="B122" s="33"/>
      <c r="C122" s="33"/>
      <c r="D122" s="20"/>
      <c r="E122" s="21"/>
    </row>
    <row r="123" spans="2:5">
      <c r="B123" s="33"/>
      <c r="C123" s="33"/>
      <c r="D123" s="20"/>
      <c r="E123" s="21"/>
    </row>
    <row r="124" spans="2:5">
      <c r="B124" s="33"/>
      <c r="C124" s="33"/>
      <c r="D124" s="20"/>
      <c r="E124" s="21"/>
    </row>
    <row r="125" spans="2:5">
      <c r="B125" s="33"/>
      <c r="C125" s="33"/>
      <c r="D125" s="20"/>
      <c r="E125" s="21"/>
    </row>
    <row r="126" spans="2:5">
      <c r="B126" s="33"/>
      <c r="C126" s="33"/>
      <c r="D126" s="20"/>
      <c r="E126" s="21"/>
    </row>
    <row r="127" spans="2:5">
      <c r="B127" s="33"/>
      <c r="C127" s="33"/>
      <c r="D127" s="20"/>
      <c r="E127" s="21"/>
    </row>
    <row r="128" spans="2:5">
      <c r="B128" s="33"/>
      <c r="C128" s="33"/>
      <c r="D128" s="20"/>
      <c r="E128" s="21"/>
    </row>
    <row r="129" spans="2:5">
      <c r="B129" s="33"/>
      <c r="C129" s="33"/>
      <c r="D129" s="20"/>
      <c r="E129" s="21"/>
    </row>
    <row r="130" spans="2:5">
      <c r="B130" s="33"/>
      <c r="C130" s="33"/>
      <c r="D130" s="20"/>
      <c r="E130" s="21"/>
    </row>
    <row r="131" spans="2:5">
      <c r="B131" s="33"/>
      <c r="C131" s="33"/>
      <c r="D131" s="20"/>
      <c r="E131" s="21"/>
    </row>
    <row r="132" spans="2:5">
      <c r="B132" s="33"/>
      <c r="C132" s="33"/>
      <c r="D132" s="20"/>
      <c r="E132" s="21"/>
    </row>
    <row r="133" spans="2:5">
      <c r="B133" s="33"/>
      <c r="C133" s="33"/>
      <c r="D133" s="20"/>
      <c r="E133" s="21"/>
    </row>
    <row r="134" spans="2:5">
      <c r="B134" s="33"/>
      <c r="C134" s="33"/>
      <c r="D134" s="20"/>
      <c r="E134" s="21"/>
    </row>
    <row r="135" spans="2:5">
      <c r="B135" s="33"/>
      <c r="C135" s="33"/>
      <c r="D135" s="20"/>
      <c r="E135" s="21"/>
    </row>
    <row r="136" spans="2:5">
      <c r="B136" s="33"/>
      <c r="C136" s="33"/>
      <c r="D136" s="20"/>
      <c r="E136" s="21"/>
    </row>
    <row r="137" spans="2:5">
      <c r="B137" s="33"/>
      <c r="C137" s="33"/>
      <c r="D137" s="20"/>
      <c r="E137" s="21"/>
    </row>
    <row r="138" spans="2:5">
      <c r="B138" s="33"/>
      <c r="C138" s="33"/>
      <c r="D138" s="20"/>
      <c r="E138" s="21"/>
    </row>
    <row r="139" spans="2:5">
      <c r="B139" s="33"/>
      <c r="C139" s="33"/>
      <c r="D139" s="20"/>
      <c r="E139" s="21"/>
    </row>
    <row r="140" spans="2:5">
      <c r="B140" s="33"/>
      <c r="C140" s="33"/>
      <c r="D140" s="20"/>
      <c r="E140" s="21"/>
    </row>
    <row r="141" spans="2:5">
      <c r="B141" s="33"/>
      <c r="C141" s="33"/>
      <c r="D141" s="20"/>
      <c r="E141" s="21"/>
    </row>
    <row r="142" spans="2:5">
      <c r="B142" s="33"/>
      <c r="C142" s="33"/>
      <c r="D142" s="20"/>
      <c r="E142" s="21"/>
    </row>
    <row r="143" spans="2:5">
      <c r="B143" s="33"/>
      <c r="C143" s="33"/>
      <c r="D143" s="20"/>
      <c r="E143" s="21"/>
    </row>
    <row r="144" spans="2:5">
      <c r="B144" s="33"/>
      <c r="C144" s="33"/>
      <c r="D144" s="20"/>
      <c r="E144" s="21"/>
    </row>
    <row r="145" spans="2:5">
      <c r="B145" s="33"/>
      <c r="C145" s="33"/>
      <c r="D145" s="20"/>
      <c r="E145" s="21"/>
    </row>
    <row r="146" spans="2:5">
      <c r="B146" s="33"/>
      <c r="C146" s="33"/>
      <c r="D146" s="20"/>
      <c r="E146" s="21"/>
    </row>
    <row r="147" spans="2:5">
      <c r="B147" s="33"/>
      <c r="C147" s="33"/>
      <c r="D147" s="20"/>
      <c r="E147" s="21"/>
    </row>
    <row r="148" spans="2:5">
      <c r="B148" s="33"/>
      <c r="C148" s="33"/>
      <c r="D148" s="20"/>
      <c r="E148" s="21"/>
    </row>
    <row r="149" spans="2:5">
      <c r="B149" s="33"/>
      <c r="C149" s="33"/>
      <c r="D149" s="20"/>
      <c r="E149" s="21"/>
    </row>
    <row r="150" spans="2:5">
      <c r="B150" s="33"/>
      <c r="C150" s="33"/>
      <c r="D150" s="20"/>
      <c r="E150" s="21"/>
    </row>
    <row r="151" spans="2:5">
      <c r="B151" s="33"/>
      <c r="C151" s="33"/>
      <c r="D151" s="20"/>
      <c r="E151" s="21"/>
    </row>
    <row r="152" spans="2:5">
      <c r="B152" s="33"/>
      <c r="C152" s="33"/>
      <c r="D152" s="20"/>
      <c r="E152" s="21"/>
    </row>
    <row r="153" spans="2:5">
      <c r="B153" s="33"/>
      <c r="C153" s="33"/>
      <c r="D153" s="20"/>
      <c r="E153" s="21"/>
    </row>
    <row r="154" spans="2:5">
      <c r="B154" s="33"/>
      <c r="C154" s="33"/>
      <c r="D154" s="20"/>
      <c r="E154" s="21"/>
    </row>
    <row r="155" spans="2:5">
      <c r="B155" s="33"/>
      <c r="C155" s="33"/>
      <c r="D155" s="20"/>
      <c r="E155" s="21"/>
    </row>
    <row r="156" spans="2:5">
      <c r="B156" s="33"/>
      <c r="C156" s="33"/>
      <c r="D156" s="20"/>
      <c r="E156" s="21"/>
    </row>
    <row r="157" spans="2:5">
      <c r="B157" s="33"/>
      <c r="C157" s="33"/>
      <c r="D157" s="20"/>
      <c r="E157" s="21"/>
    </row>
    <row r="158" spans="2:5">
      <c r="B158" s="33"/>
      <c r="C158" s="33"/>
      <c r="D158" s="20"/>
      <c r="E158" s="21"/>
    </row>
    <row r="159" spans="2:5">
      <c r="B159" s="33"/>
      <c r="C159" s="33"/>
      <c r="D159" s="20"/>
      <c r="E159" s="21"/>
    </row>
    <row r="160" spans="2:5">
      <c r="B160" s="33"/>
      <c r="C160" s="33"/>
      <c r="D160" s="20"/>
      <c r="E160" s="21"/>
    </row>
    <row r="161" spans="2:5">
      <c r="B161" s="33"/>
      <c r="C161" s="33"/>
      <c r="D161" s="20"/>
      <c r="E161" s="21"/>
    </row>
    <row r="162" spans="2:5">
      <c r="B162" s="33"/>
      <c r="C162" s="33"/>
      <c r="D162" s="20"/>
      <c r="E162" s="21"/>
    </row>
    <row r="163" spans="2:5">
      <c r="B163" s="33"/>
      <c r="C163" s="33"/>
      <c r="D163" s="20"/>
      <c r="E163" s="21"/>
    </row>
    <row r="164" spans="2:5">
      <c r="B164" s="33"/>
      <c r="C164" s="33"/>
      <c r="D164" s="20"/>
      <c r="E164" s="21"/>
    </row>
    <row r="165" spans="2:5">
      <c r="B165" s="33"/>
      <c r="C165" s="33"/>
      <c r="D165" s="20"/>
      <c r="E165" s="21"/>
    </row>
    <row r="166" spans="2:5">
      <c r="B166" s="33"/>
      <c r="C166" s="33"/>
      <c r="D166" s="20"/>
      <c r="E166" s="21"/>
    </row>
    <row r="167" spans="2:5">
      <c r="B167" s="33"/>
      <c r="C167" s="33"/>
      <c r="D167" s="20"/>
      <c r="E167" s="21"/>
    </row>
    <row r="168" spans="2:5">
      <c r="B168" s="33"/>
      <c r="C168" s="33"/>
      <c r="D168" s="20"/>
      <c r="E168" s="21"/>
    </row>
    <row r="169" spans="2:5">
      <c r="B169" s="33"/>
      <c r="C169" s="33"/>
      <c r="D169" s="20"/>
      <c r="E169" s="21"/>
    </row>
    <row r="170" spans="2:5">
      <c r="B170" s="33"/>
      <c r="C170" s="33"/>
      <c r="D170" s="20"/>
      <c r="E170" s="21"/>
    </row>
    <row r="171" spans="2:5">
      <c r="B171" s="33"/>
      <c r="C171" s="33"/>
      <c r="D171" s="20"/>
      <c r="E171" s="21"/>
    </row>
    <row r="172" spans="2:5">
      <c r="B172" s="33"/>
      <c r="C172" s="33"/>
      <c r="D172" s="20"/>
      <c r="E172" s="21"/>
    </row>
    <row r="173" spans="2:5">
      <c r="B173" s="33"/>
      <c r="C173" s="33"/>
      <c r="D173" s="20"/>
      <c r="E173" s="21"/>
    </row>
    <row r="174" spans="2:5">
      <c r="B174" s="33"/>
      <c r="C174" s="33"/>
      <c r="D174" s="20"/>
      <c r="E174" s="21"/>
    </row>
    <row r="175" spans="2:5">
      <c r="B175" s="33"/>
      <c r="C175" s="33"/>
      <c r="D175" s="20"/>
      <c r="E175" s="21"/>
    </row>
    <row r="176" spans="2:5">
      <c r="B176" s="33"/>
      <c r="C176" s="33"/>
      <c r="D176" s="20"/>
      <c r="E176" s="21"/>
    </row>
    <row r="177" spans="2:5">
      <c r="B177" s="33"/>
      <c r="C177" s="33"/>
      <c r="D177" s="20"/>
      <c r="E177" s="21"/>
    </row>
    <row r="178" spans="2:5">
      <c r="B178" s="33"/>
      <c r="C178" s="33"/>
      <c r="D178" s="20"/>
      <c r="E178" s="21"/>
    </row>
    <row r="179" spans="2:5">
      <c r="B179" s="33"/>
      <c r="C179" s="33"/>
      <c r="D179" s="20"/>
      <c r="E179" s="21"/>
    </row>
    <row r="180" spans="2:5">
      <c r="B180" s="33"/>
      <c r="C180" s="33"/>
      <c r="D180" s="20"/>
      <c r="E180" s="21"/>
    </row>
    <row r="181" spans="2:5">
      <c r="B181" s="33"/>
      <c r="C181" s="33"/>
      <c r="D181" s="20"/>
      <c r="E181" s="21"/>
    </row>
    <row r="182" spans="2:5">
      <c r="B182" s="33"/>
      <c r="C182" s="33"/>
      <c r="D182" s="20"/>
      <c r="E182" s="21"/>
    </row>
    <row r="183" spans="2:5">
      <c r="B183" s="33"/>
      <c r="C183" s="33"/>
      <c r="D183" s="20"/>
      <c r="E183" s="21"/>
    </row>
    <row r="184" spans="2:5">
      <c r="B184" s="33"/>
      <c r="C184" s="33"/>
      <c r="D184" s="20"/>
      <c r="E184" s="21"/>
    </row>
    <row r="185" spans="2:5">
      <c r="B185" s="33"/>
      <c r="C185" s="33"/>
      <c r="D185" s="20"/>
      <c r="E185" s="21"/>
    </row>
    <row r="186" spans="2:5">
      <c r="B186" s="33"/>
      <c r="C186" s="33"/>
      <c r="D186" s="20"/>
      <c r="E186" s="21"/>
    </row>
    <row r="187" spans="2:5">
      <c r="B187" s="33"/>
      <c r="C187" s="33"/>
      <c r="D187" s="20"/>
      <c r="E187" s="21"/>
    </row>
    <row r="188" spans="2:5">
      <c r="B188" s="33"/>
      <c r="C188" s="33"/>
      <c r="D188" s="20"/>
      <c r="E188" s="21"/>
    </row>
    <row r="189" spans="2:5">
      <c r="B189" s="33"/>
      <c r="C189" s="33"/>
      <c r="D189" s="20"/>
      <c r="E189" s="21"/>
    </row>
    <row r="190" spans="2:5">
      <c r="B190" s="33"/>
      <c r="C190" s="33"/>
      <c r="D190" s="20"/>
      <c r="E190" s="21"/>
    </row>
    <row r="191" spans="2:5">
      <c r="B191" s="33"/>
      <c r="C191" s="33"/>
      <c r="D191" s="20"/>
      <c r="E191" s="21"/>
    </row>
    <row r="192" spans="2:5">
      <c r="B192" s="33"/>
      <c r="C192" s="33"/>
      <c r="D192" s="20"/>
      <c r="E192" s="21"/>
    </row>
    <row r="193" spans="2:5">
      <c r="B193" s="33"/>
      <c r="C193" s="33"/>
      <c r="D193" s="20"/>
      <c r="E193" s="21"/>
    </row>
    <row r="194" spans="2:5">
      <c r="B194" s="33"/>
      <c r="C194" s="33"/>
      <c r="D194" s="20"/>
      <c r="E194" s="21"/>
    </row>
    <row r="195" spans="2:5">
      <c r="B195" s="33"/>
      <c r="C195" s="33"/>
      <c r="D195" s="20"/>
      <c r="E195" s="21"/>
    </row>
    <row r="196" spans="2:5">
      <c r="B196" s="33"/>
      <c r="C196" s="33"/>
      <c r="D196" s="20"/>
      <c r="E196" s="21"/>
    </row>
    <row r="197" spans="2:5">
      <c r="B197" s="33"/>
      <c r="C197" s="33"/>
      <c r="D197" s="20"/>
      <c r="E197" s="21"/>
    </row>
    <row r="198" spans="2:5">
      <c r="B198" s="33"/>
      <c r="C198" s="33"/>
      <c r="D198" s="20"/>
      <c r="E198" s="21"/>
    </row>
    <row r="199" spans="2:5">
      <c r="B199" s="33"/>
      <c r="C199" s="33"/>
      <c r="D199" s="20"/>
      <c r="E199" s="21"/>
    </row>
    <row r="200" spans="2:5">
      <c r="B200" s="33"/>
      <c r="C200" s="33"/>
      <c r="D200" s="20"/>
      <c r="E200" s="21"/>
    </row>
    <row r="201" spans="2:5">
      <c r="B201" s="33"/>
      <c r="C201" s="33"/>
      <c r="D201" s="20"/>
      <c r="E201" s="21"/>
    </row>
    <row r="202" spans="2:5">
      <c r="B202" s="33"/>
      <c r="C202" s="33"/>
      <c r="D202" s="20"/>
      <c r="E202" s="21"/>
    </row>
    <row r="203" spans="2:5">
      <c r="B203" s="33"/>
      <c r="C203" s="33"/>
      <c r="D203" s="20"/>
      <c r="E203" s="21"/>
    </row>
    <row r="204" spans="2:5">
      <c r="B204" s="33"/>
      <c r="C204" s="33"/>
      <c r="D204" s="20"/>
      <c r="E204" s="21"/>
    </row>
    <row r="205" spans="2:5">
      <c r="B205" s="33"/>
      <c r="C205" s="33"/>
      <c r="D205" s="20"/>
      <c r="E205" s="21"/>
    </row>
    <row r="206" spans="2:5">
      <c r="B206" s="33"/>
      <c r="C206" s="33"/>
      <c r="D206" s="20"/>
      <c r="E206" s="21"/>
    </row>
    <row r="207" spans="2:5">
      <c r="B207" s="33"/>
      <c r="C207" s="33"/>
      <c r="D207" s="20"/>
      <c r="E207" s="21"/>
    </row>
    <row r="208" spans="2:5">
      <c r="B208" s="33"/>
      <c r="C208" s="33"/>
      <c r="D208" s="20"/>
      <c r="E208" s="21"/>
    </row>
    <row r="209" spans="2:5">
      <c r="B209" s="33"/>
      <c r="C209" s="33"/>
      <c r="D209" s="20"/>
      <c r="E209" s="21"/>
    </row>
    <row r="210" spans="2:5">
      <c r="B210" s="33"/>
      <c r="C210" s="33"/>
      <c r="D210" s="20"/>
      <c r="E210" s="21"/>
    </row>
    <row r="211" spans="2:5">
      <c r="B211" s="33"/>
      <c r="C211" s="33"/>
      <c r="D211" s="20"/>
      <c r="E211" s="21"/>
    </row>
    <row r="212" spans="2:5">
      <c r="B212" s="33"/>
      <c r="C212" s="33"/>
      <c r="D212" s="20"/>
      <c r="E212" s="21"/>
    </row>
    <row r="213" spans="2:5">
      <c r="B213" s="33"/>
      <c r="C213" s="33"/>
      <c r="D213" s="20"/>
      <c r="E213" s="21"/>
    </row>
    <row r="214" spans="2:5">
      <c r="B214" s="33"/>
      <c r="C214" s="33"/>
      <c r="D214" s="20"/>
      <c r="E214" s="21"/>
    </row>
    <row r="215" spans="2:5">
      <c r="B215" s="33"/>
      <c r="C215" s="33"/>
      <c r="D215" s="20"/>
      <c r="E215" s="21"/>
    </row>
    <row r="216" spans="2:5">
      <c r="B216" s="33"/>
      <c r="C216" s="33"/>
      <c r="D216" s="20"/>
      <c r="E216" s="21"/>
    </row>
    <row r="217" spans="2:5">
      <c r="B217" s="33"/>
      <c r="C217" s="33"/>
      <c r="D217" s="20"/>
      <c r="E217" s="21"/>
    </row>
    <row r="218" spans="2:5">
      <c r="B218" s="33"/>
      <c r="C218" s="33"/>
      <c r="D218" s="20"/>
      <c r="E218" s="21"/>
    </row>
    <row r="219" spans="2:5">
      <c r="B219" s="33"/>
      <c r="C219" s="33"/>
      <c r="D219" s="20"/>
      <c r="E219" s="21"/>
    </row>
    <row r="220" spans="2:5">
      <c r="B220" s="33"/>
      <c r="C220" s="33"/>
      <c r="D220" s="20"/>
      <c r="E220" s="21"/>
    </row>
  </sheetData>
  <autoFilter ref="B2:E2"/>
  <pageMargins left="0.7" right="0.7" top="0.75" bottom="0.75" header="0.3" footer="0.3"/>
  <pageSetup paperSize="9" orientation="portrait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86"/>
  <sheetViews>
    <sheetView showGridLines="0" workbookViewId="0">
      <pane ySplit="2" topLeftCell="A3" activePane="bottomLeft" state="frozen"/>
      <selection activeCell="C4" sqref="C4"/>
      <selection pane="bottomLeft" activeCell="C9" sqref="C9"/>
    </sheetView>
  </sheetViews>
  <sheetFormatPr defaultRowHeight="14.25"/>
  <cols>
    <col min="2" max="3" width="11.75" style="34" customWidth="1"/>
    <col min="4" max="4" width="19.75" bestFit="1" customWidth="1"/>
    <col min="5" max="5" width="11.75" customWidth="1"/>
  </cols>
  <sheetData>
    <row r="1" spans="1:5" ht="15">
      <c r="A1" s="136"/>
      <c r="B1" s="49" t="s">
        <v>143</v>
      </c>
      <c r="C1" s="141"/>
      <c r="D1" s="136"/>
      <c r="E1" s="136"/>
    </row>
    <row r="2" spans="1:5">
      <c r="A2" s="136"/>
      <c r="B2" s="15" t="s">
        <v>164</v>
      </c>
      <c r="C2" s="15" t="s">
        <v>8</v>
      </c>
      <c r="D2" s="16" t="s">
        <v>9</v>
      </c>
      <c r="E2" s="16" t="s">
        <v>105</v>
      </c>
    </row>
    <row r="3" spans="1:5">
      <c r="A3" s="136">
        <f t="shared" ref="A3:A7" si="0">MONTH(B3)</f>
        <v>5</v>
      </c>
      <c r="B3" s="35">
        <v>43595</v>
      </c>
      <c r="C3" s="33" t="s">
        <v>64</v>
      </c>
      <c r="D3" s="20" t="s">
        <v>63</v>
      </c>
      <c r="E3" s="21">
        <v>6</v>
      </c>
    </row>
    <row r="4" spans="1:5">
      <c r="A4" s="136">
        <f t="shared" si="0"/>
        <v>6</v>
      </c>
      <c r="B4" s="35">
        <v>43626</v>
      </c>
      <c r="C4" s="33" t="s">
        <v>66</v>
      </c>
      <c r="D4" s="20" t="s">
        <v>63</v>
      </c>
      <c r="E4" s="21">
        <v>6</v>
      </c>
    </row>
    <row r="5" spans="1:5">
      <c r="A5" s="136">
        <f t="shared" si="0"/>
        <v>7</v>
      </c>
      <c r="B5" s="35">
        <v>43656</v>
      </c>
      <c r="C5" s="33" t="s">
        <v>70</v>
      </c>
      <c r="D5" s="20" t="s">
        <v>63</v>
      </c>
      <c r="E5" s="21">
        <v>6</v>
      </c>
    </row>
    <row r="6" spans="1:5">
      <c r="A6" s="136">
        <f t="shared" si="0"/>
        <v>8</v>
      </c>
      <c r="B6" s="35">
        <v>43687</v>
      </c>
      <c r="C6" s="33" t="s">
        <v>75</v>
      </c>
      <c r="D6" s="20" t="s">
        <v>63</v>
      </c>
      <c r="E6" s="21">
        <v>6</v>
      </c>
    </row>
    <row r="7" spans="1:5">
      <c r="A7" s="136">
        <f t="shared" si="0"/>
        <v>7</v>
      </c>
      <c r="B7" s="35">
        <v>43656</v>
      </c>
      <c r="C7" s="33" t="s">
        <v>70</v>
      </c>
      <c r="D7" s="20" t="s">
        <v>20</v>
      </c>
      <c r="E7" s="21">
        <v>10</v>
      </c>
    </row>
    <row r="8" spans="1:5">
      <c r="A8" s="136">
        <v>8</v>
      </c>
      <c r="B8" s="35">
        <v>43715</v>
      </c>
      <c r="C8" s="33" t="s">
        <v>75</v>
      </c>
      <c r="D8" s="20" t="s">
        <v>20</v>
      </c>
      <c r="E8" s="21">
        <v>12</v>
      </c>
    </row>
    <row r="9" spans="1:5">
      <c r="A9" s="136"/>
      <c r="B9" s="35"/>
      <c r="C9" s="33"/>
      <c r="D9" s="20"/>
      <c r="E9" s="21"/>
    </row>
    <row r="10" spans="1:5">
      <c r="A10" s="136"/>
      <c r="B10" s="35"/>
      <c r="C10" s="33"/>
      <c r="D10" s="20"/>
      <c r="E10" s="21"/>
    </row>
    <row r="11" spans="1:5">
      <c r="A11" s="136"/>
      <c r="B11" s="35"/>
      <c r="C11" s="33"/>
      <c r="D11" s="20"/>
      <c r="E11" s="21"/>
    </row>
    <row r="12" spans="1:5">
      <c r="A12" s="136"/>
      <c r="B12" s="35"/>
      <c r="C12" s="33"/>
      <c r="D12" s="20"/>
      <c r="E12" s="21"/>
    </row>
    <row r="13" spans="1:5">
      <c r="A13" s="136"/>
      <c r="B13" s="35"/>
      <c r="C13" s="33"/>
      <c r="D13" s="20"/>
      <c r="E13" s="21"/>
    </row>
    <row r="14" spans="1:5">
      <c r="A14" s="136"/>
      <c r="B14" s="35"/>
      <c r="C14" s="33"/>
      <c r="D14" s="20"/>
      <c r="E14" s="21"/>
    </row>
    <row r="15" spans="1:5">
      <c r="A15" s="136"/>
      <c r="B15" s="35"/>
      <c r="C15" s="33"/>
      <c r="D15" s="20"/>
      <c r="E15" s="21"/>
    </row>
    <row r="16" spans="1:5">
      <c r="A16" s="136"/>
      <c r="B16" s="35"/>
      <c r="C16" s="33"/>
      <c r="D16" s="20"/>
      <c r="E16" s="21"/>
    </row>
    <row r="17" spans="2:5">
      <c r="B17" s="35"/>
      <c r="C17" s="33"/>
      <c r="D17" s="20"/>
      <c r="E17" s="21"/>
    </row>
    <row r="18" spans="2:5">
      <c r="B18" s="35"/>
      <c r="C18" s="33"/>
      <c r="D18" s="20"/>
      <c r="E18" s="21"/>
    </row>
    <row r="19" spans="2:5">
      <c r="B19" s="35"/>
      <c r="C19" s="33"/>
      <c r="D19" s="20"/>
      <c r="E19" s="21"/>
    </row>
    <row r="20" spans="2:5">
      <c r="B20" s="35"/>
      <c r="C20" s="33"/>
      <c r="D20" s="20"/>
      <c r="E20" s="21"/>
    </row>
    <row r="21" spans="2:5">
      <c r="B21" s="35"/>
      <c r="C21" s="33"/>
      <c r="D21" s="20"/>
      <c r="E21" s="21"/>
    </row>
    <row r="22" spans="2:5">
      <c r="B22" s="35"/>
      <c r="C22" s="33"/>
      <c r="D22" s="20"/>
      <c r="E22" s="21"/>
    </row>
    <row r="23" spans="2:5">
      <c r="B23" s="35"/>
      <c r="C23" s="33"/>
      <c r="D23" s="20"/>
      <c r="E23" s="21"/>
    </row>
    <row r="24" spans="2:5">
      <c r="B24" s="35"/>
      <c r="C24" s="33"/>
      <c r="D24" s="20"/>
      <c r="E24" s="21"/>
    </row>
    <row r="25" spans="2:5">
      <c r="B25" s="35"/>
      <c r="C25" s="33"/>
      <c r="D25" s="20"/>
      <c r="E25" s="21"/>
    </row>
    <row r="26" spans="2:5">
      <c r="B26" s="35"/>
      <c r="C26" s="33"/>
      <c r="D26" s="20"/>
      <c r="E26" s="21"/>
    </row>
    <row r="27" spans="2:5">
      <c r="B27" s="35"/>
      <c r="C27" s="33"/>
      <c r="D27" s="20"/>
      <c r="E27" s="21"/>
    </row>
    <row r="28" spans="2:5">
      <c r="B28" s="35"/>
      <c r="C28" s="33"/>
      <c r="D28" s="20"/>
      <c r="E28" s="21"/>
    </row>
    <row r="29" spans="2:5">
      <c r="B29" s="35"/>
      <c r="C29" s="33"/>
      <c r="D29" s="20"/>
      <c r="E29" s="21"/>
    </row>
    <row r="30" spans="2:5">
      <c r="B30" s="35"/>
      <c r="C30" s="33"/>
      <c r="D30" s="20"/>
      <c r="E30" s="21"/>
    </row>
    <row r="31" spans="2:5">
      <c r="B31" s="35"/>
      <c r="C31" s="33"/>
      <c r="D31" s="20"/>
      <c r="E31" s="21"/>
    </row>
    <row r="32" spans="2:5">
      <c r="B32" s="35"/>
      <c r="C32" s="33"/>
      <c r="D32" s="20"/>
      <c r="E32" s="21"/>
    </row>
    <row r="33" spans="2:5">
      <c r="B33" s="35"/>
      <c r="C33" s="33"/>
      <c r="D33" s="20"/>
      <c r="E33" s="21"/>
    </row>
    <row r="34" spans="2:5">
      <c r="B34" s="35"/>
      <c r="C34" s="33"/>
      <c r="D34" s="20"/>
      <c r="E34" s="21"/>
    </row>
    <row r="35" spans="2:5">
      <c r="B35" s="35"/>
      <c r="C35" s="33"/>
      <c r="D35" s="20"/>
      <c r="E35" s="21"/>
    </row>
    <row r="36" spans="2:5">
      <c r="B36" s="35"/>
      <c r="C36" s="33"/>
      <c r="D36" s="20"/>
      <c r="E36" s="21"/>
    </row>
    <row r="37" spans="2:5">
      <c r="B37" s="35"/>
      <c r="C37" s="33"/>
      <c r="D37" s="20"/>
      <c r="E37" s="21"/>
    </row>
    <row r="38" spans="2:5">
      <c r="B38" s="35"/>
      <c r="C38" s="33"/>
      <c r="D38" s="20"/>
      <c r="E38" s="21"/>
    </row>
    <row r="39" spans="2:5">
      <c r="B39" s="35"/>
      <c r="C39" s="33"/>
      <c r="D39" s="20"/>
      <c r="E39" s="21"/>
    </row>
    <row r="40" spans="2:5">
      <c r="B40" s="35"/>
      <c r="C40" s="33"/>
      <c r="D40" s="20"/>
      <c r="E40" s="21"/>
    </row>
    <row r="41" spans="2:5">
      <c r="B41" s="35"/>
      <c r="C41" s="33"/>
      <c r="D41" s="20"/>
      <c r="E41" s="21"/>
    </row>
    <row r="42" spans="2:5">
      <c r="B42" s="35"/>
      <c r="C42" s="33"/>
      <c r="D42" s="20"/>
      <c r="E42" s="21"/>
    </row>
    <row r="43" spans="2:5">
      <c r="B43" s="35"/>
      <c r="C43" s="33"/>
      <c r="D43" s="20"/>
      <c r="E43" s="21"/>
    </row>
    <row r="44" spans="2:5">
      <c r="B44" s="35"/>
      <c r="C44" s="33"/>
      <c r="D44" s="20"/>
      <c r="E44" s="21"/>
    </row>
    <row r="45" spans="2:5">
      <c r="B45" s="35"/>
      <c r="C45" s="33"/>
      <c r="D45" s="20"/>
      <c r="E45" s="21"/>
    </row>
    <row r="46" spans="2:5">
      <c r="B46" s="35"/>
      <c r="C46" s="33"/>
      <c r="D46" s="20"/>
      <c r="E46" s="21"/>
    </row>
    <row r="47" spans="2:5">
      <c r="B47" s="35"/>
      <c r="C47" s="33"/>
      <c r="D47" s="20"/>
      <c r="E47" s="21"/>
    </row>
    <row r="48" spans="2:5">
      <c r="B48" s="35"/>
      <c r="C48" s="33"/>
      <c r="D48" s="20"/>
      <c r="E48" s="21"/>
    </row>
    <row r="49" spans="2:5">
      <c r="B49" s="35"/>
      <c r="C49" s="33"/>
      <c r="D49" s="20"/>
      <c r="E49" s="21"/>
    </row>
    <row r="50" spans="2:5">
      <c r="B50" s="35"/>
      <c r="C50" s="33"/>
      <c r="D50" s="20"/>
      <c r="E50" s="21"/>
    </row>
    <row r="51" spans="2:5">
      <c r="B51" s="35"/>
      <c r="C51" s="33"/>
      <c r="D51" s="20"/>
      <c r="E51" s="21"/>
    </row>
    <row r="52" spans="2:5">
      <c r="B52" s="35"/>
      <c r="C52" s="33"/>
      <c r="D52" s="20"/>
      <c r="E52" s="21"/>
    </row>
    <row r="53" spans="2:5">
      <c r="B53" s="35"/>
      <c r="C53" s="33"/>
      <c r="D53" s="20"/>
      <c r="E53" s="21"/>
    </row>
    <row r="54" spans="2:5">
      <c r="B54" s="35"/>
      <c r="C54" s="33"/>
      <c r="D54" s="20"/>
      <c r="E54" s="21"/>
    </row>
    <row r="55" spans="2:5">
      <c r="B55" s="35"/>
      <c r="C55" s="33"/>
      <c r="D55" s="20"/>
      <c r="E55" s="21"/>
    </row>
    <row r="56" spans="2:5">
      <c r="B56" s="35"/>
      <c r="C56" s="33"/>
      <c r="D56" s="20"/>
      <c r="E56" s="21"/>
    </row>
    <row r="57" spans="2:5">
      <c r="B57" s="35"/>
      <c r="C57" s="33"/>
      <c r="D57" s="20"/>
      <c r="E57" s="21"/>
    </row>
    <row r="58" spans="2:5">
      <c r="B58" s="35"/>
      <c r="C58" s="33"/>
      <c r="D58" s="20"/>
      <c r="E58" s="21"/>
    </row>
    <row r="59" spans="2:5">
      <c r="B59" s="35"/>
      <c r="C59" s="33"/>
      <c r="D59" s="20"/>
      <c r="E59" s="21"/>
    </row>
    <row r="60" spans="2:5">
      <c r="B60" s="35"/>
      <c r="C60" s="33"/>
      <c r="D60" s="20"/>
      <c r="E60" s="21"/>
    </row>
    <row r="61" spans="2:5">
      <c r="B61" s="35"/>
      <c r="C61" s="33"/>
      <c r="D61" s="20"/>
      <c r="E61" s="21"/>
    </row>
    <row r="62" spans="2:5">
      <c r="B62" s="35"/>
      <c r="C62" s="33"/>
      <c r="D62" s="20"/>
      <c r="E62" s="21"/>
    </row>
    <row r="63" spans="2:5">
      <c r="B63" s="35"/>
      <c r="C63" s="33"/>
      <c r="D63" s="20"/>
      <c r="E63" s="21"/>
    </row>
    <row r="64" spans="2:5">
      <c r="B64" s="35"/>
      <c r="C64" s="33"/>
      <c r="D64" s="20"/>
      <c r="E64" s="21"/>
    </row>
    <row r="65" spans="2:5">
      <c r="B65" s="35"/>
      <c r="C65" s="33"/>
      <c r="D65" s="20"/>
      <c r="E65" s="21"/>
    </row>
    <row r="66" spans="2:5">
      <c r="B66" s="35"/>
      <c r="C66" s="33"/>
      <c r="D66" s="20"/>
      <c r="E66" s="21"/>
    </row>
    <row r="67" spans="2:5">
      <c r="B67" s="35"/>
      <c r="C67" s="33"/>
      <c r="D67" s="20"/>
      <c r="E67" s="21"/>
    </row>
    <row r="68" spans="2:5">
      <c r="B68" s="35"/>
      <c r="C68" s="33"/>
      <c r="D68" s="20"/>
      <c r="E68" s="21"/>
    </row>
    <row r="69" spans="2:5">
      <c r="B69" s="35"/>
      <c r="C69" s="33"/>
      <c r="D69" s="20"/>
      <c r="E69" s="21"/>
    </row>
    <row r="70" spans="2:5">
      <c r="B70" s="35"/>
      <c r="C70" s="33"/>
      <c r="D70" s="20"/>
      <c r="E70" s="21"/>
    </row>
    <row r="71" spans="2:5">
      <c r="B71" s="35"/>
      <c r="C71" s="33"/>
      <c r="D71" s="20"/>
      <c r="E71" s="21"/>
    </row>
    <row r="72" spans="2:5">
      <c r="B72" s="35"/>
      <c r="C72" s="33"/>
      <c r="D72" s="20"/>
      <c r="E72" s="21"/>
    </row>
    <row r="73" spans="2:5">
      <c r="B73" s="35"/>
      <c r="C73" s="33"/>
      <c r="D73" s="20"/>
      <c r="E73" s="21"/>
    </row>
    <row r="74" spans="2:5">
      <c r="B74" s="35"/>
      <c r="C74" s="33"/>
      <c r="D74" s="20"/>
      <c r="E74" s="21"/>
    </row>
    <row r="75" spans="2:5">
      <c r="B75" s="35"/>
      <c r="C75" s="33"/>
      <c r="D75" s="20"/>
      <c r="E75" s="21"/>
    </row>
    <row r="76" spans="2:5">
      <c r="B76" s="35"/>
      <c r="C76" s="33"/>
      <c r="D76" s="20"/>
      <c r="E76" s="21"/>
    </row>
    <row r="77" spans="2:5">
      <c r="B77" s="35"/>
      <c r="C77" s="33"/>
      <c r="D77" s="20"/>
      <c r="E77" s="21"/>
    </row>
    <row r="78" spans="2:5">
      <c r="B78" s="35"/>
      <c r="C78" s="33"/>
      <c r="D78" s="20"/>
      <c r="E78" s="21"/>
    </row>
    <row r="79" spans="2:5">
      <c r="B79" s="35"/>
      <c r="C79" s="33"/>
      <c r="D79" s="20"/>
      <c r="E79" s="21"/>
    </row>
    <row r="80" spans="2:5">
      <c r="B80" s="35"/>
      <c r="C80" s="33"/>
      <c r="D80" s="20"/>
      <c r="E80" s="21"/>
    </row>
    <row r="81" spans="2:5">
      <c r="B81" s="35"/>
      <c r="C81" s="33"/>
      <c r="D81" s="20"/>
      <c r="E81" s="21"/>
    </row>
    <row r="82" spans="2:5">
      <c r="B82" s="35"/>
      <c r="C82" s="33"/>
      <c r="D82" s="20"/>
      <c r="E82" s="21"/>
    </row>
    <row r="83" spans="2:5">
      <c r="B83" s="35"/>
      <c r="C83" s="33"/>
      <c r="D83" s="20"/>
      <c r="E83" s="21"/>
    </row>
    <row r="84" spans="2:5">
      <c r="B84" s="35"/>
      <c r="C84" s="33"/>
      <c r="D84" s="20"/>
      <c r="E84" s="21"/>
    </row>
    <row r="85" spans="2:5">
      <c r="B85" s="35"/>
      <c r="C85" s="33"/>
      <c r="D85" s="20"/>
      <c r="E85" s="21"/>
    </row>
    <row r="86" spans="2:5">
      <c r="B86" s="35"/>
      <c r="C86" s="33"/>
      <c r="D86" s="20"/>
      <c r="E86" s="21"/>
    </row>
    <row r="87" spans="2:5">
      <c r="B87" s="35"/>
      <c r="C87" s="33"/>
      <c r="D87" s="20"/>
      <c r="E87" s="21"/>
    </row>
    <row r="88" spans="2:5">
      <c r="B88" s="35"/>
      <c r="C88" s="33"/>
      <c r="D88" s="20"/>
      <c r="E88" s="21"/>
    </row>
    <row r="89" spans="2:5">
      <c r="B89" s="35"/>
      <c r="C89" s="33"/>
      <c r="D89" s="20"/>
      <c r="E89" s="21"/>
    </row>
    <row r="90" spans="2:5">
      <c r="B90" s="35"/>
      <c r="C90" s="33"/>
      <c r="D90" s="20"/>
      <c r="E90" s="21"/>
    </row>
    <row r="91" spans="2:5">
      <c r="B91" s="35"/>
      <c r="C91" s="33"/>
      <c r="D91" s="20"/>
      <c r="E91" s="21"/>
    </row>
    <row r="92" spans="2:5">
      <c r="B92" s="35"/>
      <c r="C92" s="33"/>
      <c r="D92" s="20"/>
      <c r="E92" s="21"/>
    </row>
    <row r="93" spans="2:5">
      <c r="B93" s="35"/>
      <c r="C93" s="33"/>
      <c r="D93" s="20"/>
      <c r="E93" s="21"/>
    </row>
    <row r="94" spans="2:5">
      <c r="B94" s="35"/>
      <c r="C94" s="33"/>
      <c r="D94" s="20"/>
      <c r="E94" s="21"/>
    </row>
    <row r="95" spans="2:5">
      <c r="B95" s="35"/>
      <c r="C95" s="33"/>
      <c r="D95" s="20"/>
      <c r="E95" s="21"/>
    </row>
    <row r="96" spans="2:5">
      <c r="B96" s="35"/>
      <c r="C96" s="33"/>
      <c r="D96" s="20"/>
      <c r="E96" s="21"/>
    </row>
    <row r="97" spans="2:5">
      <c r="B97" s="35"/>
      <c r="C97" s="33"/>
      <c r="D97" s="20"/>
      <c r="E97" s="21"/>
    </row>
    <row r="98" spans="2:5">
      <c r="B98" s="35"/>
      <c r="C98" s="33"/>
      <c r="D98" s="20"/>
      <c r="E98" s="21"/>
    </row>
    <row r="99" spans="2:5">
      <c r="B99" s="35"/>
      <c r="C99" s="33"/>
      <c r="D99" s="20"/>
      <c r="E99" s="21"/>
    </row>
    <row r="100" spans="2:5">
      <c r="B100" s="35"/>
      <c r="C100" s="33"/>
      <c r="D100" s="20"/>
      <c r="E100" s="21"/>
    </row>
    <row r="101" spans="2:5">
      <c r="B101" s="35"/>
      <c r="C101" s="33"/>
      <c r="D101" s="20"/>
      <c r="E101" s="21"/>
    </row>
    <row r="102" spans="2:5">
      <c r="B102" s="35"/>
      <c r="C102" s="33"/>
      <c r="D102" s="20"/>
      <c r="E102" s="21"/>
    </row>
    <row r="103" spans="2:5">
      <c r="B103" s="35"/>
      <c r="C103" s="33"/>
      <c r="D103" s="20"/>
      <c r="E103" s="21"/>
    </row>
    <row r="104" spans="2:5">
      <c r="B104" s="35"/>
      <c r="C104" s="33"/>
      <c r="D104" s="20"/>
      <c r="E104" s="21"/>
    </row>
    <row r="105" spans="2:5">
      <c r="B105" s="35"/>
      <c r="C105" s="33"/>
      <c r="D105" s="20"/>
      <c r="E105" s="21"/>
    </row>
    <row r="106" spans="2:5">
      <c r="B106" s="35"/>
      <c r="C106" s="33"/>
      <c r="D106" s="20"/>
      <c r="E106" s="21"/>
    </row>
    <row r="107" spans="2:5">
      <c r="B107" s="35"/>
      <c r="C107" s="33"/>
      <c r="D107" s="20"/>
      <c r="E107" s="21"/>
    </row>
    <row r="108" spans="2:5">
      <c r="B108" s="35"/>
      <c r="C108" s="33"/>
      <c r="D108" s="20"/>
      <c r="E108" s="21"/>
    </row>
    <row r="109" spans="2:5">
      <c r="B109" s="35"/>
      <c r="C109" s="33"/>
      <c r="D109" s="20"/>
      <c r="E109" s="21"/>
    </row>
    <row r="110" spans="2:5">
      <c r="B110" s="35"/>
      <c r="C110" s="33"/>
      <c r="D110" s="20"/>
      <c r="E110" s="21"/>
    </row>
    <row r="111" spans="2:5">
      <c r="B111" s="35"/>
      <c r="C111" s="33"/>
      <c r="D111" s="20"/>
      <c r="E111" s="21"/>
    </row>
    <row r="112" spans="2:5">
      <c r="B112" s="35"/>
      <c r="C112" s="33"/>
      <c r="D112" s="20"/>
      <c r="E112" s="21"/>
    </row>
    <row r="113" spans="2:5">
      <c r="B113" s="35"/>
      <c r="C113" s="33"/>
      <c r="D113" s="20"/>
      <c r="E113" s="21"/>
    </row>
    <row r="114" spans="2:5">
      <c r="B114" s="35"/>
      <c r="C114" s="33"/>
      <c r="D114" s="20"/>
      <c r="E114" s="21"/>
    </row>
    <row r="115" spans="2:5">
      <c r="B115" s="35"/>
      <c r="C115" s="33"/>
      <c r="D115" s="20"/>
      <c r="E115" s="21"/>
    </row>
    <row r="116" spans="2:5">
      <c r="B116" s="35"/>
      <c r="C116" s="33"/>
      <c r="D116" s="20"/>
      <c r="E116" s="21"/>
    </row>
    <row r="117" spans="2:5">
      <c r="B117" s="35"/>
      <c r="C117" s="33"/>
      <c r="D117" s="20"/>
      <c r="E117" s="21"/>
    </row>
    <row r="118" spans="2:5">
      <c r="B118" s="35"/>
      <c r="C118" s="33"/>
      <c r="D118" s="20"/>
      <c r="E118" s="21"/>
    </row>
    <row r="119" spans="2:5">
      <c r="B119" s="35"/>
      <c r="C119" s="33"/>
      <c r="D119" s="20"/>
      <c r="E119" s="21"/>
    </row>
    <row r="120" spans="2:5">
      <c r="B120" s="35"/>
      <c r="C120" s="33"/>
      <c r="D120" s="20"/>
      <c r="E120" s="21"/>
    </row>
    <row r="121" spans="2:5">
      <c r="B121" s="40"/>
      <c r="C121" s="33"/>
      <c r="D121" s="20"/>
      <c r="E121" s="21"/>
    </row>
    <row r="122" spans="2:5">
      <c r="B122" s="40"/>
      <c r="C122" s="33"/>
      <c r="D122" s="20"/>
      <c r="E122" s="21"/>
    </row>
    <row r="123" spans="2:5">
      <c r="B123" s="40"/>
      <c r="C123" s="33"/>
      <c r="D123" s="20"/>
      <c r="E123" s="21"/>
    </row>
    <row r="124" spans="2:5">
      <c r="B124" s="40"/>
      <c r="C124" s="33"/>
      <c r="D124" s="20"/>
      <c r="E124" s="21"/>
    </row>
    <row r="125" spans="2:5">
      <c r="B125" s="40"/>
      <c r="C125" s="33"/>
      <c r="D125" s="20"/>
      <c r="E125" s="21"/>
    </row>
    <row r="126" spans="2:5">
      <c r="B126" s="40"/>
      <c r="C126" s="33"/>
      <c r="D126" s="20"/>
      <c r="E126" s="21"/>
    </row>
    <row r="127" spans="2:5">
      <c r="B127" s="40"/>
      <c r="C127" s="33"/>
      <c r="D127" s="20"/>
      <c r="E127" s="21"/>
    </row>
    <row r="128" spans="2:5">
      <c r="B128" s="40"/>
      <c r="C128" s="33"/>
      <c r="D128" s="20"/>
      <c r="E128" s="21"/>
    </row>
    <row r="129" spans="1:5">
      <c r="A129" s="136"/>
      <c r="B129" s="40"/>
      <c r="C129" s="33"/>
      <c r="D129" s="20"/>
      <c r="E129" s="21"/>
    </row>
    <row r="130" spans="1:5">
      <c r="A130" s="136"/>
      <c r="B130" s="40"/>
      <c r="C130" s="33"/>
      <c r="D130" s="20"/>
      <c r="E130" s="21"/>
    </row>
    <row r="131" spans="1:5">
      <c r="A131" s="136"/>
      <c r="B131" s="40"/>
      <c r="C131" s="33"/>
      <c r="D131" s="20"/>
      <c r="E131" s="21"/>
    </row>
    <row r="132" spans="1:5">
      <c r="A132" s="136"/>
      <c r="B132" s="40"/>
      <c r="C132" s="33"/>
      <c r="D132" s="20"/>
      <c r="E132" s="21"/>
    </row>
    <row r="133" spans="1:5">
      <c r="A133" s="136"/>
      <c r="B133" s="40"/>
      <c r="C133" s="33"/>
      <c r="D133" s="20"/>
      <c r="E133" s="21"/>
    </row>
    <row r="134" spans="1:5">
      <c r="A134" s="136"/>
      <c r="B134" s="40"/>
      <c r="C134" s="33"/>
      <c r="D134" s="20"/>
      <c r="E134" s="21"/>
    </row>
    <row r="135" spans="1:5">
      <c r="A135" s="136"/>
      <c r="B135" s="40"/>
      <c r="C135" s="33"/>
      <c r="D135" s="20"/>
      <c r="E135" s="21"/>
    </row>
    <row r="136" spans="1:5">
      <c r="A136" s="136"/>
      <c r="B136" s="40"/>
      <c r="C136" s="33"/>
      <c r="D136" s="20"/>
      <c r="E136" s="21"/>
    </row>
    <row r="137" spans="1:5">
      <c r="A137" s="136"/>
      <c r="B137" s="40"/>
      <c r="C137" s="33"/>
      <c r="D137" s="20"/>
      <c r="E137" s="21"/>
    </row>
    <row r="138" spans="1:5">
      <c r="A138" s="136"/>
      <c r="B138" s="40"/>
      <c r="C138" s="33"/>
      <c r="D138" s="20"/>
      <c r="E138" s="21"/>
    </row>
    <row r="139" spans="1:5">
      <c r="A139" s="136"/>
      <c r="B139" s="40"/>
      <c r="C139" s="33"/>
      <c r="D139" s="20"/>
      <c r="E139" s="21"/>
    </row>
    <row r="140" spans="1:5">
      <c r="A140" s="136"/>
      <c r="B140" s="40"/>
      <c r="C140" s="33"/>
      <c r="D140" s="20"/>
      <c r="E140" s="21"/>
    </row>
    <row r="141" spans="1:5">
      <c r="A141" s="136"/>
      <c r="B141" s="40"/>
      <c r="C141" s="33"/>
      <c r="D141" s="20"/>
      <c r="E141" s="21"/>
    </row>
    <row r="142" spans="1:5">
      <c r="A142" s="136"/>
      <c r="B142" s="40"/>
      <c r="C142" s="33"/>
      <c r="D142" s="20"/>
      <c r="E142" s="21"/>
    </row>
    <row r="143" spans="1:5">
      <c r="A143" s="42"/>
      <c r="B143" s="40"/>
      <c r="C143" s="33"/>
      <c r="D143" s="20"/>
      <c r="E143" s="21"/>
    </row>
    <row r="144" spans="1:5">
      <c r="A144" s="136"/>
      <c r="B144" s="40"/>
      <c r="C144" s="33"/>
      <c r="D144" s="20"/>
      <c r="E144" s="21"/>
    </row>
    <row r="145" spans="2:5">
      <c r="B145" s="40"/>
      <c r="C145" s="33"/>
      <c r="D145" s="20"/>
      <c r="E145" s="21"/>
    </row>
    <row r="146" spans="2:5">
      <c r="B146" s="40"/>
      <c r="C146" s="33"/>
      <c r="D146" s="20"/>
      <c r="E146" s="21"/>
    </row>
    <row r="147" spans="2:5">
      <c r="B147" s="40"/>
      <c r="C147" s="33"/>
      <c r="D147" s="20"/>
      <c r="E147" s="21"/>
    </row>
    <row r="148" spans="2:5">
      <c r="B148" s="40"/>
      <c r="C148" s="33"/>
      <c r="D148" s="20"/>
      <c r="E148" s="21"/>
    </row>
    <row r="149" spans="2:5">
      <c r="B149" s="40"/>
      <c r="C149" s="33"/>
      <c r="D149" s="20"/>
      <c r="E149" s="21"/>
    </row>
    <row r="150" spans="2:5">
      <c r="B150" s="40"/>
      <c r="C150" s="33"/>
      <c r="D150" s="20"/>
      <c r="E150" s="21"/>
    </row>
    <row r="151" spans="2:5">
      <c r="B151" s="40"/>
      <c r="C151" s="33"/>
      <c r="D151" s="20"/>
      <c r="E151" s="21"/>
    </row>
    <row r="152" spans="2:5">
      <c r="B152" s="40"/>
      <c r="C152" s="33"/>
      <c r="D152" s="20"/>
      <c r="E152" s="21"/>
    </row>
    <row r="153" spans="2:5">
      <c r="B153" s="40"/>
      <c r="C153" s="33"/>
      <c r="D153" s="20"/>
      <c r="E153" s="21"/>
    </row>
    <row r="154" spans="2:5">
      <c r="B154" s="40"/>
      <c r="C154" s="33"/>
      <c r="D154" s="20"/>
      <c r="E154" s="21"/>
    </row>
    <row r="155" spans="2:5">
      <c r="B155" s="40"/>
      <c r="C155" s="33"/>
      <c r="D155" s="20"/>
      <c r="E155" s="21"/>
    </row>
    <row r="156" spans="2:5">
      <c r="B156" s="40"/>
      <c r="C156" s="33"/>
      <c r="D156" s="20"/>
      <c r="E156" s="21"/>
    </row>
    <row r="157" spans="2:5">
      <c r="B157" s="40"/>
      <c r="C157" s="33"/>
      <c r="D157" s="20"/>
      <c r="E157" s="21"/>
    </row>
    <row r="158" spans="2:5">
      <c r="B158" s="40"/>
      <c r="C158" s="33"/>
      <c r="D158" s="20"/>
      <c r="E158" s="21"/>
    </row>
    <row r="159" spans="2:5">
      <c r="B159" s="40"/>
      <c r="C159" s="33"/>
      <c r="D159" s="20"/>
      <c r="E159" s="21"/>
    </row>
    <row r="160" spans="2:5">
      <c r="B160" s="40"/>
      <c r="C160" s="33"/>
      <c r="D160" s="20"/>
      <c r="E160" s="21"/>
    </row>
    <row r="161" spans="2:5">
      <c r="B161" s="40"/>
      <c r="C161" s="33"/>
      <c r="D161" s="20"/>
      <c r="E161" s="21"/>
    </row>
    <row r="162" spans="2:5">
      <c r="B162" s="40"/>
      <c r="C162" s="33"/>
      <c r="D162" s="20"/>
      <c r="E162" s="21"/>
    </row>
    <row r="163" spans="2:5">
      <c r="B163" s="40"/>
      <c r="C163" s="33"/>
      <c r="D163" s="20"/>
      <c r="E163" s="21"/>
    </row>
    <row r="164" spans="2:5">
      <c r="B164" s="40"/>
      <c r="C164" s="33"/>
      <c r="D164" s="20"/>
      <c r="E164" s="21"/>
    </row>
    <row r="165" spans="2:5">
      <c r="B165" s="40"/>
      <c r="C165" s="33"/>
      <c r="D165" s="20"/>
      <c r="E165" s="21"/>
    </row>
    <row r="166" spans="2:5">
      <c r="B166" s="40"/>
      <c r="C166" s="33"/>
      <c r="D166" s="20"/>
      <c r="E166" s="21"/>
    </row>
    <row r="167" spans="2:5">
      <c r="B167" s="40"/>
      <c r="C167" s="33"/>
      <c r="D167" s="20"/>
      <c r="E167" s="21"/>
    </row>
    <row r="168" spans="2:5">
      <c r="B168" s="40"/>
      <c r="C168" s="33"/>
      <c r="D168" s="20"/>
      <c r="E168" s="21"/>
    </row>
    <row r="169" spans="2:5">
      <c r="B169" s="40"/>
      <c r="C169" s="33"/>
      <c r="D169" s="20"/>
      <c r="E169" s="21"/>
    </row>
    <row r="170" spans="2:5">
      <c r="B170" s="40"/>
      <c r="C170" s="33"/>
      <c r="D170" s="20"/>
      <c r="E170" s="21"/>
    </row>
    <row r="171" spans="2:5">
      <c r="B171" s="40"/>
      <c r="C171" s="33"/>
      <c r="D171" s="20"/>
      <c r="E171" s="21"/>
    </row>
    <row r="172" spans="2:5">
      <c r="B172" s="40"/>
      <c r="C172" s="33"/>
      <c r="D172" s="20"/>
      <c r="E172" s="21"/>
    </row>
    <row r="173" spans="2:5">
      <c r="B173" s="40"/>
      <c r="C173" s="33"/>
      <c r="D173" s="20"/>
      <c r="E173" s="21"/>
    </row>
    <row r="174" spans="2:5">
      <c r="B174" s="40"/>
      <c r="C174" s="33"/>
      <c r="D174" s="20"/>
      <c r="E174" s="21"/>
    </row>
    <row r="175" spans="2:5">
      <c r="B175" s="40"/>
      <c r="C175" s="33"/>
      <c r="D175" s="20"/>
      <c r="E175" s="21"/>
    </row>
    <row r="176" spans="2:5">
      <c r="B176" s="40"/>
      <c r="C176" s="33"/>
      <c r="D176" s="20"/>
      <c r="E176" s="21"/>
    </row>
    <row r="177" spans="2:5">
      <c r="B177" s="40"/>
      <c r="C177" s="33"/>
      <c r="D177" s="20"/>
      <c r="E177" s="21"/>
    </row>
    <row r="178" spans="2:5">
      <c r="B178" s="40"/>
      <c r="C178" s="33"/>
      <c r="D178" s="20"/>
      <c r="E178" s="21"/>
    </row>
    <row r="179" spans="2:5">
      <c r="B179" s="40"/>
      <c r="C179" s="33"/>
      <c r="D179" s="20"/>
      <c r="E179" s="21"/>
    </row>
    <row r="180" spans="2:5">
      <c r="B180" s="40"/>
      <c r="C180" s="33"/>
      <c r="D180" s="20"/>
      <c r="E180" s="21"/>
    </row>
    <row r="181" spans="2:5">
      <c r="B181" s="40"/>
      <c r="C181" s="33"/>
      <c r="D181" s="20"/>
      <c r="E181" s="21"/>
    </row>
    <row r="182" spans="2:5">
      <c r="B182" s="40"/>
      <c r="C182" s="33"/>
      <c r="D182" s="20"/>
      <c r="E182" s="21"/>
    </row>
    <row r="183" spans="2:5">
      <c r="B183" s="40"/>
      <c r="C183" s="33"/>
      <c r="D183" s="20"/>
      <c r="E183" s="21"/>
    </row>
    <row r="184" spans="2:5">
      <c r="B184" s="40"/>
      <c r="C184" s="33"/>
      <c r="D184" s="20"/>
      <c r="E184" s="21"/>
    </row>
    <row r="185" spans="2:5">
      <c r="B185" s="40"/>
      <c r="C185" s="33"/>
      <c r="D185" s="20"/>
      <c r="E185" s="21"/>
    </row>
    <row r="186" spans="2:5">
      <c r="B186" s="40"/>
      <c r="C186" s="33"/>
      <c r="D186" s="20"/>
      <c r="E186" s="21"/>
    </row>
    <row r="187" spans="2:5">
      <c r="B187" s="40"/>
      <c r="C187" s="33"/>
      <c r="D187" s="20"/>
      <c r="E187" s="21"/>
    </row>
    <row r="188" spans="2:5">
      <c r="B188" s="40"/>
      <c r="C188" s="33"/>
      <c r="D188" s="20"/>
      <c r="E188" s="21"/>
    </row>
    <row r="189" spans="2:5">
      <c r="B189" s="40"/>
      <c r="C189" s="33"/>
      <c r="D189" s="20"/>
      <c r="E189" s="21"/>
    </row>
    <row r="190" spans="2:5">
      <c r="B190" s="40"/>
      <c r="C190" s="33"/>
      <c r="D190" s="20"/>
      <c r="E190" s="21"/>
    </row>
    <row r="191" spans="2:5">
      <c r="B191" s="40"/>
      <c r="C191" s="33"/>
      <c r="D191" s="20"/>
      <c r="E191" s="21"/>
    </row>
    <row r="192" spans="2:5">
      <c r="B192" s="40"/>
      <c r="C192" s="33"/>
      <c r="D192" s="20"/>
      <c r="E192" s="21"/>
    </row>
    <row r="193" spans="2:5">
      <c r="B193" s="40"/>
      <c r="C193" s="33"/>
      <c r="D193" s="20"/>
      <c r="E193" s="21"/>
    </row>
    <row r="194" spans="2:5">
      <c r="B194" s="40"/>
      <c r="C194" s="33"/>
      <c r="D194" s="20"/>
      <c r="E194" s="21"/>
    </row>
    <row r="195" spans="2:5">
      <c r="B195" s="40"/>
      <c r="C195" s="33"/>
      <c r="D195" s="20"/>
      <c r="E195" s="21"/>
    </row>
    <row r="196" spans="2:5">
      <c r="B196" s="40"/>
      <c r="C196" s="33"/>
      <c r="D196" s="20"/>
      <c r="E196" s="21"/>
    </row>
    <row r="197" spans="2:5">
      <c r="B197" s="40"/>
      <c r="C197" s="33"/>
      <c r="D197" s="20"/>
      <c r="E197" s="21"/>
    </row>
    <row r="198" spans="2:5">
      <c r="B198" s="40"/>
      <c r="C198" s="33"/>
      <c r="D198" s="20"/>
      <c r="E198" s="21"/>
    </row>
    <row r="199" spans="2:5">
      <c r="B199" s="40"/>
      <c r="C199" s="33"/>
      <c r="D199" s="20"/>
      <c r="E199" s="21"/>
    </row>
    <row r="200" spans="2:5">
      <c r="B200" s="40"/>
      <c r="C200" s="33"/>
      <c r="D200" s="20"/>
      <c r="E200" s="21"/>
    </row>
    <row r="201" spans="2:5">
      <c r="B201" s="40"/>
      <c r="C201" s="33"/>
      <c r="D201" s="20"/>
      <c r="E201" s="21"/>
    </row>
    <row r="202" spans="2:5">
      <c r="B202" s="40"/>
      <c r="C202" s="33"/>
      <c r="D202" s="20"/>
      <c r="E202" s="21"/>
    </row>
    <row r="203" spans="2:5">
      <c r="B203" s="40"/>
      <c r="C203" s="33"/>
      <c r="D203" s="20"/>
      <c r="E203" s="21"/>
    </row>
    <row r="204" spans="2:5">
      <c r="B204" s="40"/>
      <c r="C204" s="33"/>
      <c r="D204" s="20"/>
      <c r="E204" s="21"/>
    </row>
    <row r="205" spans="2:5">
      <c r="B205" s="40"/>
      <c r="C205" s="33"/>
      <c r="D205" s="20"/>
      <c r="E205" s="21"/>
    </row>
    <row r="206" spans="2:5">
      <c r="B206" s="40"/>
      <c r="C206" s="33"/>
      <c r="D206" s="20"/>
      <c r="E206" s="21"/>
    </row>
    <row r="207" spans="2:5">
      <c r="B207" s="40"/>
      <c r="C207" s="33"/>
      <c r="D207" s="20"/>
      <c r="E207" s="21"/>
    </row>
    <row r="208" spans="2:5">
      <c r="B208" s="40"/>
      <c r="C208" s="33"/>
      <c r="D208" s="20"/>
      <c r="E208" s="21"/>
    </row>
    <row r="209" spans="2:5">
      <c r="B209" s="40"/>
      <c r="C209" s="33"/>
      <c r="D209" s="20"/>
      <c r="E209" s="21"/>
    </row>
    <row r="210" spans="2:5">
      <c r="B210" s="40"/>
      <c r="C210" s="33"/>
      <c r="D210" s="20"/>
      <c r="E210" s="21"/>
    </row>
    <row r="211" spans="2:5">
      <c r="B211" s="40"/>
      <c r="C211" s="33"/>
      <c r="D211" s="20"/>
      <c r="E211" s="21"/>
    </row>
    <row r="212" spans="2:5">
      <c r="B212" s="40"/>
      <c r="C212" s="33"/>
      <c r="D212" s="20"/>
      <c r="E212" s="21"/>
    </row>
    <row r="213" spans="2:5">
      <c r="B213" s="40"/>
      <c r="C213" s="33"/>
      <c r="D213" s="20"/>
      <c r="E213" s="21"/>
    </row>
    <row r="214" spans="2:5">
      <c r="B214" s="40"/>
      <c r="C214" s="33"/>
      <c r="D214" s="20"/>
      <c r="E214" s="21"/>
    </row>
    <row r="215" spans="2:5">
      <c r="B215" s="40"/>
      <c r="C215" s="33"/>
      <c r="D215" s="20"/>
      <c r="E215" s="21"/>
    </row>
    <row r="216" spans="2:5">
      <c r="B216" s="40"/>
      <c r="C216" s="33"/>
      <c r="D216" s="20"/>
      <c r="E216" s="21"/>
    </row>
    <row r="217" spans="2:5">
      <c r="B217" s="40"/>
      <c r="C217" s="33"/>
      <c r="D217" s="20"/>
      <c r="E217" s="21"/>
    </row>
    <row r="218" spans="2:5">
      <c r="B218" s="40"/>
      <c r="C218" s="33"/>
      <c r="D218" s="20"/>
      <c r="E218" s="21"/>
    </row>
    <row r="219" spans="2:5">
      <c r="B219" s="40"/>
      <c r="C219" s="33"/>
      <c r="D219" s="20"/>
      <c r="E219" s="21"/>
    </row>
    <row r="220" spans="2:5">
      <c r="B220" s="40"/>
      <c r="C220" s="33"/>
      <c r="D220" s="20"/>
      <c r="E220" s="21"/>
    </row>
    <row r="221" spans="2:5">
      <c r="B221" s="40"/>
      <c r="C221" s="33"/>
      <c r="D221" s="20"/>
      <c r="E221" s="21"/>
    </row>
    <row r="222" spans="2:5">
      <c r="B222" s="40"/>
      <c r="C222" s="33"/>
      <c r="D222" s="39"/>
      <c r="E222" s="44"/>
    </row>
    <row r="223" spans="2:5">
      <c r="B223" s="40"/>
      <c r="C223" s="33"/>
      <c r="D223" s="39"/>
      <c r="E223" s="44"/>
    </row>
    <row r="224" spans="2:5">
      <c r="B224" s="40"/>
      <c r="C224" s="33"/>
      <c r="D224" s="39"/>
      <c r="E224" s="44"/>
    </row>
    <row r="225" spans="2:5">
      <c r="B225" s="40"/>
      <c r="C225" s="33"/>
      <c r="D225" s="39"/>
      <c r="E225" s="44"/>
    </row>
    <row r="226" spans="2:5">
      <c r="B226" s="40"/>
      <c r="C226" s="33"/>
      <c r="D226" s="39"/>
      <c r="E226" s="44"/>
    </row>
    <row r="227" spans="2:5">
      <c r="B227" s="40"/>
      <c r="C227" s="33"/>
      <c r="D227" s="39"/>
      <c r="E227" s="44"/>
    </row>
    <row r="228" spans="2:5">
      <c r="B228" s="40"/>
      <c r="C228" s="33"/>
      <c r="D228" s="39"/>
      <c r="E228" s="44"/>
    </row>
    <row r="229" spans="2:5">
      <c r="B229" s="40"/>
      <c r="C229" s="33"/>
      <c r="D229" s="39"/>
      <c r="E229" s="44"/>
    </row>
    <row r="230" spans="2:5">
      <c r="B230" s="40"/>
      <c r="C230" s="33"/>
      <c r="D230" s="39"/>
      <c r="E230" s="44"/>
    </row>
    <row r="231" spans="2:5">
      <c r="B231" s="40"/>
      <c r="C231" s="33"/>
      <c r="D231" s="39"/>
      <c r="E231" s="44"/>
    </row>
    <row r="232" spans="2:5">
      <c r="B232" s="40"/>
      <c r="C232" s="33"/>
      <c r="D232" s="39"/>
      <c r="E232" s="44"/>
    </row>
    <row r="233" spans="2:5">
      <c r="B233" s="40"/>
      <c r="C233" s="33"/>
      <c r="D233" s="39"/>
      <c r="E233" s="44"/>
    </row>
    <row r="234" spans="2:5">
      <c r="B234" s="40"/>
      <c r="C234" s="33"/>
      <c r="D234" s="39"/>
      <c r="E234" s="44"/>
    </row>
    <row r="235" spans="2:5">
      <c r="B235" s="40"/>
      <c r="C235" s="33"/>
      <c r="D235" s="39"/>
      <c r="E235" s="44"/>
    </row>
    <row r="236" spans="2:5">
      <c r="B236" s="40"/>
      <c r="C236" s="33"/>
      <c r="D236" s="39"/>
      <c r="E236" s="44"/>
    </row>
    <row r="237" spans="2:5">
      <c r="B237" s="40"/>
      <c r="C237" s="33"/>
      <c r="D237" s="39"/>
      <c r="E237" s="44"/>
    </row>
    <row r="238" spans="2:5">
      <c r="B238" s="43"/>
      <c r="C238" s="33"/>
      <c r="D238" s="39"/>
      <c r="E238" s="44"/>
    </row>
    <row r="239" spans="2:5">
      <c r="B239" s="40"/>
      <c r="C239" s="33"/>
      <c r="D239" s="39"/>
      <c r="E239" s="44"/>
    </row>
    <row r="240" spans="2:5">
      <c r="B240" s="43"/>
      <c r="C240" s="33"/>
      <c r="D240" s="39"/>
      <c r="E240" s="44"/>
    </row>
    <row r="241" spans="2:5">
      <c r="B241" s="40"/>
      <c r="C241" s="33"/>
      <c r="D241" s="39"/>
      <c r="E241" s="44"/>
    </row>
    <row r="242" spans="2:5">
      <c r="B242" s="43"/>
      <c r="C242" s="33"/>
      <c r="D242" s="39"/>
      <c r="E242" s="44"/>
    </row>
    <row r="243" spans="2:5">
      <c r="B243" s="40"/>
      <c r="C243" s="33"/>
      <c r="D243" s="39"/>
      <c r="E243" s="44"/>
    </row>
    <row r="244" spans="2:5">
      <c r="B244" s="43"/>
      <c r="C244" s="33"/>
      <c r="D244" s="39"/>
      <c r="E244" s="44"/>
    </row>
    <row r="245" spans="2:5">
      <c r="B245" s="43"/>
      <c r="C245" s="33"/>
      <c r="D245" s="39"/>
      <c r="E245" s="44"/>
    </row>
    <row r="246" spans="2:5">
      <c r="B246" s="43"/>
      <c r="C246" s="33"/>
      <c r="D246" s="39"/>
      <c r="E246" s="44"/>
    </row>
    <row r="247" spans="2:5">
      <c r="B247" s="43"/>
      <c r="C247" s="33"/>
      <c r="D247" s="39"/>
      <c r="E247" s="44"/>
    </row>
    <row r="248" spans="2:5">
      <c r="B248" s="43"/>
      <c r="C248" s="33"/>
      <c r="D248" s="39"/>
      <c r="E248" s="44"/>
    </row>
    <row r="249" spans="2:5">
      <c r="B249" s="43"/>
      <c r="C249" s="33"/>
      <c r="D249" s="39"/>
      <c r="E249" s="44"/>
    </row>
    <row r="250" spans="2:5">
      <c r="B250" s="43"/>
      <c r="C250" s="33"/>
      <c r="D250" s="39"/>
      <c r="E250" s="44"/>
    </row>
    <row r="251" spans="2:5">
      <c r="B251" s="43"/>
      <c r="C251" s="33"/>
      <c r="D251" s="39"/>
      <c r="E251" s="44"/>
    </row>
    <row r="252" spans="2:5">
      <c r="B252" s="43"/>
      <c r="C252" s="33"/>
      <c r="D252" s="39"/>
      <c r="E252" s="44"/>
    </row>
    <row r="253" spans="2:5">
      <c r="B253" s="43"/>
      <c r="C253" s="33"/>
      <c r="D253" s="39"/>
      <c r="E253" s="44"/>
    </row>
    <row r="254" spans="2:5">
      <c r="B254" s="43"/>
      <c r="C254" s="33"/>
      <c r="D254" s="39"/>
      <c r="E254" s="44"/>
    </row>
    <row r="255" spans="2:5">
      <c r="B255" s="43"/>
      <c r="C255" s="33"/>
      <c r="D255" s="39"/>
      <c r="E255" s="44"/>
    </row>
    <row r="256" spans="2:5">
      <c r="B256" s="43"/>
      <c r="C256" s="33"/>
      <c r="D256" s="39"/>
      <c r="E256" s="44"/>
    </row>
    <row r="257" spans="2:5">
      <c r="B257" s="43"/>
      <c r="C257" s="33"/>
      <c r="D257" s="39"/>
      <c r="E257" s="44"/>
    </row>
    <row r="258" spans="2:5">
      <c r="B258" s="43"/>
      <c r="C258" s="33"/>
      <c r="D258" s="39"/>
      <c r="E258" s="44"/>
    </row>
    <row r="259" spans="2:5">
      <c r="B259" s="43"/>
      <c r="C259" s="33"/>
      <c r="D259" s="39"/>
      <c r="E259" s="44"/>
    </row>
    <row r="260" spans="2:5">
      <c r="B260" s="43"/>
      <c r="C260" s="33"/>
      <c r="D260" s="39"/>
      <c r="E260" s="44"/>
    </row>
    <row r="261" spans="2:5">
      <c r="B261" s="43"/>
      <c r="C261" s="33"/>
      <c r="D261" s="39"/>
      <c r="E261" s="44"/>
    </row>
    <row r="262" spans="2:5">
      <c r="B262" s="43"/>
      <c r="C262" s="33"/>
      <c r="D262" s="39"/>
      <c r="E262" s="44"/>
    </row>
    <row r="263" spans="2:5">
      <c r="B263" s="43"/>
      <c r="C263" s="33"/>
      <c r="D263" s="39"/>
      <c r="E263" s="44"/>
    </row>
    <row r="264" spans="2:5">
      <c r="B264" s="43"/>
      <c r="C264" s="33"/>
      <c r="D264" s="39"/>
      <c r="E264" s="44"/>
    </row>
    <row r="265" spans="2:5">
      <c r="B265" s="43"/>
      <c r="C265" s="33"/>
      <c r="D265" s="39"/>
      <c r="E265" s="44"/>
    </row>
    <row r="266" spans="2:5">
      <c r="B266" s="43"/>
      <c r="C266" s="33"/>
      <c r="D266" s="39"/>
      <c r="E266" s="44"/>
    </row>
    <row r="267" spans="2:5">
      <c r="B267" s="43"/>
      <c r="C267" s="33"/>
      <c r="D267" s="39"/>
      <c r="E267" s="44"/>
    </row>
    <row r="268" spans="2:5">
      <c r="B268" s="43"/>
      <c r="C268" s="33"/>
      <c r="D268" s="39"/>
      <c r="E268" s="44"/>
    </row>
    <row r="269" spans="2:5">
      <c r="B269" s="43"/>
      <c r="C269" s="33"/>
      <c r="D269" s="39"/>
      <c r="E269" s="44"/>
    </row>
    <row r="270" spans="2:5">
      <c r="B270" s="43"/>
      <c r="C270" s="33"/>
      <c r="D270" s="39"/>
      <c r="E270" s="44"/>
    </row>
    <row r="271" spans="2:5">
      <c r="B271" s="43"/>
      <c r="C271" s="33"/>
      <c r="D271" s="39"/>
      <c r="E271" s="44"/>
    </row>
    <row r="272" spans="2:5">
      <c r="B272" s="43"/>
      <c r="C272" s="33"/>
      <c r="D272" s="39"/>
      <c r="E272" s="44"/>
    </row>
    <row r="273" spans="2:5">
      <c r="B273" s="43"/>
      <c r="C273" s="33"/>
      <c r="D273" s="39"/>
      <c r="E273" s="44"/>
    </row>
    <row r="274" spans="2:5">
      <c r="B274" s="43"/>
      <c r="C274" s="33"/>
      <c r="D274" s="39"/>
      <c r="E274" s="44"/>
    </row>
    <row r="275" spans="2:5">
      <c r="B275" s="43"/>
      <c r="C275" s="33"/>
      <c r="D275" s="39"/>
      <c r="E275" s="44"/>
    </row>
    <row r="276" spans="2:5">
      <c r="B276" s="43"/>
      <c r="C276" s="33"/>
      <c r="D276" s="39"/>
      <c r="E276" s="44"/>
    </row>
    <row r="277" spans="2:5">
      <c r="B277" s="43"/>
      <c r="C277" s="33"/>
      <c r="D277" s="39"/>
      <c r="E277" s="44"/>
    </row>
    <row r="278" spans="2:5">
      <c r="B278" s="43"/>
      <c r="C278" s="33"/>
      <c r="D278" s="39"/>
      <c r="E278" s="44"/>
    </row>
    <row r="279" spans="2:5">
      <c r="B279" s="43"/>
      <c r="C279" s="33"/>
      <c r="D279" s="39"/>
      <c r="E279" s="44"/>
    </row>
    <row r="280" spans="2:5">
      <c r="B280" s="43"/>
      <c r="C280" s="33"/>
      <c r="D280" s="39"/>
      <c r="E280" s="44"/>
    </row>
    <row r="281" spans="2:5">
      <c r="B281" s="43"/>
      <c r="C281" s="33"/>
      <c r="D281" s="39"/>
      <c r="E281" s="44"/>
    </row>
    <row r="282" spans="2:5">
      <c r="B282" s="43"/>
      <c r="C282" s="33"/>
      <c r="D282" s="39"/>
      <c r="E282" s="44"/>
    </row>
    <row r="283" spans="2:5">
      <c r="B283" s="43"/>
      <c r="C283" s="33"/>
      <c r="D283" s="39"/>
      <c r="E283" s="44"/>
    </row>
    <row r="284" spans="2:5">
      <c r="B284" s="43"/>
      <c r="C284" s="33"/>
      <c r="D284" s="39"/>
      <c r="E284" s="44"/>
    </row>
    <row r="285" spans="2:5">
      <c r="B285" s="43"/>
      <c r="C285" s="33"/>
      <c r="D285" s="39"/>
      <c r="E285" s="44"/>
    </row>
    <row r="286" spans="2:5">
      <c r="B286" s="43"/>
      <c r="C286" s="33"/>
      <c r="D286" s="39"/>
      <c r="E286" s="44"/>
    </row>
    <row r="287" spans="2:5">
      <c r="B287" s="43"/>
      <c r="C287" s="33"/>
      <c r="D287" s="39"/>
      <c r="E287" s="44"/>
    </row>
    <row r="288" spans="2:5">
      <c r="B288" s="43"/>
      <c r="C288" s="33"/>
      <c r="D288" s="39"/>
      <c r="E288" s="44"/>
    </row>
    <row r="289" spans="2:5">
      <c r="B289" s="43"/>
      <c r="C289" s="33"/>
      <c r="D289" s="39"/>
      <c r="E289" s="44"/>
    </row>
    <row r="290" spans="2:5">
      <c r="B290" s="43"/>
      <c r="C290" s="33"/>
      <c r="D290" s="39"/>
      <c r="E290" s="44"/>
    </row>
    <row r="291" spans="2:5">
      <c r="B291" s="43"/>
      <c r="C291" s="33"/>
      <c r="D291" s="39"/>
      <c r="E291" s="44"/>
    </row>
    <row r="292" spans="2:5">
      <c r="B292" s="43"/>
      <c r="C292" s="33"/>
      <c r="D292" s="39"/>
      <c r="E292" s="44"/>
    </row>
    <row r="293" spans="2:5">
      <c r="B293" s="43"/>
      <c r="C293" s="33"/>
      <c r="D293" s="39"/>
      <c r="E293" s="44"/>
    </row>
    <row r="294" spans="2:5">
      <c r="B294" s="43"/>
      <c r="C294" s="33"/>
      <c r="D294" s="39"/>
      <c r="E294" s="44"/>
    </row>
    <row r="295" spans="2:5">
      <c r="B295" s="43"/>
      <c r="C295" s="33"/>
      <c r="D295" s="39"/>
      <c r="E295" s="44"/>
    </row>
    <row r="296" spans="2:5">
      <c r="B296" s="43"/>
      <c r="C296" s="33"/>
      <c r="D296" s="39"/>
      <c r="E296" s="44"/>
    </row>
    <row r="297" spans="2:5">
      <c r="B297" s="43"/>
      <c r="C297" s="33"/>
      <c r="D297" s="39"/>
      <c r="E297" s="44"/>
    </row>
    <row r="298" spans="2:5">
      <c r="B298" s="43"/>
      <c r="C298" s="33"/>
      <c r="D298" s="39"/>
      <c r="E298" s="44"/>
    </row>
    <row r="299" spans="2:5">
      <c r="B299" s="43"/>
      <c r="C299" s="33"/>
      <c r="D299" s="39"/>
      <c r="E299" s="44"/>
    </row>
    <row r="300" spans="2:5">
      <c r="B300" s="43"/>
      <c r="C300" s="33"/>
      <c r="D300" s="39"/>
      <c r="E300" s="44"/>
    </row>
    <row r="301" spans="2:5">
      <c r="B301" s="43"/>
      <c r="C301" s="33"/>
      <c r="D301" s="39"/>
      <c r="E301" s="44"/>
    </row>
    <row r="302" spans="2:5">
      <c r="B302" s="43"/>
      <c r="C302" s="33"/>
      <c r="D302" s="39"/>
      <c r="E302" s="44"/>
    </row>
    <row r="303" spans="2:5">
      <c r="B303" s="43"/>
      <c r="C303" s="33"/>
      <c r="D303" s="39"/>
      <c r="E303" s="44"/>
    </row>
    <row r="304" spans="2:5">
      <c r="B304" s="43"/>
      <c r="C304" s="33"/>
      <c r="D304" s="39"/>
      <c r="E304" s="44"/>
    </row>
    <row r="305" spans="2:5">
      <c r="B305" s="43"/>
      <c r="C305" s="33"/>
      <c r="D305" s="39"/>
      <c r="E305" s="44"/>
    </row>
    <row r="306" spans="2:5">
      <c r="B306" s="43"/>
      <c r="C306" s="33"/>
      <c r="D306" s="39"/>
      <c r="E306" s="44"/>
    </row>
    <row r="307" spans="2:5">
      <c r="B307" s="43"/>
      <c r="C307" s="33"/>
      <c r="D307" s="39"/>
      <c r="E307" s="44"/>
    </row>
    <row r="308" spans="2:5">
      <c r="B308" s="43"/>
      <c r="C308" s="33"/>
      <c r="D308" s="39"/>
      <c r="E308" s="44"/>
    </row>
    <row r="309" spans="2:5">
      <c r="B309" s="43"/>
      <c r="C309" s="33"/>
      <c r="D309" s="39"/>
      <c r="E309" s="44"/>
    </row>
    <row r="310" spans="2:5">
      <c r="B310" s="43"/>
      <c r="C310" s="33"/>
      <c r="D310" s="39"/>
      <c r="E310" s="44"/>
    </row>
    <row r="311" spans="2:5">
      <c r="B311" s="43"/>
      <c r="C311" s="33"/>
      <c r="D311" s="39"/>
      <c r="E311" s="44"/>
    </row>
    <row r="312" spans="2:5">
      <c r="B312" s="43"/>
      <c r="C312" s="33"/>
      <c r="D312" s="39"/>
      <c r="E312" s="44"/>
    </row>
    <row r="313" spans="2:5">
      <c r="B313" s="43"/>
      <c r="C313" s="33"/>
      <c r="D313" s="39"/>
      <c r="E313" s="44"/>
    </row>
    <row r="314" spans="2:5">
      <c r="B314" s="43"/>
      <c r="C314" s="33"/>
      <c r="D314" s="39"/>
      <c r="E314" s="44"/>
    </row>
    <row r="315" spans="2:5">
      <c r="B315" s="43"/>
      <c r="C315" s="33"/>
      <c r="D315" s="39"/>
      <c r="E315" s="44"/>
    </row>
    <row r="316" spans="2:5">
      <c r="B316" s="43"/>
      <c r="C316" s="33"/>
      <c r="D316" s="39"/>
      <c r="E316" s="44"/>
    </row>
    <row r="317" spans="2:5">
      <c r="B317" s="43"/>
      <c r="C317" s="33"/>
      <c r="D317" s="39"/>
      <c r="E317" s="44"/>
    </row>
    <row r="318" spans="2:5">
      <c r="B318" s="43"/>
      <c r="C318" s="33"/>
      <c r="D318" s="39"/>
      <c r="E318" s="44"/>
    </row>
    <row r="319" spans="2:5">
      <c r="B319" s="43"/>
      <c r="C319" s="33"/>
      <c r="D319" s="39"/>
      <c r="E319" s="44"/>
    </row>
    <row r="320" spans="2:5">
      <c r="B320" s="43"/>
      <c r="C320" s="33"/>
      <c r="D320" s="39"/>
      <c r="E320" s="44"/>
    </row>
    <row r="321" spans="2:5">
      <c r="B321" s="43"/>
      <c r="C321" s="33"/>
      <c r="D321" s="39"/>
      <c r="E321" s="44"/>
    </row>
    <row r="322" spans="2:5">
      <c r="B322" s="43"/>
      <c r="C322" s="33"/>
      <c r="D322" s="39"/>
      <c r="E322" s="44"/>
    </row>
    <row r="323" spans="2:5">
      <c r="B323" s="43"/>
      <c r="C323" s="33"/>
      <c r="D323" s="39"/>
      <c r="E323" s="44"/>
    </row>
    <row r="324" spans="2:5">
      <c r="B324" s="43"/>
      <c r="C324" s="33"/>
      <c r="D324" s="39"/>
      <c r="E324" s="44"/>
    </row>
    <row r="325" spans="2:5">
      <c r="B325" s="43"/>
      <c r="C325" s="33"/>
      <c r="D325" s="39"/>
      <c r="E325" s="44"/>
    </row>
    <row r="326" spans="2:5">
      <c r="B326" s="43"/>
      <c r="C326" s="33"/>
      <c r="D326" s="39"/>
      <c r="E326" s="44"/>
    </row>
    <row r="327" spans="2:5">
      <c r="B327" s="43"/>
      <c r="C327" s="33"/>
      <c r="D327" s="39"/>
      <c r="E327" s="44"/>
    </row>
    <row r="328" spans="2:5">
      <c r="B328" s="43"/>
      <c r="C328" s="33"/>
      <c r="D328" s="39"/>
      <c r="E328" s="44"/>
    </row>
    <row r="329" spans="2:5">
      <c r="B329" s="43"/>
      <c r="C329" s="33"/>
      <c r="D329" s="39"/>
      <c r="E329" s="44"/>
    </row>
    <row r="330" spans="2:5">
      <c r="B330" s="43"/>
      <c r="C330" s="33"/>
      <c r="D330" s="39"/>
      <c r="E330" s="44"/>
    </row>
    <row r="331" spans="2:5">
      <c r="B331" s="43"/>
      <c r="C331" s="33"/>
      <c r="D331" s="39"/>
      <c r="E331" s="44"/>
    </row>
    <row r="332" spans="2:5">
      <c r="B332" s="43"/>
      <c r="C332" s="33"/>
      <c r="D332" s="39"/>
      <c r="E332" s="44"/>
    </row>
    <row r="333" spans="2:5">
      <c r="B333" s="43"/>
      <c r="C333" s="33"/>
      <c r="D333" s="39"/>
      <c r="E333" s="44"/>
    </row>
    <row r="334" spans="2:5">
      <c r="B334" s="43"/>
      <c r="C334" s="33"/>
      <c r="D334" s="39"/>
      <c r="E334" s="44"/>
    </row>
    <row r="335" spans="2:5">
      <c r="B335" s="43"/>
      <c r="C335" s="33"/>
      <c r="D335" s="39"/>
      <c r="E335" s="44"/>
    </row>
    <row r="336" spans="2:5">
      <c r="B336" s="43"/>
      <c r="C336" s="33"/>
      <c r="D336" s="39"/>
      <c r="E336" s="44"/>
    </row>
    <row r="337" spans="2:5">
      <c r="B337" s="43"/>
      <c r="C337" s="33"/>
      <c r="D337" s="39"/>
      <c r="E337" s="44"/>
    </row>
    <row r="338" spans="2:5">
      <c r="B338" s="43"/>
      <c r="C338" s="33"/>
      <c r="D338" s="39"/>
      <c r="E338" s="44"/>
    </row>
    <row r="339" spans="2:5">
      <c r="B339" s="43"/>
      <c r="C339" s="33"/>
      <c r="D339" s="39"/>
      <c r="E339" s="44"/>
    </row>
    <row r="340" spans="2:5">
      <c r="B340" s="43"/>
      <c r="C340" s="33"/>
      <c r="D340" s="39"/>
      <c r="E340" s="44"/>
    </row>
    <row r="341" spans="2:5">
      <c r="B341" s="43"/>
      <c r="C341" s="33"/>
      <c r="D341" s="39"/>
      <c r="E341" s="44"/>
    </row>
    <row r="342" spans="2:5">
      <c r="B342" s="43"/>
      <c r="C342" s="33"/>
      <c r="D342" s="39"/>
      <c r="E342" s="44"/>
    </row>
    <row r="343" spans="2:5">
      <c r="B343" s="43"/>
      <c r="C343" s="33"/>
      <c r="D343" s="39"/>
      <c r="E343" s="44"/>
    </row>
    <row r="344" spans="2:5">
      <c r="B344" s="43"/>
      <c r="C344" s="33"/>
      <c r="D344" s="39"/>
      <c r="E344" s="44"/>
    </row>
    <row r="345" spans="2:5">
      <c r="B345" s="43"/>
      <c r="C345" s="33"/>
      <c r="D345" s="39"/>
      <c r="E345" s="44"/>
    </row>
    <row r="346" spans="2:5">
      <c r="B346" s="43"/>
      <c r="C346" s="33"/>
      <c r="D346" s="39"/>
      <c r="E346" s="44"/>
    </row>
    <row r="347" spans="2:5">
      <c r="B347" s="43"/>
      <c r="C347" s="33"/>
      <c r="D347" s="39"/>
      <c r="E347" s="44"/>
    </row>
    <row r="348" spans="2:5">
      <c r="B348" s="43"/>
      <c r="C348" s="33"/>
      <c r="D348" s="39"/>
      <c r="E348" s="44"/>
    </row>
    <row r="349" spans="2:5">
      <c r="B349" s="43"/>
      <c r="C349" s="33"/>
      <c r="D349" s="39"/>
      <c r="E349" s="44"/>
    </row>
    <row r="350" spans="2:5">
      <c r="B350" s="43"/>
      <c r="C350" s="33"/>
      <c r="D350" s="39"/>
      <c r="E350" s="44"/>
    </row>
    <row r="351" spans="2:5">
      <c r="B351" s="43"/>
      <c r="C351" s="33"/>
      <c r="D351" s="39"/>
      <c r="E351" s="44"/>
    </row>
    <row r="352" spans="2:5">
      <c r="B352" s="43"/>
      <c r="C352" s="33"/>
      <c r="D352" s="39"/>
      <c r="E352" s="44"/>
    </row>
    <row r="353" spans="2:5">
      <c r="B353" s="43"/>
      <c r="C353" s="33"/>
      <c r="D353" s="39"/>
      <c r="E353" s="44"/>
    </row>
    <row r="354" spans="2:5">
      <c r="B354" s="43"/>
      <c r="C354" s="33"/>
      <c r="D354" s="39"/>
      <c r="E354" s="44"/>
    </row>
    <row r="355" spans="2:5">
      <c r="B355" s="43"/>
      <c r="C355" s="33"/>
      <c r="D355" s="39"/>
      <c r="E355" s="44"/>
    </row>
    <row r="356" spans="2:5">
      <c r="B356" s="43"/>
      <c r="C356" s="33"/>
      <c r="D356" s="39"/>
      <c r="E356" s="44"/>
    </row>
    <row r="357" spans="2:5">
      <c r="B357" s="43"/>
      <c r="C357" s="33"/>
      <c r="D357" s="39"/>
      <c r="E357" s="44"/>
    </row>
    <row r="358" spans="2:5">
      <c r="B358" s="43"/>
      <c r="C358" s="33"/>
      <c r="D358" s="39"/>
      <c r="E358" s="44"/>
    </row>
    <row r="359" spans="2:5">
      <c r="B359" s="43"/>
      <c r="C359" s="33"/>
      <c r="D359" s="39"/>
      <c r="E359" s="44"/>
    </row>
    <row r="360" spans="2:5">
      <c r="B360" s="43"/>
      <c r="C360" s="33"/>
      <c r="D360" s="39"/>
      <c r="E360" s="44"/>
    </row>
    <row r="361" spans="2:5">
      <c r="B361" s="43"/>
      <c r="C361" s="33"/>
      <c r="D361" s="39"/>
      <c r="E361" s="44"/>
    </row>
    <row r="362" spans="2:5">
      <c r="B362" s="43"/>
      <c r="C362" s="33"/>
      <c r="D362" s="39"/>
      <c r="E362" s="44"/>
    </row>
    <row r="363" spans="2:5">
      <c r="B363" s="43"/>
      <c r="C363" s="33"/>
      <c r="D363" s="39"/>
      <c r="E363" s="44"/>
    </row>
    <row r="364" spans="2:5">
      <c r="B364" s="43"/>
      <c r="C364" s="33"/>
      <c r="D364" s="39"/>
      <c r="E364" s="44"/>
    </row>
    <row r="365" spans="2:5">
      <c r="B365" s="43"/>
      <c r="C365" s="33"/>
      <c r="D365" s="39"/>
      <c r="E365" s="44"/>
    </row>
    <row r="366" spans="2:5">
      <c r="B366" s="43"/>
      <c r="C366" s="33"/>
      <c r="D366" s="39"/>
      <c r="E366" s="44"/>
    </row>
    <row r="367" spans="2:5">
      <c r="B367" s="43"/>
      <c r="C367" s="33"/>
      <c r="D367" s="39"/>
      <c r="E367" s="44"/>
    </row>
    <row r="368" spans="2:5">
      <c r="B368" s="43"/>
      <c r="C368" s="33"/>
      <c r="D368" s="39"/>
      <c r="E368" s="44"/>
    </row>
    <row r="369" spans="2:5">
      <c r="B369" s="43"/>
      <c r="C369" s="33"/>
      <c r="D369" s="39"/>
      <c r="E369" s="44"/>
    </row>
    <row r="370" spans="2:5">
      <c r="B370" s="43"/>
      <c r="C370" s="33"/>
      <c r="D370" s="39"/>
      <c r="E370" s="44"/>
    </row>
    <row r="371" spans="2:5">
      <c r="B371" s="43"/>
      <c r="C371" s="33"/>
      <c r="D371" s="39"/>
      <c r="E371" s="44"/>
    </row>
    <row r="372" spans="2:5">
      <c r="B372" s="43"/>
      <c r="C372" s="33"/>
      <c r="D372" s="39"/>
      <c r="E372" s="44"/>
    </row>
    <row r="373" spans="2:5">
      <c r="B373" s="43"/>
      <c r="C373" s="33"/>
      <c r="D373" s="39"/>
      <c r="E373" s="44"/>
    </row>
    <row r="374" spans="2:5">
      <c r="B374" s="43"/>
      <c r="C374" s="33"/>
      <c r="D374" s="39"/>
      <c r="E374" s="44"/>
    </row>
    <row r="375" spans="2:5">
      <c r="B375" s="43"/>
      <c r="C375" s="33"/>
      <c r="D375" s="39"/>
      <c r="E375" s="44"/>
    </row>
    <row r="376" spans="2:5">
      <c r="B376" s="43"/>
      <c r="C376" s="33"/>
      <c r="D376" s="39"/>
      <c r="E376" s="44"/>
    </row>
    <row r="377" spans="2:5">
      <c r="B377" s="43"/>
      <c r="C377" s="33"/>
      <c r="D377" s="39"/>
      <c r="E377" s="44"/>
    </row>
    <row r="378" spans="2:5">
      <c r="B378" s="43"/>
      <c r="C378" s="33"/>
      <c r="D378" s="39"/>
      <c r="E378" s="44"/>
    </row>
    <row r="379" spans="2:5">
      <c r="B379" s="43"/>
      <c r="C379" s="33"/>
      <c r="D379" s="39"/>
      <c r="E379" s="44"/>
    </row>
    <row r="380" spans="2:5">
      <c r="B380" s="43"/>
      <c r="C380" s="33"/>
      <c r="D380" s="39"/>
      <c r="E380" s="44"/>
    </row>
    <row r="381" spans="2:5">
      <c r="B381" s="43"/>
      <c r="C381" s="33"/>
      <c r="D381" s="39"/>
      <c r="E381" s="44"/>
    </row>
    <row r="382" spans="2:5">
      <c r="B382" s="43"/>
      <c r="C382" s="33"/>
      <c r="D382" s="39"/>
      <c r="E382" s="44"/>
    </row>
    <row r="383" spans="2:5">
      <c r="B383" s="43"/>
      <c r="C383" s="33"/>
      <c r="D383" s="39"/>
      <c r="E383" s="44"/>
    </row>
    <row r="384" spans="2:5">
      <c r="B384" s="43"/>
      <c r="C384" s="33"/>
      <c r="D384" s="39"/>
      <c r="E384" s="44"/>
    </row>
    <row r="385" spans="2:5">
      <c r="B385" s="43"/>
      <c r="C385" s="33"/>
      <c r="D385" s="39"/>
      <c r="E385" s="44"/>
    </row>
    <row r="386" spans="2:5">
      <c r="B386" s="43"/>
      <c r="C386" s="33"/>
      <c r="D386" s="39"/>
      <c r="E386" s="44"/>
    </row>
    <row r="387" spans="2:5">
      <c r="B387" s="43"/>
      <c r="C387" s="33"/>
      <c r="D387" s="39"/>
      <c r="E387" s="44"/>
    </row>
    <row r="388" spans="2:5">
      <c r="B388" s="43"/>
      <c r="C388" s="33"/>
      <c r="D388" s="39"/>
      <c r="E388" s="44"/>
    </row>
    <row r="389" spans="2:5">
      <c r="B389" s="43"/>
      <c r="C389" s="33"/>
      <c r="D389" s="39"/>
      <c r="E389" s="44"/>
    </row>
    <row r="390" spans="2:5">
      <c r="B390" s="43"/>
      <c r="C390" s="33"/>
      <c r="D390" s="39"/>
      <c r="E390" s="44"/>
    </row>
    <row r="391" spans="2:5">
      <c r="B391" s="43"/>
      <c r="C391" s="33"/>
      <c r="D391" s="39"/>
      <c r="E391" s="44"/>
    </row>
    <row r="392" spans="2:5">
      <c r="B392" s="43"/>
      <c r="C392" s="33"/>
      <c r="D392" s="39"/>
      <c r="E392" s="44"/>
    </row>
    <row r="393" spans="2:5">
      <c r="B393" s="43"/>
      <c r="C393" s="33"/>
      <c r="D393" s="39"/>
      <c r="E393" s="44"/>
    </row>
    <row r="394" spans="2:5">
      <c r="B394" s="43"/>
      <c r="C394" s="33"/>
      <c r="D394" s="39"/>
      <c r="E394" s="44"/>
    </row>
    <row r="395" spans="2:5">
      <c r="B395" s="43"/>
      <c r="C395" s="33"/>
      <c r="D395" s="39"/>
      <c r="E395" s="44"/>
    </row>
    <row r="396" spans="2:5">
      <c r="B396" s="43"/>
      <c r="C396" s="33"/>
      <c r="D396" s="39"/>
      <c r="E396" s="44"/>
    </row>
    <row r="397" spans="2:5">
      <c r="B397" s="43"/>
      <c r="C397" s="33"/>
      <c r="D397" s="39"/>
      <c r="E397" s="44"/>
    </row>
    <row r="398" spans="2:5">
      <c r="B398" s="43"/>
      <c r="C398" s="33"/>
      <c r="D398" s="39"/>
      <c r="E398" s="44"/>
    </row>
    <row r="399" spans="2:5">
      <c r="B399" s="43"/>
      <c r="C399" s="33"/>
      <c r="D399" s="39"/>
      <c r="E399" s="44"/>
    </row>
    <row r="400" spans="2:5">
      <c r="B400" s="43"/>
      <c r="C400" s="33"/>
      <c r="D400" s="39"/>
      <c r="E400" s="44"/>
    </row>
    <row r="401" spans="2:5">
      <c r="B401" s="43"/>
      <c r="C401" s="33"/>
      <c r="D401" s="39"/>
      <c r="E401" s="44"/>
    </row>
    <row r="402" spans="2:5">
      <c r="B402" s="43"/>
      <c r="C402" s="33"/>
      <c r="D402" s="39"/>
      <c r="E402" s="44"/>
    </row>
    <row r="403" spans="2:5">
      <c r="B403" s="43"/>
      <c r="C403" s="33"/>
      <c r="D403" s="39"/>
      <c r="E403" s="44"/>
    </row>
    <row r="404" spans="2:5">
      <c r="B404" s="43"/>
      <c r="C404" s="33"/>
      <c r="D404" s="39"/>
      <c r="E404" s="44"/>
    </row>
    <row r="405" spans="2:5">
      <c r="B405" s="43"/>
      <c r="C405" s="33"/>
      <c r="D405" s="39"/>
      <c r="E405" s="44"/>
    </row>
    <row r="406" spans="2:5">
      <c r="B406" s="43"/>
      <c r="C406" s="33"/>
      <c r="D406" s="39"/>
      <c r="E406" s="44"/>
    </row>
    <row r="407" spans="2:5">
      <c r="B407" s="43"/>
      <c r="C407" s="33"/>
      <c r="D407" s="39"/>
      <c r="E407" s="44"/>
    </row>
    <row r="408" spans="2:5">
      <c r="B408" s="43"/>
      <c r="C408" s="33"/>
      <c r="D408" s="39"/>
      <c r="E408" s="44"/>
    </row>
    <row r="409" spans="2:5">
      <c r="B409" s="43"/>
      <c r="C409" s="33"/>
      <c r="D409" s="39"/>
      <c r="E409" s="44"/>
    </row>
    <row r="410" spans="2:5">
      <c r="B410" s="43"/>
      <c r="C410" s="33"/>
      <c r="D410" s="39"/>
      <c r="E410" s="44"/>
    </row>
    <row r="411" spans="2:5">
      <c r="B411" s="43"/>
      <c r="C411" s="33"/>
      <c r="D411" s="39"/>
      <c r="E411" s="44"/>
    </row>
    <row r="412" spans="2:5">
      <c r="B412" s="43"/>
      <c r="C412" s="33"/>
      <c r="D412" s="39"/>
      <c r="E412" s="44"/>
    </row>
    <row r="413" spans="2:5">
      <c r="B413" s="43"/>
      <c r="C413" s="33"/>
      <c r="D413" s="39"/>
      <c r="E413" s="44"/>
    </row>
    <row r="414" spans="2:5">
      <c r="B414" s="43"/>
      <c r="C414" s="33"/>
      <c r="D414" s="39"/>
      <c r="E414" s="44"/>
    </row>
    <row r="415" spans="2:5">
      <c r="B415" s="43"/>
      <c r="C415" s="33"/>
      <c r="D415" s="39"/>
      <c r="E415" s="44"/>
    </row>
    <row r="416" spans="2:5">
      <c r="B416" s="43"/>
      <c r="C416" s="33"/>
      <c r="D416" s="39"/>
      <c r="E416" s="44"/>
    </row>
    <row r="417" spans="2:5">
      <c r="B417" s="43"/>
      <c r="C417" s="33"/>
      <c r="D417" s="39"/>
      <c r="E417" s="44"/>
    </row>
    <row r="418" spans="2:5">
      <c r="B418" s="43"/>
      <c r="C418" s="33"/>
      <c r="D418" s="39"/>
      <c r="E418" s="44"/>
    </row>
    <row r="419" spans="2:5">
      <c r="B419" s="43"/>
      <c r="C419" s="33"/>
      <c r="D419" s="39"/>
      <c r="E419" s="44"/>
    </row>
    <row r="420" spans="2:5">
      <c r="B420" s="43"/>
      <c r="C420" s="33"/>
      <c r="D420" s="39"/>
      <c r="E420" s="44"/>
    </row>
    <row r="421" spans="2:5">
      <c r="B421" s="43"/>
      <c r="C421" s="33"/>
      <c r="D421" s="39"/>
      <c r="E421" s="44"/>
    </row>
    <row r="422" spans="2:5">
      <c r="B422" s="43"/>
      <c r="C422" s="33"/>
      <c r="D422" s="39"/>
      <c r="E422" s="44"/>
    </row>
    <row r="423" spans="2:5">
      <c r="B423" s="43"/>
      <c r="C423" s="33"/>
      <c r="D423" s="39"/>
      <c r="E423" s="44"/>
    </row>
    <row r="424" spans="2:5">
      <c r="B424" s="43"/>
      <c r="C424" s="33"/>
      <c r="D424" s="39"/>
      <c r="E424" s="44"/>
    </row>
    <row r="425" spans="2:5">
      <c r="B425" s="43"/>
      <c r="C425" s="33"/>
      <c r="D425" s="39"/>
      <c r="E425" s="44"/>
    </row>
    <row r="426" spans="2:5">
      <c r="B426" s="43"/>
      <c r="C426" s="33"/>
      <c r="D426" s="39"/>
      <c r="E426" s="44"/>
    </row>
    <row r="427" spans="2:5">
      <c r="B427" s="43"/>
      <c r="C427" s="33"/>
      <c r="D427" s="39"/>
      <c r="E427" s="44"/>
    </row>
    <row r="428" spans="2:5">
      <c r="B428" s="43"/>
      <c r="C428" s="33"/>
      <c r="D428" s="39"/>
      <c r="E428" s="44"/>
    </row>
    <row r="429" spans="2:5">
      <c r="B429" s="43"/>
      <c r="C429" s="33"/>
      <c r="D429" s="39"/>
      <c r="E429" s="44"/>
    </row>
    <row r="430" spans="2:5">
      <c r="B430" s="43"/>
      <c r="C430" s="33"/>
      <c r="D430" s="39"/>
      <c r="E430" s="44"/>
    </row>
    <row r="431" spans="2:5">
      <c r="B431" s="43"/>
      <c r="C431" s="33"/>
      <c r="D431" s="39"/>
      <c r="E431" s="44"/>
    </row>
    <row r="432" spans="2:5">
      <c r="B432" s="43"/>
      <c r="C432" s="33"/>
      <c r="D432" s="39"/>
      <c r="E432" s="44"/>
    </row>
    <row r="433" spans="2:5">
      <c r="B433" s="43"/>
      <c r="C433" s="33"/>
      <c r="D433" s="39"/>
      <c r="E433" s="44"/>
    </row>
    <row r="434" spans="2:5">
      <c r="B434" s="43"/>
      <c r="C434" s="33"/>
      <c r="D434" s="39"/>
      <c r="E434" s="44"/>
    </row>
    <row r="435" spans="2:5">
      <c r="B435" s="43"/>
      <c r="C435" s="33"/>
      <c r="D435" s="39"/>
      <c r="E435" s="44"/>
    </row>
    <row r="436" spans="2:5">
      <c r="B436" s="43"/>
      <c r="C436" s="33"/>
      <c r="D436" s="39"/>
      <c r="E436" s="44"/>
    </row>
    <row r="437" spans="2:5">
      <c r="B437" s="43"/>
      <c r="C437" s="33"/>
      <c r="D437" s="39"/>
      <c r="E437" s="44"/>
    </row>
    <row r="438" spans="2:5">
      <c r="B438" s="43"/>
      <c r="C438" s="33"/>
      <c r="D438" s="39"/>
      <c r="E438" s="44"/>
    </row>
    <row r="439" spans="2:5">
      <c r="B439" s="43"/>
      <c r="C439" s="33"/>
      <c r="D439" s="39"/>
      <c r="E439" s="44"/>
    </row>
    <row r="440" spans="2:5">
      <c r="B440" s="43"/>
      <c r="C440" s="33"/>
      <c r="D440" s="39"/>
      <c r="E440" s="44"/>
    </row>
    <row r="441" spans="2:5">
      <c r="B441" s="43"/>
      <c r="C441" s="33"/>
      <c r="D441" s="39"/>
      <c r="E441" s="44"/>
    </row>
    <row r="442" spans="2:5">
      <c r="B442" s="43"/>
      <c r="C442" s="33"/>
      <c r="D442" s="39"/>
      <c r="E442" s="44"/>
    </row>
    <row r="443" spans="2:5">
      <c r="B443" s="43"/>
      <c r="C443" s="33"/>
      <c r="D443" s="39"/>
      <c r="E443" s="44"/>
    </row>
    <row r="444" spans="2:5">
      <c r="B444" s="43"/>
      <c r="C444" s="33"/>
      <c r="D444" s="39"/>
      <c r="E444" s="44"/>
    </row>
    <row r="445" spans="2:5">
      <c r="B445" s="43"/>
      <c r="C445" s="33"/>
      <c r="D445" s="39"/>
      <c r="E445" s="44"/>
    </row>
    <row r="446" spans="2:5">
      <c r="B446" s="43"/>
      <c r="C446" s="33"/>
      <c r="D446" s="39"/>
      <c r="E446" s="44"/>
    </row>
    <row r="447" spans="2:5">
      <c r="B447" s="43"/>
      <c r="C447" s="33"/>
      <c r="D447" s="39"/>
      <c r="E447" s="44"/>
    </row>
    <row r="448" spans="2:5">
      <c r="B448" s="43"/>
      <c r="C448" s="33"/>
      <c r="D448" s="39"/>
      <c r="E448" s="44"/>
    </row>
    <row r="449" spans="2:5">
      <c r="B449" s="43"/>
      <c r="C449" s="33"/>
      <c r="D449" s="39"/>
      <c r="E449" s="44"/>
    </row>
    <row r="450" spans="2:5">
      <c r="B450" s="43"/>
      <c r="C450" s="33"/>
      <c r="D450" s="39"/>
      <c r="E450" s="44"/>
    </row>
    <row r="451" spans="2:5">
      <c r="B451" s="43"/>
      <c r="C451" s="33"/>
      <c r="D451" s="39"/>
      <c r="E451" s="44"/>
    </row>
    <row r="452" spans="2:5">
      <c r="B452" s="43"/>
      <c r="C452" s="33"/>
      <c r="D452" s="39"/>
      <c r="E452" s="44"/>
    </row>
    <row r="453" spans="2:5">
      <c r="B453" s="43"/>
      <c r="C453" s="33"/>
      <c r="D453" s="39"/>
      <c r="E453" s="44"/>
    </row>
    <row r="454" spans="2:5">
      <c r="B454" s="43"/>
      <c r="C454" s="33"/>
      <c r="D454" s="39"/>
      <c r="E454" s="44"/>
    </row>
    <row r="455" spans="2:5">
      <c r="B455" s="43"/>
      <c r="C455" s="33"/>
      <c r="D455" s="39"/>
      <c r="E455" s="44"/>
    </row>
    <row r="456" spans="2:5">
      <c r="B456" s="43"/>
      <c r="C456" s="33"/>
      <c r="D456" s="39"/>
      <c r="E456" s="44"/>
    </row>
    <row r="457" spans="2:5">
      <c r="B457" s="43"/>
      <c r="C457" s="33"/>
      <c r="D457" s="39"/>
      <c r="E457" s="44"/>
    </row>
    <row r="458" spans="2:5">
      <c r="B458" s="43"/>
      <c r="C458" s="33"/>
      <c r="D458" s="39"/>
      <c r="E458" s="44"/>
    </row>
    <row r="459" spans="2:5">
      <c r="B459" s="43"/>
      <c r="C459" s="33"/>
      <c r="D459" s="39"/>
      <c r="E459" s="44"/>
    </row>
    <row r="460" spans="2:5">
      <c r="B460" s="43"/>
      <c r="C460" s="33"/>
      <c r="D460" s="39"/>
      <c r="E460" s="44"/>
    </row>
    <row r="461" spans="2:5">
      <c r="B461" s="43"/>
      <c r="C461" s="33"/>
      <c r="D461" s="39"/>
      <c r="E461" s="44"/>
    </row>
    <row r="462" spans="2:5">
      <c r="B462" s="43"/>
      <c r="C462" s="33"/>
      <c r="D462" s="39"/>
      <c r="E462" s="44"/>
    </row>
    <row r="463" spans="2:5">
      <c r="B463" s="43"/>
      <c r="C463" s="33"/>
      <c r="D463" s="39"/>
      <c r="E463" s="44"/>
    </row>
    <row r="464" spans="2:5">
      <c r="B464" s="43"/>
      <c r="C464" s="33"/>
      <c r="D464" s="39"/>
      <c r="E464" s="44"/>
    </row>
    <row r="465" spans="2:5">
      <c r="B465" s="43"/>
      <c r="C465" s="33"/>
      <c r="D465" s="39"/>
      <c r="E465" s="44"/>
    </row>
    <row r="466" spans="2:5">
      <c r="B466" s="43"/>
      <c r="C466" s="33"/>
      <c r="D466" s="39"/>
      <c r="E466" s="44"/>
    </row>
    <row r="467" spans="2:5">
      <c r="B467" s="43"/>
      <c r="C467" s="33"/>
      <c r="D467" s="39"/>
      <c r="E467" s="44"/>
    </row>
    <row r="468" spans="2:5">
      <c r="B468" s="43"/>
      <c r="C468" s="33"/>
      <c r="D468" s="39"/>
      <c r="E468" s="44"/>
    </row>
    <row r="469" spans="2:5">
      <c r="B469" s="43"/>
      <c r="C469" s="33"/>
      <c r="D469" s="39"/>
      <c r="E469" s="44"/>
    </row>
    <row r="470" spans="2:5">
      <c r="B470" s="43"/>
      <c r="C470" s="33"/>
      <c r="D470" s="39"/>
      <c r="E470" s="44"/>
    </row>
    <row r="471" spans="2:5">
      <c r="B471" s="43"/>
      <c r="C471" s="33"/>
      <c r="D471" s="39"/>
      <c r="E471" s="44"/>
    </row>
    <row r="472" spans="2:5">
      <c r="B472" s="43"/>
      <c r="C472" s="33"/>
      <c r="D472" s="39"/>
      <c r="E472" s="44"/>
    </row>
    <row r="473" spans="2:5">
      <c r="B473" s="43"/>
      <c r="C473" s="33"/>
      <c r="D473" s="39"/>
      <c r="E473" s="44"/>
    </row>
    <row r="474" spans="2:5">
      <c r="B474" s="43"/>
      <c r="C474" s="33"/>
      <c r="D474" s="39"/>
      <c r="E474" s="44"/>
    </row>
    <row r="475" spans="2:5">
      <c r="B475" s="43"/>
      <c r="C475" s="33"/>
      <c r="D475" s="39"/>
      <c r="E475" s="44"/>
    </row>
    <row r="476" spans="2:5">
      <c r="B476" s="43"/>
      <c r="C476" s="33"/>
      <c r="D476" s="39"/>
      <c r="E476" s="44"/>
    </row>
    <row r="477" spans="2:5">
      <c r="B477" s="43"/>
      <c r="C477" s="33"/>
      <c r="D477" s="39"/>
      <c r="E477" s="44"/>
    </row>
    <row r="478" spans="2:5">
      <c r="B478" s="43"/>
      <c r="C478" s="33"/>
      <c r="D478" s="39"/>
      <c r="E478" s="44"/>
    </row>
    <row r="479" spans="2:5">
      <c r="B479" s="43"/>
      <c r="C479" s="33"/>
      <c r="D479" s="39"/>
      <c r="E479" s="44"/>
    </row>
    <row r="480" spans="2:5">
      <c r="B480" s="43"/>
      <c r="C480" s="33"/>
      <c r="D480" s="39"/>
      <c r="E480" s="44"/>
    </row>
    <row r="481" spans="2:5">
      <c r="B481" s="43"/>
      <c r="C481" s="33"/>
      <c r="D481" s="39"/>
      <c r="E481" s="44"/>
    </row>
    <row r="482" spans="2:5">
      <c r="B482" s="43"/>
      <c r="C482" s="33"/>
      <c r="D482" s="39"/>
      <c r="E482" s="44"/>
    </row>
    <row r="483" spans="2:5">
      <c r="B483" s="43"/>
      <c r="C483" s="33"/>
      <c r="D483" s="39"/>
      <c r="E483" s="44"/>
    </row>
    <row r="484" spans="2:5">
      <c r="B484" s="43"/>
      <c r="C484" s="33"/>
      <c r="D484" s="39"/>
      <c r="E484" s="44"/>
    </row>
    <row r="485" spans="2:5">
      <c r="B485" s="43"/>
      <c r="C485" s="33"/>
      <c r="D485" s="39"/>
      <c r="E485" s="44"/>
    </row>
    <row r="486" spans="2:5">
      <c r="B486" s="43"/>
      <c r="C486" s="33"/>
      <c r="D486" s="39"/>
      <c r="E486" s="44"/>
    </row>
    <row r="487" spans="2:5">
      <c r="B487" s="43"/>
      <c r="C487" s="33"/>
      <c r="D487" s="39"/>
      <c r="E487" s="44"/>
    </row>
    <row r="488" spans="2:5">
      <c r="B488" s="43"/>
      <c r="C488" s="33"/>
      <c r="D488" s="39"/>
      <c r="E488" s="44"/>
    </row>
    <row r="489" spans="2:5">
      <c r="B489" s="43"/>
      <c r="C489" s="33"/>
      <c r="D489" s="39"/>
      <c r="E489" s="44"/>
    </row>
    <row r="490" spans="2:5">
      <c r="B490" s="43"/>
      <c r="C490" s="33"/>
      <c r="D490" s="39"/>
      <c r="E490" s="44"/>
    </row>
    <row r="491" spans="2:5">
      <c r="B491" s="43"/>
      <c r="C491" s="33"/>
      <c r="D491" s="39"/>
      <c r="E491" s="44"/>
    </row>
    <row r="492" spans="2:5">
      <c r="B492" s="43"/>
      <c r="C492" s="33"/>
      <c r="D492" s="39"/>
      <c r="E492" s="44"/>
    </row>
    <row r="493" spans="2:5">
      <c r="B493" s="43"/>
      <c r="C493" s="33"/>
      <c r="D493" s="39"/>
      <c r="E493" s="44"/>
    </row>
    <row r="494" spans="2:5">
      <c r="B494" s="43"/>
      <c r="C494" s="33"/>
      <c r="D494" s="39"/>
      <c r="E494" s="44"/>
    </row>
    <row r="495" spans="2:5">
      <c r="B495" s="43"/>
      <c r="C495" s="33"/>
      <c r="D495" s="39"/>
      <c r="E495" s="44"/>
    </row>
    <row r="496" spans="2:5">
      <c r="B496" s="43"/>
      <c r="C496" s="33"/>
      <c r="D496" s="39"/>
      <c r="E496" s="44"/>
    </row>
    <row r="497" spans="2:5">
      <c r="B497" s="43"/>
      <c r="C497" s="33"/>
      <c r="D497" s="39"/>
      <c r="E497" s="44"/>
    </row>
    <row r="498" spans="2:5">
      <c r="B498" s="43"/>
      <c r="C498" s="33"/>
      <c r="D498" s="39"/>
      <c r="E498" s="44"/>
    </row>
    <row r="499" spans="2:5">
      <c r="B499" s="43"/>
      <c r="C499" s="33"/>
      <c r="D499" s="39"/>
      <c r="E499" s="44"/>
    </row>
    <row r="500" spans="2:5">
      <c r="B500" s="43"/>
      <c r="C500" s="33"/>
      <c r="D500" s="39"/>
      <c r="E500" s="44"/>
    </row>
    <row r="501" spans="2:5">
      <c r="B501" s="43"/>
      <c r="C501" s="33"/>
      <c r="D501" s="39"/>
      <c r="E501" s="44"/>
    </row>
    <row r="502" spans="2:5">
      <c r="B502" s="43"/>
      <c r="C502" s="33"/>
      <c r="D502" s="39"/>
      <c r="E502" s="44"/>
    </row>
    <row r="503" spans="2:5">
      <c r="B503" s="43"/>
      <c r="C503" s="33"/>
      <c r="D503" s="39"/>
      <c r="E503" s="44"/>
    </row>
    <row r="504" spans="2:5">
      <c r="B504" s="43"/>
      <c r="C504" s="33"/>
      <c r="D504" s="39"/>
      <c r="E504" s="44"/>
    </row>
    <row r="505" spans="2:5">
      <c r="B505" s="43"/>
      <c r="C505" s="33"/>
      <c r="D505" s="39"/>
      <c r="E505" s="44"/>
    </row>
    <row r="506" spans="2:5">
      <c r="B506" s="43"/>
      <c r="C506" s="33"/>
      <c r="D506" s="39"/>
      <c r="E506" s="44"/>
    </row>
    <row r="507" spans="2:5">
      <c r="B507" s="43"/>
      <c r="C507" s="33"/>
      <c r="D507" s="39"/>
      <c r="E507" s="44"/>
    </row>
    <row r="508" spans="2:5">
      <c r="B508" s="43"/>
      <c r="C508" s="33"/>
      <c r="D508" s="39"/>
      <c r="E508" s="44"/>
    </row>
    <row r="509" spans="2:5">
      <c r="B509" s="43"/>
      <c r="C509" s="33"/>
      <c r="D509" s="39"/>
      <c r="E509" s="44"/>
    </row>
    <row r="510" spans="2:5">
      <c r="B510" s="43"/>
      <c r="C510" s="33"/>
      <c r="D510" s="39"/>
      <c r="E510" s="44"/>
    </row>
    <row r="511" spans="2:5">
      <c r="B511" s="43"/>
      <c r="C511" s="33"/>
      <c r="D511" s="39"/>
      <c r="E511" s="44"/>
    </row>
    <row r="512" spans="2:5">
      <c r="B512" s="43"/>
      <c r="C512" s="33"/>
      <c r="D512" s="39"/>
      <c r="E512" s="44"/>
    </row>
    <row r="513" spans="2:5">
      <c r="B513" s="43"/>
      <c r="C513" s="33"/>
      <c r="D513" s="39"/>
      <c r="E513" s="44"/>
    </row>
    <row r="514" spans="2:5">
      <c r="B514" s="43"/>
      <c r="C514" s="33"/>
      <c r="D514" s="39"/>
      <c r="E514" s="44"/>
    </row>
    <row r="515" spans="2:5">
      <c r="B515" s="43"/>
      <c r="C515" s="33"/>
      <c r="D515" s="39"/>
      <c r="E515" s="44"/>
    </row>
    <row r="516" spans="2:5">
      <c r="B516" s="43"/>
      <c r="C516" s="33"/>
      <c r="D516" s="39"/>
      <c r="E516" s="44"/>
    </row>
    <row r="517" spans="2:5">
      <c r="B517" s="43"/>
      <c r="C517" s="33"/>
      <c r="D517" s="39"/>
      <c r="E517" s="44"/>
    </row>
    <row r="518" spans="2:5">
      <c r="B518" s="43"/>
      <c r="C518" s="33"/>
      <c r="D518" s="39"/>
      <c r="E518" s="44"/>
    </row>
    <row r="519" spans="2:5">
      <c r="B519" s="43"/>
      <c r="C519" s="33"/>
      <c r="D519" s="39"/>
      <c r="E519" s="44"/>
    </row>
    <row r="520" spans="2:5">
      <c r="B520" s="43"/>
      <c r="C520" s="33"/>
      <c r="D520" s="39"/>
      <c r="E520" s="44"/>
    </row>
    <row r="521" spans="2:5">
      <c r="B521" s="43"/>
      <c r="C521" s="33"/>
      <c r="D521" s="39"/>
      <c r="E521" s="44"/>
    </row>
    <row r="522" spans="2:5">
      <c r="B522" s="43"/>
      <c r="C522" s="33"/>
      <c r="D522" s="39"/>
      <c r="E522" s="44"/>
    </row>
    <row r="523" spans="2:5">
      <c r="B523" s="43"/>
      <c r="C523" s="33"/>
      <c r="D523" s="39"/>
      <c r="E523" s="44"/>
    </row>
    <row r="524" spans="2:5">
      <c r="B524" s="43"/>
      <c r="C524" s="33"/>
      <c r="D524" s="39"/>
      <c r="E524" s="44"/>
    </row>
    <row r="525" spans="2:5">
      <c r="B525" s="43"/>
      <c r="C525" s="33"/>
      <c r="D525" s="39"/>
      <c r="E525" s="44"/>
    </row>
    <row r="526" spans="2:5">
      <c r="B526" s="43"/>
      <c r="C526" s="33"/>
      <c r="D526" s="39"/>
      <c r="E526" s="44"/>
    </row>
    <row r="527" spans="2:5">
      <c r="B527" s="43"/>
      <c r="C527" s="33"/>
      <c r="D527" s="39"/>
      <c r="E527" s="44"/>
    </row>
    <row r="528" spans="2:5">
      <c r="B528" s="43"/>
      <c r="C528" s="33"/>
      <c r="D528" s="39"/>
      <c r="E528" s="44"/>
    </row>
    <row r="529" spans="2:5">
      <c r="B529" s="43"/>
      <c r="C529" s="33"/>
      <c r="D529" s="39"/>
      <c r="E529" s="44"/>
    </row>
    <row r="530" spans="2:5">
      <c r="B530" s="43"/>
      <c r="C530" s="33"/>
      <c r="D530" s="39"/>
      <c r="E530" s="44"/>
    </row>
    <row r="531" spans="2:5">
      <c r="B531" s="43"/>
      <c r="C531" s="33"/>
      <c r="D531" s="39"/>
      <c r="E531" s="44"/>
    </row>
    <row r="532" spans="2:5">
      <c r="B532" s="43"/>
      <c r="C532" s="33"/>
      <c r="D532" s="39"/>
      <c r="E532" s="44"/>
    </row>
    <row r="533" spans="2:5">
      <c r="B533" s="43"/>
      <c r="C533" s="33"/>
      <c r="D533" s="39"/>
      <c r="E533" s="44"/>
    </row>
    <row r="534" spans="2:5">
      <c r="B534" s="43"/>
      <c r="C534" s="33"/>
      <c r="D534" s="39"/>
      <c r="E534" s="44"/>
    </row>
    <row r="535" spans="2:5">
      <c r="B535" s="43"/>
      <c r="C535" s="33"/>
      <c r="D535" s="39"/>
      <c r="E535" s="44"/>
    </row>
    <row r="536" spans="2:5">
      <c r="B536" s="43"/>
      <c r="C536" s="33"/>
      <c r="D536" s="39"/>
      <c r="E536" s="44"/>
    </row>
    <row r="537" spans="2:5">
      <c r="B537" s="43"/>
      <c r="C537" s="33"/>
      <c r="D537" s="39"/>
      <c r="E537" s="44"/>
    </row>
    <row r="538" spans="2:5">
      <c r="B538" s="43"/>
      <c r="C538" s="33"/>
      <c r="D538" s="39"/>
      <c r="E538" s="44"/>
    </row>
    <row r="539" spans="2:5">
      <c r="B539" s="43"/>
      <c r="C539" s="33"/>
      <c r="D539" s="39"/>
      <c r="E539" s="44"/>
    </row>
    <row r="540" spans="2:5">
      <c r="B540" s="43"/>
      <c r="C540" s="33"/>
      <c r="D540" s="39"/>
      <c r="E540" s="44"/>
    </row>
    <row r="541" spans="2:5">
      <c r="B541" s="43"/>
      <c r="C541" s="33"/>
      <c r="D541" s="39"/>
      <c r="E541" s="44"/>
    </row>
    <row r="542" spans="2:5">
      <c r="B542" s="43"/>
      <c r="C542" s="33"/>
      <c r="D542" s="39"/>
      <c r="E542" s="44"/>
    </row>
    <row r="543" spans="2:5">
      <c r="B543" s="43"/>
      <c r="C543" s="33"/>
      <c r="D543" s="39"/>
      <c r="E543" s="44"/>
    </row>
    <row r="544" spans="2:5">
      <c r="B544" s="43"/>
      <c r="C544" s="33"/>
      <c r="D544" s="39"/>
      <c r="E544" s="44"/>
    </row>
    <row r="545" spans="2:5">
      <c r="B545" s="43"/>
      <c r="C545" s="33"/>
      <c r="D545" s="39"/>
      <c r="E545" s="44"/>
    </row>
    <row r="546" spans="2:5">
      <c r="B546" s="43"/>
      <c r="C546" s="33"/>
      <c r="D546" s="39"/>
      <c r="E546" s="44"/>
    </row>
    <row r="547" spans="2:5">
      <c r="B547" s="43"/>
      <c r="C547" s="33"/>
      <c r="D547" s="39"/>
      <c r="E547" s="44"/>
    </row>
    <row r="548" spans="2:5">
      <c r="B548" s="43"/>
      <c r="C548" s="33"/>
      <c r="D548" s="39"/>
      <c r="E548" s="44"/>
    </row>
    <row r="549" spans="2:5">
      <c r="B549" s="43"/>
      <c r="C549" s="33"/>
      <c r="D549" s="39"/>
      <c r="E549" s="44"/>
    </row>
    <row r="550" spans="2:5">
      <c r="B550" s="43"/>
      <c r="C550" s="33"/>
      <c r="D550" s="39"/>
      <c r="E550" s="44"/>
    </row>
    <row r="551" spans="2:5">
      <c r="B551" s="43"/>
      <c r="C551" s="33"/>
      <c r="D551" s="39"/>
      <c r="E551" s="44"/>
    </row>
    <row r="552" spans="2:5">
      <c r="B552" s="43"/>
      <c r="C552" s="33"/>
      <c r="D552" s="39"/>
      <c r="E552" s="44"/>
    </row>
    <row r="553" spans="2:5">
      <c r="B553" s="43"/>
      <c r="C553" s="33"/>
      <c r="D553" s="39"/>
      <c r="E553" s="44"/>
    </row>
    <row r="554" spans="2:5">
      <c r="B554" s="43"/>
      <c r="C554" s="33"/>
      <c r="D554" s="39"/>
      <c r="E554" s="44"/>
    </row>
    <row r="555" spans="2:5">
      <c r="B555" s="43"/>
      <c r="C555" s="33"/>
      <c r="D555" s="39"/>
      <c r="E555" s="44"/>
    </row>
    <row r="556" spans="2:5">
      <c r="B556" s="43"/>
      <c r="C556" s="33"/>
      <c r="D556" s="39"/>
      <c r="E556" s="44"/>
    </row>
    <row r="557" spans="2:5">
      <c r="B557" s="43"/>
      <c r="C557" s="33"/>
      <c r="D557" s="39"/>
      <c r="E557" s="44"/>
    </row>
    <row r="558" spans="2:5">
      <c r="B558" s="43"/>
      <c r="C558" s="33"/>
      <c r="D558" s="39"/>
      <c r="E558" s="44"/>
    </row>
    <row r="559" spans="2:5">
      <c r="B559" s="43"/>
      <c r="C559" s="33"/>
      <c r="D559" s="39"/>
      <c r="E559" s="44"/>
    </row>
    <row r="560" spans="2:5">
      <c r="B560" s="43"/>
      <c r="C560" s="33"/>
      <c r="D560" s="39"/>
      <c r="E560" s="44"/>
    </row>
    <row r="561" spans="2:5">
      <c r="B561" s="43"/>
      <c r="C561" s="33"/>
      <c r="D561" s="39"/>
      <c r="E561" s="44"/>
    </row>
    <row r="562" spans="2:5">
      <c r="B562" s="43"/>
      <c r="C562" s="33"/>
      <c r="D562" s="39"/>
      <c r="E562" s="44"/>
    </row>
    <row r="563" spans="2:5">
      <c r="B563" s="43"/>
      <c r="C563" s="33"/>
      <c r="D563" s="39"/>
      <c r="E563" s="44"/>
    </row>
    <row r="564" spans="2:5">
      <c r="B564" s="43"/>
      <c r="C564" s="33"/>
      <c r="D564" s="39"/>
      <c r="E564" s="44"/>
    </row>
    <row r="565" spans="2:5">
      <c r="B565" s="43"/>
      <c r="C565" s="33"/>
      <c r="D565" s="39"/>
      <c r="E565" s="44"/>
    </row>
    <row r="566" spans="2:5">
      <c r="B566" s="43"/>
      <c r="C566" s="33"/>
      <c r="D566" s="39"/>
      <c r="E566" s="44"/>
    </row>
    <row r="567" spans="2:5">
      <c r="B567" s="43"/>
      <c r="C567" s="33"/>
      <c r="D567" s="39"/>
      <c r="E567" s="44"/>
    </row>
    <row r="568" spans="2:5">
      <c r="B568" s="43"/>
      <c r="C568" s="33"/>
      <c r="D568" s="39"/>
      <c r="E568" s="44"/>
    </row>
    <row r="569" spans="2:5">
      <c r="B569" s="43"/>
      <c r="C569" s="33"/>
      <c r="D569" s="39"/>
      <c r="E569" s="44"/>
    </row>
    <row r="570" spans="2:5">
      <c r="B570" s="43"/>
      <c r="C570" s="33"/>
      <c r="D570" s="39"/>
      <c r="E570" s="44"/>
    </row>
    <row r="571" spans="2:5">
      <c r="B571" s="43"/>
      <c r="C571" s="33"/>
      <c r="D571" s="39"/>
      <c r="E571" s="44"/>
    </row>
    <row r="572" spans="2:5">
      <c r="B572" s="43"/>
      <c r="C572" s="33"/>
      <c r="D572" s="39"/>
      <c r="E572" s="44"/>
    </row>
    <row r="573" spans="2:5">
      <c r="B573" s="43"/>
      <c r="C573" s="33"/>
      <c r="D573" s="39"/>
      <c r="E573" s="44"/>
    </row>
    <row r="574" spans="2:5">
      <c r="B574" s="43"/>
      <c r="C574" s="33"/>
      <c r="D574" s="39"/>
      <c r="E574" s="44"/>
    </row>
    <row r="575" spans="2:5">
      <c r="B575" s="43"/>
      <c r="C575" s="33"/>
      <c r="D575" s="39"/>
      <c r="E575" s="44"/>
    </row>
    <row r="576" spans="2:5">
      <c r="B576" s="43"/>
      <c r="C576" s="33"/>
      <c r="D576" s="39"/>
      <c r="E576" s="44"/>
    </row>
    <row r="577" spans="2:5">
      <c r="B577" s="43"/>
      <c r="C577" s="33"/>
      <c r="D577" s="39"/>
      <c r="E577" s="44"/>
    </row>
    <row r="578" spans="2:5">
      <c r="B578" s="43"/>
      <c r="C578" s="33"/>
      <c r="D578" s="39"/>
      <c r="E578" s="44"/>
    </row>
    <row r="579" spans="2:5">
      <c r="B579" s="43"/>
      <c r="C579" s="33"/>
      <c r="D579" s="39"/>
      <c r="E579" s="44"/>
    </row>
    <row r="580" spans="2:5">
      <c r="B580" s="43"/>
      <c r="C580" s="33"/>
      <c r="D580" s="39"/>
      <c r="E580" s="44"/>
    </row>
    <row r="581" spans="2:5">
      <c r="B581" s="43"/>
      <c r="C581" s="33"/>
      <c r="D581" s="39"/>
      <c r="E581" s="44"/>
    </row>
    <row r="582" spans="2:5">
      <c r="B582" s="43"/>
      <c r="C582" s="33"/>
      <c r="D582" s="39"/>
      <c r="E582" s="44"/>
    </row>
    <row r="583" spans="2:5">
      <c r="B583" s="43"/>
      <c r="C583" s="33"/>
      <c r="D583" s="39"/>
      <c r="E583" s="44"/>
    </row>
    <row r="584" spans="2:5">
      <c r="B584" s="43"/>
      <c r="C584" s="33"/>
      <c r="D584" s="39"/>
      <c r="E584" s="44"/>
    </row>
    <row r="585" spans="2:5">
      <c r="B585" s="43"/>
      <c r="C585" s="33"/>
      <c r="D585" s="39"/>
      <c r="E585" s="44"/>
    </row>
    <row r="586" spans="2:5">
      <c r="B586" s="43"/>
      <c r="C586" s="33"/>
      <c r="D586" s="39"/>
      <c r="E586" s="44"/>
    </row>
    <row r="587" spans="2:5">
      <c r="B587" s="43"/>
      <c r="C587" s="33"/>
      <c r="D587" s="39"/>
      <c r="E587" s="44"/>
    </row>
    <row r="588" spans="2:5">
      <c r="B588" s="43"/>
      <c r="C588" s="33"/>
      <c r="D588" s="39"/>
      <c r="E588" s="44"/>
    </row>
    <row r="589" spans="2:5">
      <c r="B589" s="43"/>
      <c r="C589" s="33"/>
      <c r="D589" s="39"/>
      <c r="E589" s="44"/>
    </row>
    <row r="590" spans="2:5">
      <c r="B590" s="43"/>
      <c r="C590" s="33"/>
      <c r="D590" s="39"/>
      <c r="E590" s="44"/>
    </row>
    <row r="591" spans="2:5">
      <c r="B591" s="43"/>
      <c r="C591" s="33"/>
      <c r="D591" s="39"/>
      <c r="E591" s="44"/>
    </row>
    <row r="592" spans="2:5">
      <c r="B592" s="43"/>
      <c r="C592" s="33"/>
      <c r="D592" s="39"/>
      <c r="E592" s="44"/>
    </row>
    <row r="593" spans="2:5">
      <c r="B593" s="43"/>
      <c r="C593" s="33"/>
      <c r="D593" s="39"/>
      <c r="E593" s="44"/>
    </row>
    <row r="594" spans="2:5">
      <c r="B594" s="43"/>
      <c r="C594" s="33"/>
      <c r="D594" s="39"/>
      <c r="E594" s="44"/>
    </row>
    <row r="595" spans="2:5">
      <c r="B595" s="43"/>
      <c r="C595" s="33"/>
      <c r="D595" s="39"/>
      <c r="E595" s="44"/>
    </row>
    <row r="596" spans="2:5">
      <c r="B596" s="43"/>
      <c r="C596" s="33"/>
      <c r="D596" s="39"/>
      <c r="E596" s="44"/>
    </row>
    <row r="597" spans="2:5">
      <c r="B597" s="43"/>
      <c r="C597" s="33"/>
      <c r="D597" s="39"/>
      <c r="E597" s="44"/>
    </row>
    <row r="598" spans="2:5">
      <c r="B598" s="43"/>
      <c r="C598" s="33"/>
      <c r="D598" s="39"/>
      <c r="E598" s="44"/>
    </row>
    <row r="599" spans="2:5">
      <c r="B599" s="43"/>
      <c r="C599" s="33"/>
      <c r="D599" s="39"/>
      <c r="E599" s="44"/>
    </row>
    <row r="600" spans="2:5">
      <c r="B600" s="43"/>
      <c r="C600" s="33"/>
      <c r="D600" s="39"/>
      <c r="E600" s="44"/>
    </row>
    <row r="601" spans="2:5">
      <c r="B601" s="43"/>
      <c r="C601" s="33"/>
      <c r="D601" s="39"/>
      <c r="E601" s="44"/>
    </row>
    <row r="602" spans="2:5">
      <c r="B602" s="43"/>
      <c r="C602" s="33"/>
      <c r="D602" s="39"/>
      <c r="E602" s="44"/>
    </row>
    <row r="603" spans="2:5">
      <c r="B603" s="43"/>
      <c r="C603" s="33"/>
      <c r="D603" s="39"/>
      <c r="E603" s="44"/>
    </row>
    <row r="604" spans="2:5">
      <c r="B604" s="43"/>
      <c r="C604" s="33"/>
      <c r="D604" s="39"/>
      <c r="E604" s="44"/>
    </row>
    <row r="605" spans="2:5">
      <c r="B605" s="43"/>
      <c r="C605" s="33"/>
      <c r="D605" s="39"/>
      <c r="E605" s="44"/>
    </row>
    <row r="606" spans="2:5">
      <c r="B606" s="43"/>
      <c r="C606" s="33"/>
      <c r="D606" s="39"/>
      <c r="E606" s="44"/>
    </row>
    <row r="607" spans="2:5">
      <c r="B607" s="43"/>
      <c r="C607" s="33"/>
      <c r="D607" s="39"/>
      <c r="E607" s="57"/>
    </row>
    <row r="608" spans="2:5">
      <c r="B608" s="43"/>
      <c r="C608" s="33"/>
      <c r="D608" s="136"/>
      <c r="E608" s="44"/>
    </row>
    <row r="609" spans="2:5">
      <c r="B609" s="43"/>
      <c r="C609" s="33"/>
      <c r="D609" s="39"/>
      <c r="E609" s="44"/>
    </row>
    <row r="610" spans="2:5">
      <c r="B610" s="43"/>
      <c r="C610" s="33"/>
      <c r="D610" s="39"/>
      <c r="E610" s="44"/>
    </row>
    <row r="611" spans="2:5">
      <c r="B611" s="43"/>
      <c r="C611" s="33"/>
      <c r="D611" s="39"/>
      <c r="E611" s="44"/>
    </row>
    <row r="612" spans="2:5">
      <c r="B612" s="43"/>
      <c r="C612" s="33"/>
      <c r="D612" s="39"/>
      <c r="E612" s="44"/>
    </row>
    <row r="613" spans="2:5">
      <c r="B613" s="43"/>
      <c r="C613" s="33"/>
      <c r="D613" s="39"/>
      <c r="E613" s="44"/>
    </row>
    <row r="614" spans="2:5">
      <c r="B614" s="43"/>
      <c r="C614" s="33"/>
      <c r="D614" s="39"/>
      <c r="E614" s="44"/>
    </row>
    <row r="615" spans="2:5">
      <c r="B615" s="43"/>
      <c r="C615" s="33"/>
      <c r="D615" s="39"/>
      <c r="E615" s="44"/>
    </row>
    <row r="616" spans="2:5">
      <c r="B616" s="43"/>
      <c r="C616" s="33"/>
      <c r="D616" s="39"/>
      <c r="E616" s="44"/>
    </row>
    <row r="617" spans="2:5">
      <c r="B617" s="43"/>
      <c r="C617" s="33"/>
      <c r="D617" s="39"/>
      <c r="E617" s="44"/>
    </row>
    <row r="618" spans="2:5">
      <c r="B618" s="43"/>
      <c r="C618" s="33"/>
      <c r="D618" s="39"/>
      <c r="E618" s="44"/>
    </row>
    <row r="619" spans="2:5">
      <c r="B619" s="43"/>
      <c r="C619" s="33"/>
      <c r="D619" s="39"/>
      <c r="E619" s="44"/>
    </row>
    <row r="620" spans="2:5">
      <c r="B620" s="43"/>
      <c r="C620" s="33"/>
      <c r="D620" s="39"/>
      <c r="E620" s="44"/>
    </row>
    <row r="621" spans="2:5">
      <c r="B621" s="43"/>
      <c r="C621" s="33"/>
      <c r="D621" s="39"/>
      <c r="E621" s="44"/>
    </row>
    <row r="622" spans="2:5">
      <c r="B622" s="43"/>
      <c r="C622" s="33"/>
      <c r="D622" s="39"/>
      <c r="E622" s="44"/>
    </row>
    <row r="623" spans="2:5">
      <c r="B623" s="43"/>
      <c r="C623" s="33"/>
      <c r="D623" s="39"/>
      <c r="E623" s="44"/>
    </row>
    <row r="624" spans="2:5">
      <c r="B624" s="43"/>
      <c r="C624" s="33"/>
      <c r="D624" s="39"/>
      <c r="E624" s="44"/>
    </row>
    <row r="625" spans="2:5">
      <c r="B625" s="43"/>
      <c r="C625" s="33"/>
      <c r="D625" s="39"/>
      <c r="E625" s="44"/>
    </row>
    <row r="626" spans="2:5">
      <c r="B626" s="43"/>
      <c r="C626" s="33"/>
      <c r="D626" s="39"/>
      <c r="E626" s="44"/>
    </row>
    <row r="627" spans="2:5">
      <c r="B627" s="43"/>
      <c r="C627" s="33"/>
      <c r="D627" s="39"/>
      <c r="E627" s="44"/>
    </row>
    <row r="628" spans="2:5">
      <c r="B628" s="43"/>
      <c r="C628" s="141"/>
      <c r="D628" s="39"/>
      <c r="E628" s="44"/>
    </row>
    <row r="629" spans="2:5">
      <c r="B629" s="43"/>
      <c r="C629" s="141"/>
      <c r="D629" s="39"/>
      <c r="E629" s="44"/>
    </row>
    <row r="630" spans="2:5">
      <c r="B630" s="43"/>
      <c r="C630" s="141"/>
      <c r="D630" s="39"/>
      <c r="E630" s="44"/>
    </row>
    <row r="631" spans="2:5">
      <c r="B631" s="43"/>
      <c r="C631" s="141"/>
      <c r="D631" s="39"/>
      <c r="E631" s="44"/>
    </row>
    <row r="632" spans="2:5">
      <c r="B632" s="43"/>
      <c r="C632" s="141"/>
      <c r="D632" s="39"/>
      <c r="E632" s="44"/>
    </row>
    <row r="633" spans="2:5">
      <c r="B633" s="43"/>
      <c r="C633" s="141"/>
      <c r="D633" s="39"/>
      <c r="E633" s="44"/>
    </row>
    <row r="634" spans="2:5">
      <c r="B634" s="43"/>
      <c r="C634" s="141"/>
      <c r="D634" s="39"/>
      <c r="E634" s="44"/>
    </row>
    <row r="635" spans="2:5">
      <c r="B635" s="43"/>
      <c r="C635" s="141"/>
      <c r="D635" s="39"/>
      <c r="E635" s="44"/>
    </row>
    <row r="636" spans="2:5">
      <c r="B636" s="43"/>
      <c r="C636" s="141"/>
      <c r="D636" s="39"/>
      <c r="E636" s="44"/>
    </row>
    <row r="637" spans="2:5">
      <c r="B637" s="43"/>
      <c r="C637" s="141"/>
      <c r="D637" s="39"/>
      <c r="E637" s="44"/>
    </row>
    <row r="638" spans="2:5">
      <c r="B638" s="43"/>
      <c r="C638" s="141"/>
      <c r="D638" s="39"/>
      <c r="E638" s="44"/>
    </row>
    <row r="639" spans="2:5">
      <c r="B639" s="43"/>
      <c r="C639" s="141"/>
      <c r="D639" s="39"/>
      <c r="E639" s="44"/>
    </row>
    <row r="640" spans="2:5">
      <c r="B640" s="43"/>
      <c r="C640" s="141"/>
      <c r="D640" s="39"/>
      <c r="E640" s="44"/>
    </row>
    <row r="641" spans="2:5">
      <c r="B641" s="43"/>
      <c r="C641" s="141"/>
      <c r="D641" s="39"/>
      <c r="E641" s="44"/>
    </row>
    <row r="642" spans="2:5">
      <c r="B642" s="43"/>
      <c r="C642" s="141"/>
      <c r="D642" s="39"/>
      <c r="E642" s="44"/>
    </row>
    <row r="643" spans="2:5">
      <c r="B643" s="43"/>
      <c r="C643" s="141"/>
      <c r="D643" s="39"/>
      <c r="E643" s="44"/>
    </row>
    <row r="644" spans="2:5">
      <c r="B644" s="43"/>
      <c r="C644" s="141"/>
      <c r="D644" s="39"/>
      <c r="E644" s="44"/>
    </row>
    <row r="645" spans="2:5">
      <c r="B645" s="43"/>
      <c r="C645" s="141"/>
      <c r="D645" s="39"/>
      <c r="E645" s="44"/>
    </row>
    <row r="646" spans="2:5">
      <c r="B646" s="43"/>
      <c r="C646" s="141"/>
      <c r="D646" s="39"/>
      <c r="E646" s="44"/>
    </row>
    <row r="647" spans="2:5">
      <c r="B647" s="43"/>
      <c r="C647" s="141"/>
      <c r="D647" s="39"/>
      <c r="E647" s="44"/>
    </row>
    <row r="648" spans="2:5">
      <c r="B648" s="43"/>
      <c r="C648" s="141"/>
      <c r="D648" s="39"/>
      <c r="E648" s="44"/>
    </row>
    <row r="649" spans="2:5">
      <c r="B649" s="43"/>
      <c r="C649" s="141"/>
      <c r="D649" s="39"/>
      <c r="E649" s="44"/>
    </row>
    <row r="650" spans="2:5">
      <c r="B650" s="43"/>
      <c r="C650" s="141"/>
      <c r="D650" s="39"/>
      <c r="E650" s="44"/>
    </row>
    <row r="651" spans="2:5">
      <c r="B651" s="43"/>
      <c r="C651" s="141"/>
      <c r="D651" s="39"/>
      <c r="E651" s="44"/>
    </row>
    <row r="652" spans="2:5">
      <c r="B652" s="43"/>
      <c r="C652" s="141"/>
      <c r="D652" s="39"/>
      <c r="E652" s="44"/>
    </row>
    <row r="653" spans="2:5">
      <c r="B653" s="43"/>
      <c r="C653" s="141"/>
      <c r="D653" s="39"/>
      <c r="E653" s="44"/>
    </row>
    <row r="654" spans="2:5">
      <c r="B654" s="43"/>
      <c r="C654" s="141"/>
      <c r="D654" s="39"/>
      <c r="E654" s="44"/>
    </row>
    <row r="655" spans="2:5">
      <c r="B655" s="43"/>
      <c r="C655" s="141"/>
      <c r="D655" s="39"/>
      <c r="E655" s="44"/>
    </row>
    <row r="656" spans="2:5">
      <c r="B656" s="43"/>
      <c r="C656" s="141"/>
      <c r="D656" s="39"/>
      <c r="E656" s="44"/>
    </row>
    <row r="657" spans="2:5">
      <c r="B657" s="43"/>
      <c r="C657" s="141"/>
      <c r="D657" s="39"/>
      <c r="E657" s="44"/>
    </row>
    <row r="658" spans="2:5">
      <c r="B658" s="43"/>
      <c r="C658" s="141"/>
      <c r="D658" s="39"/>
      <c r="E658" s="44"/>
    </row>
    <row r="659" spans="2:5">
      <c r="B659" s="43"/>
      <c r="C659" s="141"/>
      <c r="D659" s="39"/>
      <c r="E659" s="44"/>
    </row>
    <row r="660" spans="2:5">
      <c r="B660" s="43"/>
      <c r="C660" s="141"/>
      <c r="D660" s="39"/>
      <c r="E660" s="44"/>
    </row>
    <row r="661" spans="2:5">
      <c r="B661" s="43"/>
      <c r="C661" s="141"/>
      <c r="D661" s="39"/>
      <c r="E661" s="44"/>
    </row>
    <row r="662" spans="2:5">
      <c r="B662" s="43"/>
      <c r="C662" s="141"/>
      <c r="D662" s="39"/>
      <c r="E662" s="44"/>
    </row>
    <row r="663" spans="2:5">
      <c r="B663" s="43"/>
      <c r="C663" s="141"/>
      <c r="D663" s="39"/>
      <c r="E663" s="44"/>
    </row>
    <row r="664" spans="2:5">
      <c r="B664" s="43"/>
      <c r="C664" s="141"/>
      <c r="D664" s="39"/>
      <c r="E664" s="44"/>
    </row>
    <row r="665" spans="2:5">
      <c r="B665" s="43"/>
      <c r="C665" s="141"/>
      <c r="D665" s="39"/>
      <c r="E665" s="44"/>
    </row>
    <row r="666" spans="2:5">
      <c r="B666" s="43"/>
      <c r="C666" s="141"/>
      <c r="D666" s="39"/>
      <c r="E666" s="44"/>
    </row>
    <row r="667" spans="2:5">
      <c r="B667" s="43"/>
      <c r="C667" s="141"/>
      <c r="D667" s="39"/>
      <c r="E667" s="44"/>
    </row>
    <row r="668" spans="2:5">
      <c r="B668" s="43"/>
      <c r="C668" s="141"/>
      <c r="D668" s="39"/>
      <c r="E668" s="44"/>
    </row>
    <row r="669" spans="2:5">
      <c r="B669" s="43"/>
      <c r="C669" s="141"/>
      <c r="D669" s="39"/>
      <c r="E669" s="44"/>
    </row>
    <row r="670" spans="2:5">
      <c r="B670" s="43"/>
      <c r="C670" s="141"/>
      <c r="D670" s="39"/>
      <c r="E670" s="44"/>
    </row>
    <row r="671" spans="2:5">
      <c r="B671" s="43"/>
      <c r="C671" s="141"/>
      <c r="D671" s="39"/>
      <c r="E671" s="44"/>
    </row>
    <row r="672" spans="2:5">
      <c r="B672" s="43"/>
      <c r="C672" s="141"/>
      <c r="D672" s="39"/>
      <c r="E672" s="44"/>
    </row>
    <row r="673" spans="2:5">
      <c r="B673" s="43"/>
      <c r="C673" s="141"/>
      <c r="D673" s="39"/>
      <c r="E673" s="44"/>
    </row>
    <row r="674" spans="2:5">
      <c r="B674" s="43"/>
      <c r="C674" s="141"/>
      <c r="D674" s="39"/>
      <c r="E674" s="44"/>
    </row>
    <row r="675" spans="2:5">
      <c r="B675" s="43"/>
      <c r="C675" s="141"/>
      <c r="D675" s="39"/>
      <c r="E675" s="44"/>
    </row>
    <row r="676" spans="2:5">
      <c r="B676" s="43"/>
      <c r="C676" s="141"/>
      <c r="D676" s="39"/>
      <c r="E676" s="44"/>
    </row>
    <row r="677" spans="2:5">
      <c r="B677" s="43"/>
      <c r="C677" s="141"/>
      <c r="D677" s="39"/>
      <c r="E677" s="44"/>
    </row>
    <row r="678" spans="2:5">
      <c r="B678" s="43"/>
      <c r="C678" s="141"/>
      <c r="D678" s="39"/>
      <c r="E678" s="44"/>
    </row>
    <row r="679" spans="2:5">
      <c r="B679" s="43"/>
      <c r="C679" s="141"/>
      <c r="D679" s="39"/>
      <c r="E679" s="44"/>
    </row>
    <row r="680" spans="2:5">
      <c r="B680" s="43"/>
      <c r="C680" s="141"/>
      <c r="D680" s="39"/>
      <c r="E680" s="44"/>
    </row>
    <row r="681" spans="2:5">
      <c r="B681" s="43"/>
      <c r="C681" s="141"/>
      <c r="D681" s="39"/>
      <c r="E681" s="44"/>
    </row>
    <row r="682" spans="2:5">
      <c r="B682" s="43"/>
      <c r="C682" s="141"/>
      <c r="D682" s="39"/>
      <c r="E682" s="44"/>
    </row>
    <row r="683" spans="2:5">
      <c r="B683" s="43"/>
      <c r="C683" s="141"/>
      <c r="D683" s="39"/>
      <c r="E683" s="44"/>
    </row>
    <row r="684" spans="2:5">
      <c r="B684" s="43"/>
      <c r="C684" s="141"/>
      <c r="D684" s="39"/>
      <c r="E684" s="44"/>
    </row>
    <row r="685" spans="2:5">
      <c r="B685" s="43"/>
      <c r="C685" s="141"/>
      <c r="D685" s="39"/>
      <c r="E685" s="44"/>
    </row>
    <row r="686" spans="2:5">
      <c r="B686" s="43"/>
      <c r="C686" s="141"/>
      <c r="D686" s="39"/>
      <c r="E686" s="44"/>
    </row>
    <row r="687" spans="2:5">
      <c r="B687" s="43"/>
      <c r="C687" s="141"/>
      <c r="D687" s="39"/>
      <c r="E687" s="44"/>
    </row>
    <row r="688" spans="2:5">
      <c r="B688" s="43"/>
      <c r="C688" s="141"/>
      <c r="D688" s="39"/>
      <c r="E688" s="44"/>
    </row>
    <row r="689" spans="2:5">
      <c r="B689" s="43"/>
      <c r="C689" s="141"/>
      <c r="D689" s="39"/>
      <c r="E689" s="44"/>
    </row>
    <row r="690" spans="2:5">
      <c r="B690" s="43"/>
      <c r="C690" s="141"/>
      <c r="D690" s="39"/>
      <c r="E690" s="44"/>
    </row>
    <row r="691" spans="2:5">
      <c r="B691" s="43"/>
      <c r="C691" s="141"/>
      <c r="D691" s="39"/>
      <c r="E691" s="44"/>
    </row>
    <row r="692" spans="2:5">
      <c r="B692" s="43"/>
      <c r="C692" s="141"/>
      <c r="D692" s="39"/>
      <c r="E692" s="44"/>
    </row>
    <row r="693" spans="2:5">
      <c r="B693" s="43"/>
      <c r="C693" s="141"/>
      <c r="D693" s="39"/>
      <c r="E693" s="44"/>
    </row>
    <row r="694" spans="2:5">
      <c r="B694" s="43"/>
      <c r="C694" s="141"/>
      <c r="D694" s="39"/>
      <c r="E694" s="44"/>
    </row>
    <row r="695" spans="2:5">
      <c r="B695" s="43"/>
      <c r="C695" s="141"/>
      <c r="D695" s="39"/>
      <c r="E695" s="44"/>
    </row>
    <row r="696" spans="2:5">
      <c r="B696" s="43"/>
      <c r="C696" s="141"/>
      <c r="D696" s="39"/>
      <c r="E696" s="44"/>
    </row>
    <row r="697" spans="2:5">
      <c r="B697" s="43"/>
      <c r="C697" s="141"/>
      <c r="D697" s="39"/>
      <c r="E697" s="44"/>
    </row>
    <row r="698" spans="2:5">
      <c r="B698" s="43"/>
      <c r="C698" s="141"/>
      <c r="D698" s="39"/>
      <c r="E698" s="44"/>
    </row>
    <row r="699" spans="2:5">
      <c r="B699" s="43"/>
      <c r="C699" s="141"/>
      <c r="D699" s="39"/>
      <c r="E699" s="44"/>
    </row>
    <row r="700" spans="2:5">
      <c r="B700" s="43"/>
      <c r="C700" s="141"/>
      <c r="D700" s="39"/>
      <c r="E700" s="44"/>
    </row>
    <row r="701" spans="2:5">
      <c r="B701" s="43"/>
      <c r="C701" s="141"/>
      <c r="D701" s="39"/>
      <c r="E701" s="44"/>
    </row>
    <row r="702" spans="2:5">
      <c r="B702" s="43"/>
      <c r="C702" s="141"/>
      <c r="D702" s="39"/>
      <c r="E702" s="44"/>
    </row>
    <row r="703" spans="2:5">
      <c r="B703" s="43"/>
      <c r="C703" s="141"/>
      <c r="D703" s="39"/>
      <c r="E703" s="44"/>
    </row>
    <row r="704" spans="2:5">
      <c r="B704" s="43"/>
      <c r="C704" s="141"/>
      <c r="D704" s="39"/>
      <c r="E704" s="44"/>
    </row>
    <row r="705" spans="2:5">
      <c r="B705" s="43"/>
      <c r="C705" s="141"/>
      <c r="D705" s="39"/>
      <c r="E705" s="44"/>
    </row>
    <row r="706" spans="2:5">
      <c r="B706" s="43"/>
      <c r="C706" s="141"/>
      <c r="D706" s="39"/>
      <c r="E706" s="44"/>
    </row>
    <row r="707" spans="2:5">
      <c r="B707" s="43"/>
      <c r="C707" s="141"/>
      <c r="D707" s="39"/>
      <c r="E707" s="44"/>
    </row>
    <row r="708" spans="2:5">
      <c r="B708" s="43"/>
      <c r="C708" s="141"/>
      <c r="D708" s="39"/>
      <c r="E708" s="44"/>
    </row>
    <row r="709" spans="2:5">
      <c r="B709" s="43"/>
      <c r="C709" s="141"/>
      <c r="D709" s="39"/>
      <c r="E709" s="44"/>
    </row>
    <row r="710" spans="2:5">
      <c r="B710" s="43"/>
      <c r="C710" s="141"/>
      <c r="D710" s="39"/>
      <c r="E710" s="44"/>
    </row>
    <row r="711" spans="2:5">
      <c r="B711" s="43"/>
      <c r="C711" s="141"/>
      <c r="D711" s="39"/>
      <c r="E711" s="44"/>
    </row>
    <row r="712" spans="2:5">
      <c r="B712" s="43"/>
      <c r="C712" s="141"/>
      <c r="D712" s="39"/>
      <c r="E712" s="44"/>
    </row>
    <row r="713" spans="2:5">
      <c r="B713" s="43"/>
      <c r="C713" s="141"/>
      <c r="D713" s="39"/>
      <c r="E713" s="44"/>
    </row>
    <row r="714" spans="2:5">
      <c r="B714" s="43"/>
      <c r="C714" s="141"/>
      <c r="D714" s="39"/>
      <c r="E714" s="44"/>
    </row>
    <row r="715" spans="2:5">
      <c r="B715" s="43"/>
      <c r="C715" s="141"/>
      <c r="D715" s="39"/>
      <c r="E715" s="44"/>
    </row>
    <row r="716" spans="2:5">
      <c r="B716" s="43"/>
      <c r="C716" s="141"/>
      <c r="D716" s="39"/>
      <c r="E716" s="44"/>
    </row>
    <row r="717" spans="2:5">
      <c r="B717" s="43"/>
      <c r="C717" s="141"/>
      <c r="D717" s="39"/>
      <c r="E717" s="44"/>
    </row>
    <row r="718" spans="2:5">
      <c r="B718" s="43"/>
      <c r="C718" s="141"/>
      <c r="D718" s="39"/>
      <c r="E718" s="44"/>
    </row>
    <row r="719" spans="2:5">
      <c r="B719" s="43"/>
      <c r="C719" s="141"/>
      <c r="D719" s="39"/>
      <c r="E719" s="44"/>
    </row>
    <row r="720" spans="2:5">
      <c r="B720" s="43"/>
      <c r="C720" s="141"/>
      <c r="D720" s="39"/>
      <c r="E720" s="44"/>
    </row>
    <row r="721" spans="2:5">
      <c r="B721" s="43"/>
      <c r="C721" s="141"/>
      <c r="D721" s="39"/>
      <c r="E721" s="44"/>
    </row>
    <row r="722" spans="2:5">
      <c r="B722" s="43"/>
      <c r="C722" s="141"/>
      <c r="D722" s="39"/>
      <c r="E722" s="44"/>
    </row>
    <row r="723" spans="2:5">
      <c r="B723" s="43"/>
      <c r="C723" s="141"/>
      <c r="D723" s="39"/>
      <c r="E723" s="44"/>
    </row>
    <row r="724" spans="2:5">
      <c r="B724" s="43"/>
      <c r="C724" s="141"/>
      <c r="D724" s="39"/>
      <c r="E724" s="44"/>
    </row>
    <row r="725" spans="2:5">
      <c r="B725" s="43"/>
      <c r="C725" s="141"/>
      <c r="D725" s="39"/>
      <c r="E725" s="44"/>
    </row>
    <row r="726" spans="2:5">
      <c r="B726" s="43"/>
      <c r="C726" s="141"/>
      <c r="D726" s="39"/>
      <c r="E726" s="44"/>
    </row>
    <row r="727" spans="2:5">
      <c r="B727" s="43"/>
      <c r="C727" s="141"/>
      <c r="D727" s="39"/>
      <c r="E727" s="44"/>
    </row>
    <row r="728" spans="2:5">
      <c r="B728" s="43"/>
      <c r="C728" s="141"/>
      <c r="D728" s="39"/>
      <c r="E728" s="44"/>
    </row>
    <row r="729" spans="2:5">
      <c r="B729" s="43"/>
      <c r="C729" s="141"/>
      <c r="D729" s="39"/>
      <c r="E729" s="44"/>
    </row>
    <row r="730" spans="2:5">
      <c r="B730" s="43"/>
      <c r="C730" s="141"/>
      <c r="D730" s="39"/>
      <c r="E730" s="44"/>
    </row>
    <row r="731" spans="2:5">
      <c r="B731" s="43"/>
      <c r="C731" s="141"/>
      <c r="D731" s="39"/>
      <c r="E731" s="44"/>
    </row>
    <row r="732" spans="2:5">
      <c r="B732" s="43"/>
      <c r="C732" s="141"/>
      <c r="D732" s="39"/>
      <c r="E732" s="44"/>
    </row>
    <row r="733" spans="2:5">
      <c r="B733" s="43"/>
      <c r="C733" s="141"/>
      <c r="D733" s="39"/>
      <c r="E733" s="44"/>
    </row>
    <row r="734" spans="2:5">
      <c r="B734" s="43"/>
      <c r="C734" s="141"/>
      <c r="D734" s="39"/>
      <c r="E734" s="44"/>
    </row>
    <row r="735" spans="2:5">
      <c r="B735" s="43"/>
      <c r="C735" s="141"/>
      <c r="D735" s="39"/>
      <c r="E735" s="44"/>
    </row>
    <row r="736" spans="2:5">
      <c r="B736" s="43"/>
      <c r="C736" s="141"/>
      <c r="D736" s="39"/>
      <c r="E736" s="44"/>
    </row>
    <row r="737" spans="2:5">
      <c r="B737" s="43"/>
      <c r="C737" s="141"/>
      <c r="D737" s="39"/>
      <c r="E737" s="44"/>
    </row>
    <row r="738" spans="2:5">
      <c r="B738" s="43"/>
      <c r="C738" s="141"/>
      <c r="D738" s="39"/>
      <c r="E738" s="44"/>
    </row>
    <row r="739" spans="2:5">
      <c r="B739" s="43"/>
      <c r="C739" s="141"/>
      <c r="D739" s="39"/>
      <c r="E739" s="44"/>
    </row>
    <row r="740" spans="2:5">
      <c r="B740" s="43"/>
      <c r="C740" s="141"/>
      <c r="D740" s="39"/>
      <c r="E740" s="44"/>
    </row>
    <row r="741" spans="2:5">
      <c r="B741" s="43"/>
      <c r="C741" s="141"/>
      <c r="D741" s="39"/>
      <c r="E741" s="44"/>
    </row>
    <row r="742" spans="2:5">
      <c r="B742" s="43"/>
      <c r="C742" s="141"/>
      <c r="D742" s="39"/>
      <c r="E742" s="44"/>
    </row>
    <row r="743" spans="2:5">
      <c r="B743" s="43"/>
      <c r="C743" s="141"/>
      <c r="D743" s="39"/>
      <c r="E743" s="44"/>
    </row>
    <row r="744" spans="2:5">
      <c r="B744" s="43"/>
      <c r="C744" s="141"/>
      <c r="D744" s="39"/>
      <c r="E744" s="44"/>
    </row>
    <row r="745" spans="2:5">
      <c r="B745" s="43"/>
      <c r="C745" s="141"/>
      <c r="D745" s="39"/>
      <c r="E745" s="44"/>
    </row>
    <row r="746" spans="2:5">
      <c r="B746" s="43"/>
      <c r="C746" s="141"/>
      <c r="D746" s="39"/>
      <c r="E746" s="44"/>
    </row>
    <row r="747" spans="2:5">
      <c r="B747" s="43"/>
      <c r="C747" s="141"/>
      <c r="D747" s="39"/>
      <c r="E747" s="44"/>
    </row>
    <row r="748" spans="2:5">
      <c r="B748" s="43"/>
      <c r="C748" s="141"/>
      <c r="D748" s="39"/>
      <c r="E748" s="44"/>
    </row>
    <row r="749" spans="2:5">
      <c r="B749" s="43"/>
      <c r="C749" s="141"/>
      <c r="D749" s="39"/>
      <c r="E749" s="44"/>
    </row>
    <row r="750" spans="2:5">
      <c r="B750" s="43"/>
      <c r="C750" s="141"/>
      <c r="D750" s="39"/>
      <c r="E750" s="44"/>
    </row>
    <row r="751" spans="2:5">
      <c r="B751" s="43"/>
      <c r="C751" s="141"/>
      <c r="D751" s="39"/>
      <c r="E751" s="44"/>
    </row>
    <row r="752" spans="2:5">
      <c r="B752" s="43"/>
      <c r="C752" s="141"/>
      <c r="D752" s="39"/>
      <c r="E752" s="44"/>
    </row>
    <row r="753" spans="2:5">
      <c r="B753" s="43"/>
      <c r="C753" s="141"/>
      <c r="D753" s="39"/>
      <c r="E753" s="44"/>
    </row>
    <row r="754" spans="2:5">
      <c r="B754" s="43"/>
      <c r="C754" s="141"/>
      <c r="D754" s="39"/>
      <c r="E754" s="44"/>
    </row>
    <row r="755" spans="2:5">
      <c r="B755" s="43"/>
      <c r="C755" s="141"/>
      <c r="D755" s="39"/>
      <c r="E755" s="44"/>
    </row>
    <row r="756" spans="2:5">
      <c r="B756" s="43"/>
      <c r="C756" s="141"/>
      <c r="D756" s="39"/>
      <c r="E756" s="44"/>
    </row>
    <row r="757" spans="2:5">
      <c r="B757" s="43"/>
      <c r="C757" s="141"/>
      <c r="D757" s="39"/>
      <c r="E757" s="44"/>
    </row>
    <row r="758" spans="2:5">
      <c r="B758" s="43"/>
      <c r="C758" s="141"/>
      <c r="D758" s="39"/>
      <c r="E758" s="44"/>
    </row>
    <row r="759" spans="2:5">
      <c r="B759" s="43"/>
      <c r="C759" s="141"/>
      <c r="D759" s="39"/>
      <c r="E759" s="44"/>
    </row>
    <row r="760" spans="2:5">
      <c r="B760" s="43"/>
      <c r="C760" s="141"/>
      <c r="D760" s="39"/>
      <c r="E760" s="44"/>
    </row>
    <row r="761" spans="2:5">
      <c r="B761" s="43"/>
      <c r="C761" s="141"/>
      <c r="D761" s="39"/>
      <c r="E761" s="44"/>
    </row>
    <row r="762" spans="2:5">
      <c r="B762" s="43"/>
      <c r="C762" s="141"/>
      <c r="D762" s="39"/>
      <c r="E762" s="44"/>
    </row>
    <row r="763" spans="2:5">
      <c r="B763" s="43"/>
      <c r="C763" s="141"/>
      <c r="D763" s="39"/>
      <c r="E763" s="44"/>
    </row>
    <row r="764" spans="2:5">
      <c r="B764" s="43"/>
      <c r="C764" s="141"/>
      <c r="D764" s="39"/>
      <c r="E764" s="44"/>
    </row>
    <row r="765" spans="2:5">
      <c r="B765" s="43"/>
      <c r="C765" s="141"/>
      <c r="D765" s="39"/>
      <c r="E765" s="44"/>
    </row>
    <row r="766" spans="2:5">
      <c r="B766" s="43"/>
      <c r="C766" s="141"/>
      <c r="D766" s="39"/>
      <c r="E766" s="44"/>
    </row>
    <row r="767" spans="2:5">
      <c r="B767" s="43"/>
      <c r="C767" s="141"/>
      <c r="D767" s="39"/>
      <c r="E767" s="44"/>
    </row>
    <row r="768" spans="2:5">
      <c r="B768" s="43"/>
      <c r="C768" s="141"/>
      <c r="D768" s="39"/>
      <c r="E768" s="44"/>
    </row>
    <row r="769" spans="2:5">
      <c r="B769" s="43"/>
      <c r="C769" s="141"/>
      <c r="D769" s="39"/>
      <c r="E769" s="44"/>
    </row>
    <row r="770" spans="2:5">
      <c r="B770" s="43"/>
      <c r="C770" s="141"/>
      <c r="D770" s="39"/>
      <c r="E770" s="44"/>
    </row>
    <row r="771" spans="2:5">
      <c r="B771" s="43"/>
      <c r="C771" s="141"/>
      <c r="D771" s="39"/>
      <c r="E771" s="44"/>
    </row>
    <row r="772" spans="2:5">
      <c r="B772" s="43"/>
      <c r="C772" s="141"/>
      <c r="D772" s="39"/>
      <c r="E772" s="44"/>
    </row>
    <row r="773" spans="2:5">
      <c r="B773" s="43"/>
      <c r="C773" s="141"/>
      <c r="D773" s="39"/>
      <c r="E773" s="44"/>
    </row>
    <row r="774" spans="2:5">
      <c r="B774" s="43"/>
      <c r="C774" s="141"/>
      <c r="D774" s="39"/>
      <c r="E774" s="44"/>
    </row>
    <row r="775" spans="2:5">
      <c r="B775" s="43"/>
      <c r="C775" s="141"/>
      <c r="D775" s="39"/>
      <c r="E775" s="44"/>
    </row>
    <row r="776" spans="2:5">
      <c r="B776" s="43"/>
      <c r="C776" s="141"/>
      <c r="D776" s="39"/>
      <c r="E776" s="44"/>
    </row>
    <row r="777" spans="2:5">
      <c r="B777" s="43"/>
      <c r="C777" s="141"/>
      <c r="D777" s="39"/>
      <c r="E777" s="44"/>
    </row>
    <row r="778" spans="2:5">
      <c r="B778" s="43"/>
      <c r="C778" s="141"/>
      <c r="D778" s="39"/>
      <c r="E778" s="44"/>
    </row>
    <row r="779" spans="2:5">
      <c r="B779" s="43"/>
      <c r="C779" s="141"/>
      <c r="D779" s="39"/>
      <c r="E779" s="44"/>
    </row>
    <row r="780" spans="2:5">
      <c r="B780" s="43"/>
      <c r="C780" s="141"/>
      <c r="D780" s="39"/>
      <c r="E780" s="44"/>
    </row>
    <row r="781" spans="2:5">
      <c r="B781" s="43"/>
      <c r="C781" s="141"/>
      <c r="D781" s="39"/>
      <c r="E781" s="44"/>
    </row>
    <row r="782" spans="2:5">
      <c r="B782" s="43"/>
      <c r="C782" s="141"/>
      <c r="D782" s="39"/>
      <c r="E782" s="44"/>
    </row>
    <row r="783" spans="2:5">
      <c r="B783" s="43"/>
      <c r="C783" s="141"/>
      <c r="D783" s="39"/>
      <c r="E783" s="44"/>
    </row>
    <row r="784" spans="2:5">
      <c r="B784" s="43"/>
      <c r="C784" s="141"/>
      <c r="D784" s="39"/>
      <c r="E784" s="44"/>
    </row>
    <row r="785" spans="2:5">
      <c r="B785" s="43"/>
      <c r="C785" s="141"/>
      <c r="D785" s="39"/>
      <c r="E785" s="44"/>
    </row>
    <row r="786" spans="2:5">
      <c r="B786" s="43"/>
      <c r="C786" s="141"/>
      <c r="D786" s="39"/>
      <c r="E786" s="44"/>
    </row>
  </sheetData>
  <autoFilter ref="B2:E68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G220"/>
  <sheetViews>
    <sheetView showGridLines="0" workbookViewId="0">
      <pane ySplit="2" topLeftCell="A3" activePane="bottomLeft" state="frozen"/>
      <selection activeCell="C4" sqref="C4"/>
      <selection pane="bottomLeft" activeCell="E3" sqref="E3"/>
    </sheetView>
  </sheetViews>
  <sheetFormatPr defaultRowHeight="14.25"/>
  <cols>
    <col min="2" max="5" width="11.75" customWidth="1"/>
  </cols>
  <sheetData>
    <row r="1" spans="2:5" ht="15">
      <c r="B1" s="50" t="s">
        <v>146</v>
      </c>
      <c r="C1" s="136"/>
      <c r="D1" s="136"/>
      <c r="E1" s="136"/>
    </row>
    <row r="2" spans="2:5">
      <c r="B2" s="15" t="s">
        <v>164</v>
      </c>
      <c r="C2" s="15" t="s">
        <v>8</v>
      </c>
      <c r="D2" s="16" t="s">
        <v>9</v>
      </c>
      <c r="E2" s="16" t="s">
        <v>105</v>
      </c>
    </row>
    <row r="3" spans="2:5">
      <c r="B3" s="40"/>
      <c r="C3" s="33"/>
      <c r="D3" s="20"/>
      <c r="E3" s="21"/>
    </row>
    <row r="4" spans="2:5">
      <c r="B4" s="40"/>
      <c r="C4" s="33"/>
      <c r="D4" s="20"/>
      <c r="E4" s="21"/>
    </row>
    <row r="5" spans="2:5">
      <c r="B5" s="40"/>
      <c r="C5" s="33"/>
      <c r="D5" s="20"/>
      <c r="E5" s="21"/>
    </row>
    <row r="6" spans="2:5">
      <c r="B6" s="40"/>
      <c r="C6" s="33"/>
      <c r="D6" s="20"/>
      <c r="E6" s="21"/>
    </row>
    <row r="7" spans="2:5">
      <c r="B7" s="40"/>
      <c r="C7" s="33"/>
      <c r="D7" s="20"/>
      <c r="E7" s="21"/>
    </row>
    <row r="8" spans="2:5">
      <c r="B8" s="40"/>
      <c r="C8" s="33"/>
      <c r="D8" s="20"/>
      <c r="E8" s="21"/>
    </row>
    <row r="9" spans="2:5">
      <c r="B9" s="40"/>
      <c r="C9" s="33"/>
      <c r="D9" s="20"/>
      <c r="E9" s="21"/>
    </row>
    <row r="10" spans="2:5">
      <c r="B10" s="40"/>
      <c r="C10" s="33"/>
      <c r="D10" s="20"/>
      <c r="E10" s="21"/>
    </row>
    <row r="11" spans="2:5">
      <c r="B11" s="40"/>
      <c r="C11" s="33"/>
      <c r="D11" s="20"/>
      <c r="E11" s="21"/>
    </row>
    <row r="12" spans="2:5">
      <c r="B12" s="40"/>
      <c r="C12" s="33"/>
      <c r="D12" s="20"/>
      <c r="E12" s="21"/>
    </row>
    <row r="13" spans="2:5">
      <c r="B13" s="40"/>
      <c r="C13" s="33"/>
      <c r="D13" s="20"/>
      <c r="E13" s="21"/>
    </row>
    <row r="14" spans="2:5">
      <c r="B14" s="40"/>
      <c r="C14" s="33"/>
      <c r="D14" s="20"/>
      <c r="E14" s="21"/>
    </row>
    <row r="15" spans="2:5">
      <c r="B15" s="40"/>
      <c r="C15" s="33"/>
      <c r="D15" s="20"/>
      <c r="E15" s="21"/>
    </row>
    <row r="16" spans="2:5">
      <c r="B16" s="40"/>
      <c r="C16" s="33"/>
      <c r="D16" s="20"/>
      <c r="E16" s="21"/>
    </row>
    <row r="17" spans="2:7">
      <c r="B17" s="40"/>
      <c r="C17" s="33"/>
      <c r="D17" s="20"/>
      <c r="E17" s="21"/>
      <c r="F17" s="48"/>
      <c r="G17" s="48"/>
    </row>
    <row r="18" spans="2:7">
      <c r="B18" s="40"/>
      <c r="C18" s="33"/>
      <c r="D18" s="20"/>
      <c r="E18" s="21"/>
      <c r="F18" s="48"/>
      <c r="G18" s="48"/>
    </row>
    <row r="19" spans="2:7">
      <c r="B19" s="40"/>
      <c r="C19" s="33"/>
      <c r="D19" s="20"/>
      <c r="E19" s="21"/>
      <c r="F19" s="48"/>
      <c r="G19" s="48"/>
    </row>
    <row r="20" spans="2:7">
      <c r="B20" s="40"/>
      <c r="C20" s="33"/>
      <c r="D20" s="20"/>
      <c r="E20" s="21"/>
      <c r="F20" s="48"/>
      <c r="G20" s="48"/>
    </row>
    <row r="21" spans="2:7">
      <c r="B21" s="40"/>
      <c r="C21" s="33"/>
      <c r="D21" s="20"/>
      <c r="E21" s="21"/>
      <c r="F21" s="48"/>
      <c r="G21" s="48"/>
    </row>
    <row r="22" spans="2:7">
      <c r="B22" s="40"/>
      <c r="C22" s="33"/>
      <c r="D22" s="20"/>
      <c r="E22" s="21"/>
      <c r="F22" s="48"/>
      <c r="G22" s="48"/>
    </row>
    <row r="23" spans="2:7">
      <c r="B23" s="40"/>
      <c r="C23" s="33"/>
      <c r="D23" s="20"/>
      <c r="E23" s="21"/>
      <c r="F23" s="48"/>
      <c r="G23" s="48"/>
    </row>
    <row r="24" spans="2:7">
      <c r="B24" s="40"/>
      <c r="C24" s="33"/>
      <c r="D24" s="20"/>
      <c r="E24" s="21"/>
      <c r="F24" s="48"/>
      <c r="G24" s="48"/>
    </row>
    <row r="25" spans="2:7">
      <c r="B25" s="40"/>
      <c r="C25" s="33"/>
      <c r="D25" s="20"/>
      <c r="E25" s="21"/>
      <c r="F25" s="48"/>
      <c r="G25" s="48"/>
    </row>
    <row r="26" spans="2:7">
      <c r="B26" s="40"/>
      <c r="C26" s="33"/>
      <c r="D26" s="20"/>
      <c r="E26" s="21"/>
      <c r="F26" s="48"/>
      <c r="G26" s="48"/>
    </row>
    <row r="27" spans="2:7">
      <c r="B27" s="40"/>
      <c r="C27" s="33"/>
      <c r="D27" s="20"/>
      <c r="E27" s="21"/>
      <c r="F27" s="48"/>
      <c r="G27" s="48"/>
    </row>
    <row r="28" spans="2:7">
      <c r="B28" s="40"/>
      <c r="C28" s="33"/>
      <c r="D28" s="20"/>
      <c r="E28" s="21"/>
      <c r="F28" s="48"/>
      <c r="G28" s="48"/>
    </row>
    <row r="29" spans="2:7">
      <c r="B29" s="40"/>
      <c r="C29" s="33"/>
      <c r="D29" s="20"/>
      <c r="E29" s="21"/>
      <c r="F29" s="48"/>
      <c r="G29" s="48"/>
    </row>
    <row r="30" spans="2:7">
      <c r="B30" s="40"/>
      <c r="C30" s="33"/>
      <c r="D30" s="20"/>
      <c r="E30" s="21"/>
      <c r="F30" s="48"/>
      <c r="G30" s="48"/>
    </row>
    <row r="31" spans="2:7">
      <c r="B31" s="40"/>
      <c r="C31" s="33"/>
      <c r="D31" s="20"/>
      <c r="E31" s="21"/>
      <c r="F31" s="48"/>
      <c r="G31" s="48"/>
    </row>
    <row r="32" spans="2:7">
      <c r="B32" s="40"/>
      <c r="C32" s="33"/>
      <c r="D32" s="20"/>
      <c r="E32" s="21"/>
      <c r="F32" s="136"/>
      <c r="G32" s="136"/>
    </row>
    <row r="33" spans="2:5">
      <c r="B33" s="40"/>
      <c r="C33" s="33"/>
      <c r="D33" s="20"/>
      <c r="E33" s="21"/>
    </row>
    <row r="34" spans="2:5">
      <c r="B34" s="40"/>
      <c r="C34" s="33"/>
      <c r="D34" s="20"/>
      <c r="E34" s="21"/>
    </row>
    <row r="35" spans="2:5">
      <c r="B35" s="40"/>
      <c r="C35" s="33"/>
      <c r="D35" s="20"/>
      <c r="E35" s="21"/>
    </row>
    <row r="36" spans="2:5">
      <c r="B36" s="40"/>
      <c r="C36" s="33"/>
      <c r="D36" s="20"/>
      <c r="E36" s="21"/>
    </row>
    <row r="37" spans="2:5">
      <c r="B37" s="40"/>
      <c r="C37" s="33">
        <f t="shared" ref="C37:C50" si="0">MONTH(B37)</f>
        <v>1</v>
      </c>
      <c r="D37" s="20"/>
      <c r="E37" s="21"/>
    </row>
    <row r="38" spans="2:5">
      <c r="B38" s="40"/>
      <c r="C38" s="33">
        <f t="shared" si="0"/>
        <v>1</v>
      </c>
      <c r="D38" s="20"/>
      <c r="E38" s="21"/>
    </row>
    <row r="39" spans="2:5">
      <c r="B39" s="40"/>
      <c r="C39" s="33">
        <f t="shared" si="0"/>
        <v>1</v>
      </c>
      <c r="D39" s="20"/>
      <c r="E39" s="21"/>
    </row>
    <row r="40" spans="2:5">
      <c r="B40" s="40"/>
      <c r="C40" s="33">
        <f t="shared" si="0"/>
        <v>1</v>
      </c>
      <c r="D40" s="20"/>
      <c r="E40" s="21"/>
    </row>
    <row r="41" spans="2:5">
      <c r="B41" s="40"/>
      <c r="C41" s="33">
        <f t="shared" si="0"/>
        <v>1</v>
      </c>
      <c r="D41" s="20"/>
      <c r="E41" s="21"/>
    </row>
    <row r="42" spans="2:5">
      <c r="B42" s="40"/>
      <c r="C42" s="33">
        <f t="shared" si="0"/>
        <v>1</v>
      </c>
      <c r="D42" s="20"/>
      <c r="E42" s="21"/>
    </row>
    <row r="43" spans="2:5">
      <c r="B43" s="40"/>
      <c r="C43" s="33">
        <f t="shared" si="0"/>
        <v>1</v>
      </c>
      <c r="D43" s="20"/>
      <c r="E43" s="21"/>
    </row>
    <row r="44" spans="2:5">
      <c r="B44" s="40"/>
      <c r="C44" s="33">
        <f t="shared" si="0"/>
        <v>1</v>
      </c>
      <c r="D44" s="20"/>
      <c r="E44" s="21"/>
    </row>
    <row r="45" spans="2:5">
      <c r="B45" s="40"/>
      <c r="C45" s="33">
        <f t="shared" si="0"/>
        <v>1</v>
      </c>
      <c r="D45" s="20"/>
      <c r="E45" s="21"/>
    </row>
    <row r="46" spans="2:5">
      <c r="B46" s="40"/>
      <c r="C46" s="33">
        <f t="shared" si="0"/>
        <v>1</v>
      </c>
      <c r="D46" s="20"/>
      <c r="E46" s="21"/>
    </row>
    <row r="47" spans="2:5">
      <c r="B47" s="40"/>
      <c r="C47" s="33">
        <f t="shared" si="0"/>
        <v>1</v>
      </c>
      <c r="D47" s="20"/>
      <c r="E47" s="21"/>
    </row>
    <row r="48" spans="2:5">
      <c r="B48" s="40"/>
      <c r="C48" s="33">
        <f t="shared" si="0"/>
        <v>1</v>
      </c>
      <c r="D48" s="20"/>
      <c r="E48" s="21"/>
    </row>
    <row r="49" spans="2:5">
      <c r="B49" s="40"/>
      <c r="C49" s="33">
        <f t="shared" si="0"/>
        <v>1</v>
      </c>
      <c r="D49" s="20"/>
      <c r="E49" s="21"/>
    </row>
    <row r="50" spans="2:5">
      <c r="B50" s="40"/>
      <c r="C50" s="33">
        <f t="shared" si="0"/>
        <v>1</v>
      </c>
      <c r="D50" s="20"/>
      <c r="E50" s="21"/>
    </row>
    <row r="51" spans="2:5">
      <c r="B51" s="19"/>
      <c r="C51" s="4"/>
      <c r="D51" s="20"/>
      <c r="E51" s="21"/>
    </row>
    <row r="52" spans="2:5">
      <c r="B52" s="19"/>
      <c r="C52" s="4"/>
      <c r="D52" s="20"/>
      <c r="E52" s="21"/>
    </row>
    <row r="53" spans="2:5">
      <c r="B53" s="19"/>
      <c r="C53" s="4"/>
      <c r="D53" s="20"/>
      <c r="E53" s="21"/>
    </row>
    <row r="54" spans="2:5">
      <c r="B54" s="19"/>
      <c r="C54" s="4"/>
      <c r="D54" s="20"/>
      <c r="E54" s="21"/>
    </row>
    <row r="55" spans="2:5">
      <c r="B55" s="19"/>
      <c r="C55" s="4"/>
      <c r="D55" s="20"/>
      <c r="E55" s="21"/>
    </row>
    <row r="56" spans="2:5">
      <c r="B56" s="19"/>
      <c r="C56" s="4"/>
      <c r="D56" s="20"/>
      <c r="E56" s="21"/>
    </row>
    <row r="57" spans="2:5">
      <c r="B57" s="19"/>
      <c r="C57" s="4"/>
      <c r="D57" s="20"/>
      <c r="E57" s="21"/>
    </row>
    <row r="58" spans="2:5">
      <c r="B58" s="19"/>
      <c r="C58" s="4"/>
      <c r="D58" s="20"/>
      <c r="E58" s="21"/>
    </row>
    <row r="59" spans="2:5">
      <c r="B59" s="19"/>
      <c r="C59" s="4"/>
      <c r="D59" s="20"/>
      <c r="E59" s="21"/>
    </row>
    <row r="60" spans="2:5">
      <c r="B60" s="19"/>
      <c r="C60" s="4"/>
      <c r="D60" s="20"/>
      <c r="E60" s="21"/>
    </row>
    <row r="61" spans="2:5">
      <c r="B61" s="19"/>
      <c r="C61" s="4"/>
      <c r="D61" s="20"/>
      <c r="E61" s="21"/>
    </row>
    <row r="62" spans="2:5">
      <c r="B62" s="19"/>
      <c r="C62" s="4"/>
      <c r="D62" s="20"/>
      <c r="E62" s="21"/>
    </row>
    <row r="63" spans="2:5">
      <c r="B63" s="19"/>
      <c r="C63" s="4"/>
      <c r="D63" s="20"/>
      <c r="E63" s="21"/>
    </row>
    <row r="64" spans="2:5">
      <c r="B64" s="19"/>
      <c r="C64" s="4"/>
      <c r="D64" s="20"/>
      <c r="E64" s="21"/>
    </row>
    <row r="65" spans="2:5">
      <c r="B65" s="19"/>
      <c r="C65" s="4"/>
      <c r="D65" s="20"/>
      <c r="E65" s="21"/>
    </row>
    <row r="66" spans="2:5">
      <c r="B66" s="19"/>
      <c r="C66" s="4"/>
      <c r="D66" s="20"/>
      <c r="E66" s="21"/>
    </row>
    <row r="67" spans="2:5">
      <c r="B67" s="19"/>
      <c r="C67" s="4"/>
      <c r="D67" s="20"/>
      <c r="E67" s="21"/>
    </row>
    <row r="68" spans="2:5">
      <c r="B68" s="19"/>
      <c r="C68" s="4"/>
      <c r="D68" s="20"/>
      <c r="E68" s="21"/>
    </row>
    <row r="69" spans="2:5">
      <c r="B69" s="19"/>
      <c r="C69" s="4"/>
      <c r="D69" s="20"/>
      <c r="E69" s="21"/>
    </row>
    <row r="70" spans="2:5">
      <c r="B70" s="19"/>
      <c r="C70" s="4"/>
      <c r="D70" s="20"/>
      <c r="E70" s="21"/>
    </row>
    <row r="71" spans="2:5">
      <c r="B71" s="19"/>
      <c r="C71" s="4"/>
      <c r="D71" s="20"/>
      <c r="E71" s="21"/>
    </row>
    <row r="72" spans="2:5">
      <c r="B72" s="19"/>
      <c r="C72" s="4"/>
      <c r="D72" s="20"/>
      <c r="E72" s="21"/>
    </row>
    <row r="73" spans="2:5">
      <c r="B73" s="19"/>
      <c r="C73" s="4"/>
      <c r="D73" s="20"/>
      <c r="E73" s="21"/>
    </row>
    <row r="74" spans="2:5">
      <c r="B74" s="19"/>
      <c r="C74" s="4"/>
      <c r="D74" s="20"/>
      <c r="E74" s="21"/>
    </row>
    <row r="75" spans="2:5">
      <c r="B75" s="19"/>
      <c r="C75" s="4"/>
      <c r="D75" s="20"/>
      <c r="E75" s="21"/>
    </row>
    <row r="76" spans="2:5">
      <c r="B76" s="19"/>
      <c r="C76" s="4"/>
      <c r="D76" s="20"/>
      <c r="E76" s="21"/>
    </row>
    <row r="77" spans="2:5">
      <c r="B77" s="19"/>
      <c r="C77" s="4"/>
      <c r="D77" s="20"/>
      <c r="E77" s="21"/>
    </row>
    <row r="78" spans="2:5">
      <c r="B78" s="19"/>
      <c r="C78" s="4"/>
      <c r="D78" s="20"/>
      <c r="E78" s="21"/>
    </row>
    <row r="79" spans="2:5">
      <c r="B79" s="19"/>
      <c r="C79" s="4"/>
      <c r="D79" s="20"/>
      <c r="E79" s="21"/>
    </row>
    <row r="80" spans="2:5">
      <c r="B80" s="19"/>
      <c r="C80" s="4"/>
      <c r="D80" s="20"/>
      <c r="E80" s="21"/>
    </row>
    <row r="81" spans="2:5">
      <c r="B81" s="19"/>
      <c r="C81" s="4"/>
      <c r="D81" s="20"/>
      <c r="E81" s="21"/>
    </row>
    <row r="82" spans="2:5">
      <c r="B82" s="19"/>
      <c r="C82" s="4"/>
      <c r="D82" s="20"/>
      <c r="E82" s="21"/>
    </row>
    <row r="83" spans="2:5">
      <c r="B83" s="19"/>
      <c r="C83" s="4"/>
      <c r="D83" s="20"/>
      <c r="E83" s="21"/>
    </row>
    <row r="84" spans="2:5">
      <c r="B84" s="19"/>
      <c r="C84" s="4"/>
      <c r="D84" s="20"/>
      <c r="E84" s="21"/>
    </row>
    <row r="85" spans="2:5">
      <c r="B85" s="19"/>
      <c r="C85" s="4"/>
      <c r="D85" s="20"/>
      <c r="E85" s="21"/>
    </row>
    <row r="86" spans="2:5">
      <c r="B86" s="19"/>
      <c r="C86" s="4"/>
      <c r="D86" s="20"/>
      <c r="E86" s="21"/>
    </row>
    <row r="87" spans="2:5">
      <c r="B87" s="19"/>
      <c r="C87" s="4"/>
      <c r="D87" s="20"/>
      <c r="E87" s="21"/>
    </row>
    <row r="88" spans="2:5">
      <c r="B88" s="19"/>
      <c r="C88" s="4"/>
      <c r="D88" s="20"/>
      <c r="E88" s="21"/>
    </row>
    <row r="89" spans="2:5">
      <c r="B89" s="19"/>
      <c r="C89" s="4"/>
      <c r="D89" s="20"/>
      <c r="E89" s="21"/>
    </row>
    <row r="90" spans="2:5">
      <c r="B90" s="19"/>
      <c r="C90" s="4"/>
      <c r="D90" s="20"/>
      <c r="E90" s="21"/>
    </row>
    <row r="91" spans="2:5">
      <c r="B91" s="19"/>
      <c r="C91" s="4"/>
      <c r="D91" s="20"/>
      <c r="E91" s="21"/>
    </row>
    <row r="92" spans="2:5">
      <c r="B92" s="19"/>
      <c r="C92" s="4"/>
      <c r="D92" s="20"/>
      <c r="E92" s="21"/>
    </row>
    <row r="93" spans="2:5">
      <c r="B93" s="19"/>
      <c r="C93" s="4"/>
      <c r="D93" s="20"/>
      <c r="E93" s="21"/>
    </row>
    <row r="94" spans="2:5">
      <c r="B94" s="19"/>
      <c r="C94" s="4"/>
      <c r="D94" s="20"/>
      <c r="E94" s="21"/>
    </row>
    <row r="95" spans="2:5">
      <c r="B95" s="19"/>
      <c r="C95" s="4"/>
      <c r="D95" s="20"/>
      <c r="E95" s="21"/>
    </row>
    <row r="96" spans="2:5">
      <c r="B96" s="19"/>
      <c r="C96" s="4"/>
      <c r="D96" s="20"/>
      <c r="E96" s="21"/>
    </row>
    <row r="97" spans="2:5">
      <c r="B97" s="19"/>
      <c r="C97" s="4"/>
      <c r="D97" s="20"/>
      <c r="E97" s="21"/>
    </row>
    <row r="98" spans="2:5">
      <c r="B98" s="19"/>
      <c r="C98" s="4"/>
      <c r="D98" s="20"/>
      <c r="E98" s="21"/>
    </row>
    <row r="99" spans="2:5">
      <c r="B99" s="19"/>
      <c r="C99" s="4"/>
      <c r="D99" s="20"/>
      <c r="E99" s="21"/>
    </row>
    <row r="100" spans="2:5">
      <c r="B100" s="19"/>
      <c r="C100" s="4"/>
      <c r="D100" s="20"/>
      <c r="E100" s="21"/>
    </row>
    <row r="101" spans="2:5">
      <c r="B101" s="19"/>
      <c r="C101" s="4"/>
      <c r="D101" s="20"/>
      <c r="E101" s="21"/>
    </row>
    <row r="102" spans="2:5">
      <c r="B102" s="19"/>
      <c r="C102" s="4"/>
      <c r="D102" s="20"/>
      <c r="E102" s="21"/>
    </row>
    <row r="103" spans="2:5">
      <c r="B103" s="19"/>
      <c r="C103" s="4"/>
      <c r="D103" s="20"/>
      <c r="E103" s="21"/>
    </row>
    <row r="104" spans="2:5">
      <c r="B104" s="19"/>
      <c r="C104" s="4"/>
      <c r="D104" s="20"/>
      <c r="E104" s="21"/>
    </row>
    <row r="105" spans="2:5">
      <c r="B105" s="19"/>
      <c r="C105" s="4"/>
      <c r="D105" s="20"/>
      <c r="E105" s="21"/>
    </row>
    <row r="106" spans="2:5">
      <c r="B106" s="19"/>
      <c r="C106" s="4"/>
      <c r="D106" s="20"/>
      <c r="E106" s="21"/>
    </row>
    <row r="107" spans="2:5">
      <c r="B107" s="19"/>
      <c r="C107" s="4"/>
      <c r="D107" s="20"/>
      <c r="E107" s="21"/>
    </row>
    <row r="108" spans="2:5">
      <c r="B108" s="19"/>
      <c r="C108" s="4"/>
      <c r="D108" s="20"/>
      <c r="E108" s="21"/>
    </row>
    <row r="109" spans="2:5">
      <c r="B109" s="19"/>
      <c r="C109" s="4"/>
      <c r="D109" s="20"/>
      <c r="E109" s="21"/>
    </row>
    <row r="110" spans="2:5">
      <c r="B110" s="19"/>
      <c r="C110" s="4"/>
      <c r="D110" s="20"/>
      <c r="E110" s="21"/>
    </row>
    <row r="111" spans="2:5">
      <c r="B111" s="19"/>
      <c r="C111" s="4"/>
      <c r="D111" s="20"/>
      <c r="E111" s="21"/>
    </row>
    <row r="112" spans="2:5">
      <c r="B112" s="19"/>
      <c r="C112" s="4"/>
      <c r="D112" s="20"/>
      <c r="E112" s="21"/>
    </row>
    <row r="113" spans="2:5">
      <c r="B113" s="19"/>
      <c r="C113" s="4"/>
      <c r="D113" s="20"/>
      <c r="E113" s="21"/>
    </row>
    <row r="114" spans="2:5">
      <c r="B114" s="19"/>
      <c r="C114" s="4"/>
      <c r="D114" s="20"/>
      <c r="E114" s="21"/>
    </row>
    <row r="115" spans="2:5">
      <c r="B115" s="19"/>
      <c r="C115" s="4"/>
      <c r="D115" s="20"/>
      <c r="E115" s="21"/>
    </row>
    <row r="116" spans="2:5">
      <c r="B116" s="19"/>
      <c r="C116" s="4"/>
      <c r="D116" s="20"/>
      <c r="E116" s="21"/>
    </row>
    <row r="117" spans="2:5">
      <c r="B117" s="19"/>
      <c r="C117" s="4"/>
      <c r="D117" s="20"/>
      <c r="E117" s="21"/>
    </row>
    <row r="118" spans="2:5">
      <c r="B118" s="19"/>
      <c r="C118" s="4"/>
      <c r="D118" s="20"/>
      <c r="E118" s="21"/>
    </row>
    <row r="119" spans="2:5">
      <c r="B119" s="19"/>
      <c r="C119" s="4"/>
      <c r="D119" s="20"/>
      <c r="E119" s="21"/>
    </row>
    <row r="120" spans="2:5">
      <c r="B120" s="19"/>
      <c r="C120" s="4"/>
      <c r="D120" s="20"/>
      <c r="E120" s="21"/>
    </row>
    <row r="121" spans="2:5">
      <c r="B121" s="19"/>
      <c r="C121" s="4"/>
      <c r="D121" s="20"/>
      <c r="E121" s="21"/>
    </row>
    <row r="122" spans="2:5">
      <c r="B122" s="19"/>
      <c r="C122" s="4"/>
      <c r="D122" s="20"/>
      <c r="E122" s="21"/>
    </row>
    <row r="123" spans="2:5">
      <c r="B123" s="19"/>
      <c r="C123" s="4"/>
      <c r="D123" s="20"/>
      <c r="E123" s="21"/>
    </row>
    <row r="124" spans="2:5">
      <c r="B124" s="19"/>
      <c r="C124" s="4"/>
      <c r="D124" s="20"/>
      <c r="E124" s="21"/>
    </row>
    <row r="125" spans="2:5">
      <c r="B125" s="19"/>
      <c r="C125" s="4"/>
      <c r="D125" s="20"/>
      <c r="E125" s="21"/>
    </row>
    <row r="126" spans="2:5">
      <c r="B126" s="19"/>
      <c r="C126" s="4"/>
      <c r="D126" s="20"/>
      <c r="E126" s="21"/>
    </row>
    <row r="127" spans="2:5">
      <c r="B127" s="19"/>
      <c r="C127" s="4"/>
      <c r="D127" s="20"/>
      <c r="E127" s="21"/>
    </row>
    <row r="128" spans="2:5">
      <c r="B128" s="19"/>
      <c r="C128" s="4"/>
      <c r="D128" s="20"/>
      <c r="E128" s="21"/>
    </row>
    <row r="129" spans="2:5">
      <c r="B129" s="19"/>
      <c r="C129" s="4"/>
      <c r="D129" s="20"/>
      <c r="E129" s="21"/>
    </row>
    <row r="130" spans="2:5">
      <c r="B130" s="19"/>
      <c r="C130" s="4"/>
      <c r="D130" s="20"/>
      <c r="E130" s="21"/>
    </row>
    <row r="131" spans="2:5">
      <c r="B131" s="19"/>
      <c r="C131" s="4"/>
      <c r="D131" s="20"/>
      <c r="E131" s="21"/>
    </row>
    <row r="132" spans="2:5">
      <c r="B132" s="19"/>
      <c r="C132" s="4"/>
      <c r="D132" s="20"/>
      <c r="E132" s="21"/>
    </row>
    <row r="133" spans="2:5">
      <c r="B133" s="19"/>
      <c r="C133" s="4"/>
      <c r="D133" s="20"/>
      <c r="E133" s="21"/>
    </row>
    <row r="134" spans="2:5">
      <c r="B134" s="19"/>
      <c r="C134" s="4"/>
      <c r="D134" s="20"/>
      <c r="E134" s="21"/>
    </row>
    <row r="135" spans="2:5">
      <c r="B135" s="19"/>
      <c r="C135" s="4"/>
      <c r="D135" s="20"/>
      <c r="E135" s="21"/>
    </row>
    <row r="136" spans="2:5">
      <c r="B136" s="19"/>
      <c r="C136" s="4"/>
      <c r="D136" s="20"/>
      <c r="E136" s="21"/>
    </row>
    <row r="137" spans="2:5">
      <c r="B137" s="19"/>
      <c r="C137" s="4"/>
      <c r="D137" s="20"/>
      <c r="E137" s="21"/>
    </row>
    <row r="138" spans="2:5">
      <c r="B138" s="19"/>
      <c r="C138" s="4"/>
      <c r="D138" s="20"/>
      <c r="E138" s="21"/>
    </row>
    <row r="139" spans="2:5">
      <c r="B139" s="19"/>
      <c r="C139" s="4"/>
      <c r="D139" s="20"/>
      <c r="E139" s="21"/>
    </row>
    <row r="140" spans="2:5">
      <c r="B140" s="19"/>
      <c r="C140" s="4"/>
      <c r="D140" s="20"/>
      <c r="E140" s="21"/>
    </row>
    <row r="141" spans="2:5">
      <c r="B141" s="19"/>
      <c r="C141" s="4"/>
      <c r="D141" s="20"/>
      <c r="E141" s="21"/>
    </row>
    <row r="142" spans="2:5">
      <c r="B142" s="19"/>
      <c r="C142" s="4"/>
      <c r="D142" s="20"/>
      <c r="E142" s="21"/>
    </row>
    <row r="143" spans="2:5">
      <c r="B143" s="19"/>
      <c r="C143" s="4"/>
      <c r="D143" s="20"/>
      <c r="E143" s="21"/>
    </row>
    <row r="144" spans="2:5">
      <c r="B144" s="19"/>
      <c r="C144" s="4"/>
      <c r="D144" s="20"/>
      <c r="E144" s="21"/>
    </row>
    <row r="145" spans="2:5">
      <c r="B145" s="19"/>
      <c r="C145" s="4"/>
      <c r="D145" s="20"/>
      <c r="E145" s="21"/>
    </row>
    <row r="146" spans="2:5">
      <c r="B146" s="19"/>
      <c r="C146" s="4"/>
      <c r="D146" s="20"/>
      <c r="E146" s="21"/>
    </row>
    <row r="147" spans="2:5">
      <c r="B147" s="19"/>
      <c r="C147" s="4"/>
      <c r="D147" s="20"/>
      <c r="E147" s="21"/>
    </row>
    <row r="148" spans="2:5">
      <c r="B148" s="19"/>
      <c r="C148" s="4"/>
      <c r="D148" s="20"/>
      <c r="E148" s="21"/>
    </row>
    <row r="149" spans="2:5">
      <c r="B149" s="19"/>
      <c r="C149" s="4"/>
      <c r="D149" s="20"/>
      <c r="E149" s="21"/>
    </row>
    <row r="150" spans="2:5">
      <c r="B150" s="19"/>
      <c r="C150" s="4"/>
      <c r="D150" s="20"/>
      <c r="E150" s="21"/>
    </row>
    <row r="151" spans="2:5">
      <c r="B151" s="19"/>
      <c r="C151" s="4"/>
      <c r="D151" s="20"/>
      <c r="E151" s="21"/>
    </row>
    <row r="152" spans="2:5">
      <c r="B152" s="19"/>
      <c r="C152" s="4"/>
      <c r="D152" s="20"/>
      <c r="E152" s="21"/>
    </row>
    <row r="153" spans="2:5">
      <c r="B153" s="19"/>
      <c r="C153" s="4"/>
      <c r="D153" s="20"/>
      <c r="E153" s="21"/>
    </row>
    <row r="154" spans="2:5">
      <c r="B154" s="19"/>
      <c r="C154" s="4"/>
      <c r="D154" s="20"/>
      <c r="E154" s="21"/>
    </row>
    <row r="155" spans="2:5">
      <c r="B155" s="19"/>
      <c r="C155" s="4"/>
      <c r="D155" s="20"/>
      <c r="E155" s="21"/>
    </row>
    <row r="156" spans="2:5">
      <c r="B156" s="19"/>
      <c r="C156" s="4"/>
      <c r="D156" s="20"/>
      <c r="E156" s="21"/>
    </row>
    <row r="157" spans="2:5">
      <c r="B157" s="19"/>
      <c r="C157" s="4"/>
      <c r="D157" s="20"/>
      <c r="E157" s="21"/>
    </row>
    <row r="158" spans="2:5">
      <c r="B158" s="19"/>
      <c r="C158" s="4"/>
      <c r="D158" s="20"/>
      <c r="E158" s="21"/>
    </row>
    <row r="159" spans="2:5">
      <c r="B159" s="19"/>
      <c r="C159" s="4"/>
      <c r="D159" s="20"/>
      <c r="E159" s="21"/>
    </row>
    <row r="160" spans="2:5">
      <c r="B160" s="19"/>
      <c r="C160" s="4"/>
      <c r="D160" s="20"/>
      <c r="E160" s="21"/>
    </row>
    <row r="161" spans="2:5">
      <c r="B161" s="19"/>
      <c r="C161" s="4"/>
      <c r="D161" s="20"/>
      <c r="E161" s="21"/>
    </row>
    <row r="162" spans="2:5">
      <c r="B162" s="19"/>
      <c r="C162" s="4"/>
      <c r="D162" s="20"/>
      <c r="E162" s="21"/>
    </row>
    <row r="163" spans="2:5">
      <c r="B163" s="19"/>
      <c r="C163" s="4"/>
      <c r="D163" s="20"/>
      <c r="E163" s="21"/>
    </row>
    <row r="164" spans="2:5">
      <c r="B164" s="19"/>
      <c r="C164" s="4"/>
      <c r="D164" s="20"/>
      <c r="E164" s="21"/>
    </row>
    <row r="165" spans="2:5">
      <c r="B165" s="19"/>
      <c r="C165" s="4"/>
      <c r="D165" s="20"/>
      <c r="E165" s="21"/>
    </row>
    <row r="166" spans="2:5">
      <c r="B166" s="19"/>
      <c r="C166" s="4"/>
      <c r="D166" s="20"/>
      <c r="E166" s="21"/>
    </row>
    <row r="167" spans="2:5">
      <c r="B167" s="19"/>
      <c r="C167" s="4"/>
      <c r="D167" s="20"/>
      <c r="E167" s="21"/>
    </row>
    <row r="168" spans="2:5">
      <c r="B168" s="19"/>
      <c r="C168" s="4"/>
      <c r="D168" s="20"/>
      <c r="E168" s="21"/>
    </row>
    <row r="169" spans="2:5">
      <c r="B169" s="19"/>
      <c r="C169" s="4"/>
      <c r="D169" s="20"/>
      <c r="E169" s="21"/>
    </row>
    <row r="170" spans="2:5">
      <c r="B170" s="19"/>
      <c r="C170" s="4"/>
      <c r="D170" s="20"/>
      <c r="E170" s="21"/>
    </row>
    <row r="171" spans="2:5">
      <c r="B171" s="19"/>
      <c r="C171" s="4"/>
      <c r="D171" s="20"/>
      <c r="E171" s="21"/>
    </row>
    <row r="172" spans="2:5">
      <c r="B172" s="19"/>
      <c r="C172" s="4"/>
      <c r="D172" s="20"/>
      <c r="E172" s="21"/>
    </row>
    <row r="173" spans="2:5">
      <c r="B173" s="19"/>
      <c r="C173" s="4"/>
      <c r="D173" s="20"/>
      <c r="E173" s="21"/>
    </row>
    <row r="174" spans="2:5">
      <c r="B174" s="19"/>
      <c r="C174" s="4"/>
      <c r="D174" s="20"/>
      <c r="E174" s="21"/>
    </row>
    <row r="175" spans="2:5">
      <c r="B175" s="19"/>
      <c r="C175" s="4"/>
      <c r="D175" s="20"/>
      <c r="E175" s="21"/>
    </row>
    <row r="176" spans="2:5">
      <c r="B176" s="19"/>
      <c r="C176" s="4"/>
      <c r="D176" s="20"/>
      <c r="E176" s="21"/>
    </row>
    <row r="177" spans="2:5">
      <c r="B177" s="19"/>
      <c r="C177" s="4"/>
      <c r="D177" s="20"/>
      <c r="E177" s="21"/>
    </row>
    <row r="178" spans="2:5">
      <c r="B178" s="19"/>
      <c r="C178" s="4"/>
      <c r="D178" s="20"/>
      <c r="E178" s="21"/>
    </row>
    <row r="179" spans="2:5">
      <c r="B179" s="19"/>
      <c r="C179" s="4"/>
      <c r="D179" s="20"/>
      <c r="E179" s="21"/>
    </row>
    <row r="180" spans="2:5">
      <c r="B180" s="19"/>
      <c r="C180" s="4"/>
      <c r="D180" s="20"/>
      <c r="E180" s="21"/>
    </row>
    <row r="181" spans="2:5">
      <c r="B181" s="19"/>
      <c r="C181" s="4"/>
      <c r="D181" s="20"/>
      <c r="E181" s="21"/>
    </row>
    <row r="182" spans="2:5">
      <c r="B182" s="19"/>
      <c r="C182" s="4"/>
      <c r="D182" s="20"/>
      <c r="E182" s="21"/>
    </row>
    <row r="183" spans="2:5">
      <c r="B183" s="19"/>
      <c r="C183" s="4"/>
      <c r="D183" s="20"/>
      <c r="E183" s="21"/>
    </row>
    <row r="184" spans="2:5">
      <c r="B184" s="19"/>
      <c r="C184" s="4"/>
      <c r="D184" s="20"/>
      <c r="E184" s="21"/>
    </row>
    <row r="185" spans="2:5">
      <c r="B185" s="19"/>
      <c r="C185" s="4"/>
      <c r="D185" s="20"/>
      <c r="E185" s="21"/>
    </row>
    <row r="186" spans="2:5">
      <c r="B186" s="19"/>
      <c r="C186" s="4"/>
      <c r="D186" s="20"/>
      <c r="E186" s="21"/>
    </row>
    <row r="187" spans="2:5">
      <c r="B187" s="19"/>
      <c r="C187" s="4"/>
      <c r="D187" s="20"/>
      <c r="E187" s="21"/>
    </row>
    <row r="188" spans="2:5">
      <c r="B188" s="19"/>
      <c r="C188" s="4"/>
      <c r="D188" s="20"/>
      <c r="E188" s="21"/>
    </row>
    <row r="189" spans="2:5">
      <c r="B189" s="19"/>
      <c r="C189" s="4"/>
      <c r="D189" s="20"/>
      <c r="E189" s="21"/>
    </row>
    <row r="190" spans="2:5">
      <c r="B190" s="19"/>
      <c r="C190" s="4"/>
      <c r="D190" s="20"/>
      <c r="E190" s="21"/>
    </row>
    <row r="191" spans="2:5">
      <c r="B191" s="19"/>
      <c r="C191" s="4"/>
      <c r="D191" s="20"/>
      <c r="E191" s="21"/>
    </row>
    <row r="192" spans="2:5">
      <c r="B192" s="19"/>
      <c r="C192" s="4"/>
      <c r="D192" s="20"/>
      <c r="E192" s="21"/>
    </row>
    <row r="193" spans="2:5">
      <c r="B193" s="19"/>
      <c r="C193" s="4"/>
      <c r="D193" s="20"/>
      <c r="E193" s="21"/>
    </row>
    <row r="194" spans="2:5">
      <c r="B194" s="19"/>
      <c r="C194" s="4"/>
      <c r="D194" s="20"/>
      <c r="E194" s="21"/>
    </row>
    <row r="195" spans="2:5">
      <c r="B195" s="19"/>
      <c r="C195" s="4"/>
      <c r="D195" s="20"/>
      <c r="E195" s="21"/>
    </row>
    <row r="196" spans="2:5">
      <c r="B196" s="19"/>
      <c r="C196" s="4"/>
      <c r="D196" s="20"/>
      <c r="E196" s="21"/>
    </row>
    <row r="197" spans="2:5">
      <c r="B197" s="19"/>
      <c r="C197" s="4"/>
      <c r="D197" s="20"/>
      <c r="E197" s="21"/>
    </row>
    <row r="198" spans="2:5">
      <c r="B198" s="19"/>
      <c r="C198" s="4"/>
      <c r="D198" s="20"/>
      <c r="E198" s="21"/>
    </row>
    <row r="199" spans="2:5">
      <c r="B199" s="19"/>
      <c r="C199" s="4"/>
      <c r="D199" s="20"/>
      <c r="E199" s="21"/>
    </row>
    <row r="200" spans="2:5">
      <c r="B200" s="19"/>
      <c r="C200" s="4"/>
      <c r="D200" s="20"/>
      <c r="E200" s="21"/>
    </row>
    <row r="201" spans="2:5">
      <c r="B201" s="19"/>
      <c r="C201" s="4"/>
      <c r="D201" s="20"/>
      <c r="E201" s="21"/>
    </row>
    <row r="202" spans="2:5">
      <c r="B202" s="19"/>
      <c r="C202" s="4"/>
      <c r="D202" s="20"/>
      <c r="E202" s="21"/>
    </row>
    <row r="203" spans="2:5">
      <c r="B203" s="19"/>
      <c r="C203" s="4"/>
      <c r="D203" s="20"/>
      <c r="E203" s="21"/>
    </row>
    <row r="204" spans="2:5">
      <c r="B204" s="19"/>
      <c r="C204" s="4"/>
      <c r="D204" s="20"/>
      <c r="E204" s="21"/>
    </row>
    <row r="205" spans="2:5">
      <c r="B205" s="19"/>
      <c r="C205" s="4"/>
      <c r="D205" s="20"/>
      <c r="E205" s="21"/>
    </row>
    <row r="206" spans="2:5">
      <c r="B206" s="19"/>
      <c r="C206" s="4"/>
      <c r="D206" s="20"/>
      <c r="E206" s="21"/>
    </row>
    <row r="207" spans="2:5">
      <c r="B207" s="19"/>
      <c r="C207" s="4"/>
      <c r="D207" s="20"/>
      <c r="E207" s="21"/>
    </row>
    <row r="208" spans="2:5">
      <c r="B208" s="19"/>
      <c r="C208" s="4"/>
      <c r="D208" s="20"/>
      <c r="E208" s="21"/>
    </row>
    <row r="209" spans="2:5">
      <c r="B209" s="19"/>
      <c r="C209" s="4"/>
      <c r="D209" s="20"/>
      <c r="E209" s="21"/>
    </row>
    <row r="210" spans="2:5">
      <c r="B210" s="19"/>
      <c r="C210" s="4"/>
      <c r="D210" s="20"/>
      <c r="E210" s="21"/>
    </row>
    <row r="211" spans="2:5">
      <c r="B211" s="19"/>
      <c r="C211" s="4"/>
      <c r="D211" s="20"/>
      <c r="E211" s="21"/>
    </row>
    <row r="212" spans="2:5">
      <c r="B212" s="19"/>
      <c r="C212" s="4"/>
      <c r="D212" s="20"/>
      <c r="E212" s="21"/>
    </row>
    <row r="213" spans="2:5">
      <c r="B213" s="19"/>
      <c r="C213" s="4"/>
      <c r="D213" s="20"/>
      <c r="E213" s="21"/>
    </row>
    <row r="214" spans="2:5">
      <c r="B214" s="19"/>
      <c r="C214" s="4"/>
      <c r="D214" s="20"/>
      <c r="E214" s="21"/>
    </row>
    <row r="215" spans="2:5">
      <c r="B215" s="19"/>
      <c r="C215" s="4"/>
      <c r="D215" s="20"/>
      <c r="E215" s="21"/>
    </row>
    <row r="216" spans="2:5">
      <c r="B216" s="19"/>
      <c r="C216" s="4"/>
      <c r="D216" s="20"/>
      <c r="E216" s="21"/>
    </row>
    <row r="217" spans="2:5">
      <c r="B217" s="19"/>
      <c r="C217" s="4"/>
      <c r="D217" s="20"/>
      <c r="E217" s="21"/>
    </row>
    <row r="218" spans="2:5">
      <c r="B218" s="19"/>
      <c r="C218" s="4"/>
      <c r="D218" s="20"/>
      <c r="E218" s="21"/>
    </row>
    <row r="219" spans="2:5">
      <c r="B219" s="19"/>
      <c r="C219" s="4"/>
      <c r="D219" s="20"/>
      <c r="E219" s="21"/>
    </row>
    <row r="220" spans="2:5">
      <c r="B220" s="19"/>
      <c r="C220" s="4"/>
      <c r="D220" s="20"/>
      <c r="E220" s="21"/>
    </row>
  </sheetData>
  <autoFilter ref="B2:E2"/>
  <pageMargins left="0.7" right="0.7" top="0.75" bottom="0.75" header="0.3" footer="0.3"/>
  <pageSetup paperSize="9" orientation="portrait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I70"/>
  <sheetViews>
    <sheetView showGridLines="0" workbookViewId="0">
      <pane ySplit="2" topLeftCell="A3" activePane="bottomLeft" state="frozen"/>
      <selection activeCell="B1" sqref="B1"/>
      <selection pane="bottomLeft" activeCell="J3" sqref="J3"/>
    </sheetView>
  </sheetViews>
  <sheetFormatPr defaultRowHeight="14.25"/>
  <cols>
    <col min="2" max="2" width="7.25" style="34" bestFit="1" customWidth="1"/>
    <col min="3" max="3" width="6.625" style="34" bestFit="1" customWidth="1"/>
    <col min="4" max="4" width="9.875" bestFit="1" customWidth="1"/>
    <col min="5" max="5" width="10.375" bestFit="1" customWidth="1"/>
    <col min="6" max="6" width="26.375" customWidth="1"/>
    <col min="7" max="7" width="8.125" bestFit="1" customWidth="1"/>
    <col min="8" max="8" width="14.75" bestFit="1" customWidth="1"/>
  </cols>
  <sheetData>
    <row r="1" spans="2:9" ht="15">
      <c r="B1" s="51" t="s">
        <v>166</v>
      </c>
      <c r="C1" s="141"/>
      <c r="D1" s="136"/>
      <c r="E1" s="136"/>
      <c r="F1" s="136"/>
      <c r="G1" s="136"/>
      <c r="H1" s="136"/>
      <c r="I1" s="136"/>
    </row>
    <row r="2" spans="2:9">
      <c r="B2" s="15" t="s">
        <v>164</v>
      </c>
      <c r="C2" s="15" t="s">
        <v>8</v>
      </c>
      <c r="D2" s="16" t="s">
        <v>105</v>
      </c>
      <c r="E2" s="16" t="s">
        <v>106</v>
      </c>
      <c r="F2" s="16" t="s">
        <v>107</v>
      </c>
      <c r="G2" s="17" t="s">
        <v>12</v>
      </c>
      <c r="H2" s="16" t="s">
        <v>108</v>
      </c>
      <c r="I2" s="136"/>
    </row>
    <row r="3" spans="2:9">
      <c r="B3" s="40">
        <v>43695</v>
      </c>
      <c r="C3" s="33">
        <v>8</v>
      </c>
      <c r="D3" s="5">
        <v>50</v>
      </c>
      <c r="E3" s="20" t="s">
        <v>136</v>
      </c>
      <c r="F3" s="20" t="s">
        <v>167</v>
      </c>
      <c r="G3" s="18">
        <v>43695</v>
      </c>
      <c r="H3" s="5" t="s">
        <v>104</v>
      </c>
      <c r="I3" s="138" t="s">
        <v>168</v>
      </c>
    </row>
    <row r="4" spans="2:9">
      <c r="B4" s="40">
        <v>43698</v>
      </c>
      <c r="C4" s="33">
        <v>8</v>
      </c>
      <c r="D4" s="5">
        <v>100</v>
      </c>
      <c r="E4" s="20" t="s">
        <v>136</v>
      </c>
      <c r="F4" s="20" t="s">
        <v>169</v>
      </c>
      <c r="G4" s="18">
        <v>43698</v>
      </c>
      <c r="H4" s="5" t="s">
        <v>104</v>
      </c>
      <c r="I4" s="138" t="s">
        <v>170</v>
      </c>
    </row>
    <row r="5" spans="2:9">
      <c r="B5" s="40"/>
      <c r="C5" s="33"/>
      <c r="D5" s="5"/>
      <c r="E5" s="20"/>
      <c r="F5" s="20"/>
      <c r="G5" s="18"/>
      <c r="H5" s="5"/>
      <c r="I5" s="136"/>
    </row>
    <row r="6" spans="2:9">
      <c r="B6" s="40"/>
      <c r="C6" s="33"/>
      <c r="D6" s="5"/>
      <c r="E6" s="20"/>
      <c r="F6" s="20"/>
      <c r="G6" s="18"/>
      <c r="H6" s="5"/>
      <c r="I6" s="136"/>
    </row>
    <row r="7" spans="2:9">
      <c r="B7" s="40"/>
      <c r="C7" s="33"/>
      <c r="D7" s="5"/>
      <c r="E7" s="20"/>
      <c r="F7" s="20"/>
      <c r="G7" s="18"/>
      <c r="H7" s="5"/>
      <c r="I7" s="136"/>
    </row>
    <row r="8" spans="2:9">
      <c r="B8" s="40"/>
      <c r="C8" s="33"/>
      <c r="D8" s="5"/>
      <c r="E8" s="20"/>
      <c r="F8" s="20"/>
      <c r="G8" s="18"/>
      <c r="H8" s="5"/>
      <c r="I8" s="136"/>
    </row>
    <row r="9" spans="2:9">
      <c r="B9" s="40"/>
      <c r="C9" s="33"/>
      <c r="D9" s="5"/>
      <c r="E9" s="20"/>
      <c r="F9" s="20"/>
      <c r="G9" s="18"/>
      <c r="H9" s="5"/>
      <c r="I9" s="136"/>
    </row>
    <row r="10" spans="2:9">
      <c r="B10" s="40"/>
      <c r="C10" s="33"/>
      <c r="D10" s="5"/>
      <c r="E10" s="20"/>
      <c r="F10" s="20"/>
      <c r="G10" s="18"/>
      <c r="H10" s="5"/>
      <c r="I10" s="136"/>
    </row>
    <row r="11" spans="2:9">
      <c r="B11" s="40"/>
      <c r="C11" s="33"/>
      <c r="D11" s="5"/>
      <c r="E11" s="20"/>
      <c r="F11" s="20"/>
      <c r="G11" s="18"/>
      <c r="H11" s="5"/>
      <c r="I11" s="136"/>
    </row>
    <row r="12" spans="2:9">
      <c r="B12" s="40"/>
      <c r="C12" s="33"/>
      <c r="D12" s="5"/>
      <c r="E12" s="20"/>
      <c r="F12" s="20"/>
      <c r="G12" s="18"/>
      <c r="H12" s="5"/>
      <c r="I12" s="136"/>
    </row>
    <row r="13" spans="2:9">
      <c r="B13" s="40"/>
      <c r="C13" s="33"/>
      <c r="D13" s="5"/>
      <c r="E13" s="20"/>
      <c r="F13" s="20"/>
      <c r="G13" s="18"/>
      <c r="H13" s="5"/>
      <c r="I13" s="136"/>
    </row>
    <row r="14" spans="2:9">
      <c r="B14" s="40"/>
      <c r="C14" s="33"/>
      <c r="D14" s="5"/>
      <c r="E14" s="20"/>
      <c r="F14" s="20"/>
      <c r="G14" s="18"/>
      <c r="H14" s="5"/>
      <c r="I14" s="136"/>
    </row>
    <row r="15" spans="2:9">
      <c r="B15" s="40"/>
      <c r="C15" s="33"/>
      <c r="D15" s="5"/>
      <c r="E15" s="20"/>
      <c r="F15" s="20"/>
      <c r="G15" s="18"/>
      <c r="H15" s="5"/>
      <c r="I15" s="136"/>
    </row>
    <row r="16" spans="2:9">
      <c r="B16" s="40"/>
      <c r="C16" s="33"/>
      <c r="D16" s="5"/>
      <c r="E16" s="20"/>
      <c r="F16" s="20"/>
      <c r="G16" s="18"/>
      <c r="H16" s="5"/>
      <c r="I16" s="136"/>
    </row>
    <row r="17" spans="2:8">
      <c r="B17" s="40"/>
      <c r="C17" s="33"/>
      <c r="D17" s="5"/>
      <c r="E17" s="20"/>
      <c r="F17" s="20"/>
      <c r="G17" s="18"/>
      <c r="H17" s="5"/>
    </row>
    <row r="18" spans="2:8">
      <c r="B18" s="40"/>
      <c r="C18" s="33"/>
      <c r="D18" s="5"/>
      <c r="E18" s="20"/>
      <c r="F18" s="20"/>
      <c r="G18" s="18"/>
      <c r="H18" s="5"/>
    </row>
    <row r="19" spans="2:8">
      <c r="B19" s="40"/>
      <c r="C19" s="33"/>
      <c r="D19" s="5"/>
      <c r="E19" s="20"/>
      <c r="F19" s="20"/>
      <c r="G19" s="18"/>
      <c r="H19" s="5"/>
    </row>
    <row r="20" spans="2:8">
      <c r="B20" s="40"/>
      <c r="C20" s="33"/>
      <c r="D20" s="5"/>
      <c r="E20" s="20"/>
      <c r="F20" s="20"/>
      <c r="G20" s="18"/>
      <c r="H20" s="5"/>
    </row>
    <row r="21" spans="2:8">
      <c r="B21" s="40"/>
      <c r="C21" s="33"/>
      <c r="D21" s="5"/>
      <c r="E21" s="20"/>
      <c r="F21" s="20"/>
      <c r="G21" s="18"/>
      <c r="H21" s="5"/>
    </row>
    <row r="22" spans="2:8">
      <c r="B22" s="40"/>
      <c r="C22" s="33"/>
      <c r="D22" s="5"/>
      <c r="E22" s="20"/>
      <c r="F22" s="20"/>
      <c r="G22" s="18"/>
      <c r="H22" s="5"/>
    </row>
    <row r="23" spans="2:8">
      <c r="B23" s="40"/>
      <c r="C23" s="33"/>
      <c r="D23" s="5"/>
      <c r="E23" s="20"/>
      <c r="F23" s="20"/>
      <c r="G23" s="18"/>
      <c r="H23" s="5"/>
    </row>
    <row r="24" spans="2:8">
      <c r="B24" s="40"/>
      <c r="C24" s="33"/>
      <c r="D24" s="5"/>
      <c r="E24" s="20"/>
      <c r="F24" s="20"/>
      <c r="G24" s="18"/>
      <c r="H24" s="5"/>
    </row>
    <row r="25" spans="2:8">
      <c r="B25" s="40"/>
      <c r="C25" s="33"/>
      <c r="D25" s="5"/>
      <c r="E25" s="20"/>
      <c r="F25" s="20"/>
      <c r="G25" s="18"/>
      <c r="H25" s="5"/>
    </row>
    <row r="26" spans="2:8">
      <c r="B26" s="40"/>
      <c r="C26" s="33"/>
      <c r="D26" s="5"/>
      <c r="E26" s="20"/>
      <c r="F26" s="20"/>
      <c r="G26" s="18"/>
      <c r="H26" s="5"/>
    </row>
    <row r="27" spans="2:8">
      <c r="B27" s="40"/>
      <c r="C27" s="33"/>
      <c r="D27" s="5"/>
      <c r="E27" s="20"/>
      <c r="F27" s="20"/>
      <c r="G27" s="18"/>
      <c r="H27" s="5"/>
    </row>
    <row r="28" spans="2:8">
      <c r="B28" s="40"/>
      <c r="C28" s="33"/>
      <c r="D28" s="5"/>
      <c r="E28" s="20"/>
      <c r="F28" s="20"/>
      <c r="G28" s="18"/>
      <c r="H28" s="5"/>
    </row>
    <row r="29" spans="2:8">
      <c r="B29" s="40"/>
      <c r="C29" s="33"/>
      <c r="D29" s="5"/>
      <c r="E29" s="20"/>
      <c r="F29" s="20"/>
      <c r="G29" s="18"/>
      <c r="H29" s="5"/>
    </row>
    <row r="30" spans="2:8">
      <c r="B30" s="40"/>
      <c r="C30" s="33"/>
      <c r="D30" s="5"/>
      <c r="E30" s="20"/>
      <c r="F30" s="20"/>
      <c r="G30" s="18"/>
      <c r="H30" s="5"/>
    </row>
    <row r="31" spans="2:8">
      <c r="B31" s="40"/>
      <c r="C31" s="33"/>
      <c r="D31" s="5"/>
      <c r="E31" s="20"/>
      <c r="F31" s="20"/>
      <c r="G31" s="18"/>
      <c r="H31" s="5"/>
    </row>
    <row r="32" spans="2:8">
      <c r="B32" s="40"/>
      <c r="C32" s="33"/>
      <c r="D32" s="5"/>
      <c r="E32" s="20"/>
      <c r="F32" s="20"/>
      <c r="G32" s="18"/>
      <c r="H32" s="5"/>
    </row>
    <row r="33" spans="2:8">
      <c r="B33" s="40"/>
      <c r="C33" s="33"/>
      <c r="D33" s="5"/>
      <c r="E33" s="20"/>
      <c r="F33" s="20"/>
      <c r="G33" s="18"/>
      <c r="H33" s="5"/>
    </row>
    <row r="34" spans="2:8">
      <c r="B34" s="40"/>
      <c r="C34" s="33"/>
      <c r="D34" s="5"/>
      <c r="E34" s="20"/>
      <c r="F34" s="20"/>
      <c r="G34" s="18"/>
      <c r="H34" s="5"/>
    </row>
    <row r="35" spans="2:8">
      <c r="B35" s="40"/>
      <c r="C35" s="33"/>
      <c r="D35" s="5"/>
      <c r="E35" s="20"/>
      <c r="F35" s="20"/>
      <c r="G35" s="18"/>
      <c r="H35" s="5"/>
    </row>
    <row r="36" spans="2:8">
      <c r="B36" s="40"/>
      <c r="C36" s="33"/>
      <c r="D36" s="5"/>
      <c r="E36" s="20"/>
      <c r="F36" s="20"/>
      <c r="G36" s="18"/>
      <c r="H36" s="5"/>
    </row>
    <row r="37" spans="2:8">
      <c r="B37" s="40"/>
      <c r="C37" s="33"/>
      <c r="D37" s="5"/>
      <c r="E37" s="20"/>
      <c r="F37" s="20"/>
      <c r="G37" s="18"/>
      <c r="H37" s="5"/>
    </row>
    <row r="38" spans="2:8">
      <c r="B38" s="40"/>
      <c r="C38" s="33"/>
      <c r="D38" s="5"/>
      <c r="E38" s="20"/>
      <c r="F38" s="20"/>
      <c r="G38" s="18"/>
      <c r="H38" s="5"/>
    </row>
    <row r="39" spans="2:8">
      <c r="B39" s="40"/>
      <c r="C39" s="33"/>
      <c r="D39" s="5"/>
      <c r="E39" s="20"/>
      <c r="F39" s="20"/>
      <c r="G39" s="18"/>
      <c r="H39" s="5"/>
    </row>
    <row r="40" spans="2:8">
      <c r="B40" s="40"/>
      <c r="C40" s="33"/>
      <c r="D40" s="5"/>
      <c r="E40" s="20"/>
      <c r="F40" s="20"/>
      <c r="G40" s="18"/>
      <c r="H40" s="5"/>
    </row>
    <row r="41" spans="2:8">
      <c r="B41" s="40"/>
      <c r="C41" s="33"/>
      <c r="D41" s="5"/>
      <c r="E41" s="20"/>
      <c r="F41" s="20"/>
      <c r="G41" s="18"/>
      <c r="H41" s="5"/>
    </row>
    <row r="42" spans="2:8">
      <c r="B42" s="40"/>
      <c r="C42" s="33"/>
      <c r="D42" s="5"/>
      <c r="E42" s="20"/>
      <c r="F42" s="20"/>
      <c r="G42" s="18"/>
      <c r="H42" s="5"/>
    </row>
    <row r="43" spans="2:8">
      <c r="B43" s="40"/>
      <c r="C43" s="33"/>
      <c r="D43" s="5"/>
      <c r="E43" s="20"/>
      <c r="F43" s="20"/>
      <c r="G43" s="18"/>
      <c r="H43" s="5"/>
    </row>
    <row r="44" spans="2:8">
      <c r="B44" s="40"/>
      <c r="C44" s="33"/>
      <c r="D44" s="5"/>
      <c r="E44" s="20"/>
      <c r="F44" s="20"/>
      <c r="G44" s="18"/>
      <c r="H44" s="5"/>
    </row>
    <row r="45" spans="2:8">
      <c r="B45" s="40"/>
      <c r="C45" s="33"/>
      <c r="D45" s="5"/>
      <c r="E45" s="20"/>
      <c r="F45" s="20"/>
      <c r="G45" s="18"/>
      <c r="H45" s="5"/>
    </row>
    <row r="46" spans="2:8">
      <c r="B46" s="40"/>
      <c r="C46" s="33"/>
      <c r="D46" s="5"/>
      <c r="E46" s="20"/>
      <c r="F46" s="20"/>
      <c r="G46" s="18"/>
      <c r="H46" s="5"/>
    </row>
    <row r="47" spans="2:8">
      <c r="B47" s="40"/>
      <c r="C47" s="33"/>
      <c r="D47" s="5"/>
      <c r="E47" s="20"/>
      <c r="F47" s="20"/>
      <c r="G47" s="18"/>
      <c r="H47" s="5"/>
    </row>
    <row r="48" spans="2:8">
      <c r="B48" s="40"/>
      <c r="C48" s="33"/>
      <c r="D48" s="5"/>
      <c r="E48" s="20"/>
      <c r="F48" s="20"/>
      <c r="G48" s="18"/>
      <c r="H48" s="5"/>
    </row>
    <row r="49" spans="2:8">
      <c r="B49" s="40"/>
      <c r="C49" s="33"/>
      <c r="D49" s="5"/>
      <c r="E49" s="20"/>
      <c r="F49" s="20"/>
      <c r="G49" s="18"/>
      <c r="H49" s="5"/>
    </row>
    <row r="50" spans="2:8">
      <c r="B50" s="40"/>
      <c r="C50" s="33"/>
      <c r="D50" s="5"/>
      <c r="E50" s="20"/>
      <c r="F50" s="20"/>
      <c r="G50" s="18"/>
      <c r="H50" s="5"/>
    </row>
    <row r="51" spans="2:8">
      <c r="B51" s="40"/>
      <c r="C51" s="33"/>
      <c r="D51" s="5"/>
      <c r="E51" s="20"/>
      <c r="F51" s="20"/>
      <c r="G51" s="18"/>
      <c r="H51" s="5"/>
    </row>
    <row r="52" spans="2:8">
      <c r="B52" s="40"/>
      <c r="C52" s="33"/>
      <c r="D52" s="5"/>
      <c r="E52" s="20"/>
      <c r="F52" s="20"/>
      <c r="G52" s="18"/>
      <c r="H52" s="5"/>
    </row>
    <row r="53" spans="2:8">
      <c r="B53" s="40"/>
      <c r="C53" s="33"/>
      <c r="D53" s="5"/>
      <c r="E53" s="20"/>
      <c r="F53" s="20"/>
      <c r="G53" s="18"/>
      <c r="H53" s="5"/>
    </row>
    <row r="54" spans="2:8">
      <c r="B54" s="40"/>
      <c r="C54" s="33"/>
      <c r="D54" s="5"/>
      <c r="E54" s="20"/>
      <c r="F54" s="20"/>
      <c r="G54" s="18"/>
      <c r="H54" s="5"/>
    </row>
    <row r="55" spans="2:8">
      <c r="B55" s="40"/>
      <c r="C55" s="33"/>
      <c r="D55" s="5"/>
      <c r="E55" s="20"/>
      <c r="F55" s="20"/>
      <c r="G55" s="18"/>
      <c r="H55" s="5"/>
    </row>
    <row r="56" spans="2:8">
      <c r="B56" s="40"/>
      <c r="C56" s="33"/>
      <c r="D56" s="5"/>
      <c r="E56" s="20"/>
      <c r="F56" s="20"/>
      <c r="G56" s="18"/>
      <c r="H56" s="5"/>
    </row>
    <row r="57" spans="2:8">
      <c r="B57" s="40"/>
      <c r="C57" s="33"/>
      <c r="D57" s="5"/>
      <c r="E57" s="20"/>
      <c r="F57" s="20"/>
      <c r="G57" s="18"/>
      <c r="H57" s="5"/>
    </row>
    <row r="58" spans="2:8">
      <c r="B58" s="40"/>
      <c r="C58" s="33"/>
      <c r="D58" s="5"/>
      <c r="E58" s="20"/>
      <c r="F58" s="20"/>
      <c r="G58" s="18"/>
      <c r="H58" s="5"/>
    </row>
    <row r="59" spans="2:8">
      <c r="B59" s="40"/>
      <c r="C59" s="33"/>
      <c r="D59" s="5"/>
      <c r="E59" s="20"/>
      <c r="F59" s="20"/>
      <c r="G59" s="18"/>
      <c r="H59" s="5"/>
    </row>
    <row r="60" spans="2:8">
      <c r="B60" s="40"/>
      <c r="C60" s="33"/>
      <c r="D60" s="5"/>
      <c r="E60" s="20"/>
      <c r="F60" s="20"/>
      <c r="G60" s="18"/>
      <c r="H60" s="5"/>
    </row>
    <row r="61" spans="2:8">
      <c r="B61" s="40"/>
      <c r="C61" s="33"/>
      <c r="D61" s="5"/>
      <c r="E61" s="20"/>
      <c r="F61" s="20"/>
      <c r="G61" s="18"/>
      <c r="H61" s="5"/>
    </row>
    <row r="62" spans="2:8">
      <c r="B62" s="40"/>
      <c r="C62" s="33"/>
      <c r="D62" s="5"/>
      <c r="E62" s="20"/>
      <c r="F62" s="20"/>
      <c r="G62" s="18"/>
      <c r="H62" s="5"/>
    </row>
    <row r="63" spans="2:8">
      <c r="B63" s="40"/>
      <c r="C63" s="33"/>
      <c r="D63" s="5"/>
      <c r="E63" s="20"/>
      <c r="F63" s="20"/>
      <c r="G63" s="18"/>
      <c r="H63" s="5"/>
    </row>
    <row r="64" spans="2:8">
      <c r="B64" s="40"/>
      <c r="C64" s="33"/>
      <c r="D64" s="5"/>
      <c r="E64" s="20"/>
      <c r="F64" s="20"/>
      <c r="G64" s="18"/>
      <c r="H64" s="5"/>
    </row>
    <row r="65" spans="2:8">
      <c r="B65" s="40"/>
      <c r="C65" s="33"/>
      <c r="D65" s="5"/>
      <c r="E65" s="20"/>
      <c r="F65" s="20"/>
      <c r="G65" s="18"/>
      <c r="H65" s="5"/>
    </row>
    <row r="66" spans="2:8">
      <c r="B66" s="40"/>
      <c r="C66" s="33"/>
      <c r="D66" s="5"/>
      <c r="E66" s="20"/>
      <c r="F66" s="20"/>
      <c r="G66" s="18"/>
      <c r="H66" s="5"/>
    </row>
    <row r="67" spans="2:8">
      <c r="B67" s="40"/>
      <c r="C67" s="33"/>
      <c r="D67" s="5"/>
      <c r="E67" s="20"/>
      <c r="F67" s="20"/>
      <c r="G67" s="18"/>
      <c r="H67" s="5"/>
    </row>
    <row r="68" spans="2:8">
      <c r="B68" s="40"/>
      <c r="C68" s="33"/>
      <c r="D68" s="5"/>
      <c r="E68" s="20"/>
      <c r="F68" s="20"/>
      <c r="G68" s="18"/>
      <c r="H68" s="5"/>
    </row>
    <row r="69" spans="2:8">
      <c r="B69" s="40"/>
      <c r="C69" s="33"/>
      <c r="D69" s="5"/>
      <c r="E69" s="20"/>
      <c r="F69" s="20"/>
      <c r="G69" s="18"/>
      <c r="H69" s="5"/>
    </row>
    <row r="70" spans="2:8">
      <c r="B70" s="40"/>
      <c r="C70" s="33"/>
      <c r="D70" s="5"/>
      <c r="E70" s="20"/>
      <c r="F70" s="20"/>
      <c r="G70" s="18"/>
      <c r="H70" s="5"/>
    </row>
  </sheetData>
  <autoFilter ref="B2:H58"/>
  <pageMargins left="0.7" right="0.7" top="0.75" bottom="0.75" header="0.3" footer="0.3"/>
  <pageSetup paperSize="9" orientation="portrait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 filterMode="1"/>
  <dimension ref="B1:M107"/>
  <sheetViews>
    <sheetView showGridLines="0" topLeftCell="A47" zoomScaleNormal="100" workbookViewId="0">
      <selection activeCell="M95" sqref="M95"/>
    </sheetView>
  </sheetViews>
  <sheetFormatPr defaultRowHeight="14.25"/>
  <cols>
    <col min="2" max="2" width="7.25" style="34" bestFit="1" customWidth="1"/>
    <col min="3" max="3" width="6.625" style="34" bestFit="1" customWidth="1"/>
    <col min="4" max="4" width="9.875" bestFit="1" customWidth="1"/>
    <col min="5" max="5" width="36.125" bestFit="1" customWidth="1"/>
    <col min="6" max="6" width="9" bestFit="1" customWidth="1"/>
    <col min="7" max="7" width="8.125" bestFit="1" customWidth="1"/>
    <col min="8" max="8" width="10.75" bestFit="1" customWidth="1"/>
    <col min="12" max="12" width="10" bestFit="1" customWidth="1"/>
  </cols>
  <sheetData>
    <row r="1" spans="2:13" ht="15">
      <c r="B1" s="51" t="s">
        <v>171</v>
      </c>
      <c r="C1" s="141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2:13">
      <c r="B2" s="15" t="s">
        <v>164</v>
      </c>
      <c r="C2" s="15" t="s">
        <v>8</v>
      </c>
      <c r="D2" s="16" t="s">
        <v>105</v>
      </c>
      <c r="E2" s="16" t="s">
        <v>107</v>
      </c>
      <c r="F2" s="16" t="s">
        <v>172</v>
      </c>
      <c r="G2" s="17" t="s">
        <v>173</v>
      </c>
      <c r="H2" s="16" t="s">
        <v>108</v>
      </c>
      <c r="I2" s="136"/>
      <c r="J2" s="16" t="s">
        <v>172</v>
      </c>
      <c r="K2" s="61" t="s">
        <v>174</v>
      </c>
      <c r="L2" s="61"/>
      <c r="M2" s="61" t="s">
        <v>175</v>
      </c>
    </row>
    <row r="3" spans="2:13" hidden="1">
      <c r="B3" s="40">
        <v>43577</v>
      </c>
      <c r="C3" s="33">
        <v>4</v>
      </c>
      <c r="D3" s="5">
        <v>15</v>
      </c>
      <c r="E3" s="20" t="s">
        <v>176</v>
      </c>
      <c r="F3" s="20"/>
      <c r="G3" s="18" t="s">
        <v>177</v>
      </c>
      <c r="H3" s="5" t="s">
        <v>104</v>
      </c>
      <c r="I3" s="136" t="s">
        <v>178</v>
      </c>
      <c r="J3" s="136"/>
      <c r="K3" s="61">
        <f>SUM(D:D)</f>
        <v>2346.81</v>
      </c>
      <c r="L3" s="61"/>
      <c r="M3" s="61">
        <f>SUMIF(I:I,"pago",D:D)</f>
        <v>1551.4550000000004</v>
      </c>
    </row>
    <row r="4" spans="2:13" hidden="1">
      <c r="B4" s="40">
        <v>43577</v>
      </c>
      <c r="C4" s="33">
        <v>4</v>
      </c>
      <c r="D4" s="5">
        <v>165</v>
      </c>
      <c r="E4" s="20" t="s">
        <v>179</v>
      </c>
      <c r="F4" s="20"/>
      <c r="G4" s="18" t="s">
        <v>177</v>
      </c>
      <c r="H4" s="5" t="s">
        <v>104</v>
      </c>
      <c r="I4" s="136" t="s">
        <v>178</v>
      </c>
      <c r="J4" s="136"/>
      <c r="K4" s="61"/>
      <c r="L4" s="61" t="s">
        <v>180</v>
      </c>
      <c r="M4" s="136"/>
    </row>
    <row r="5" spans="2:13" hidden="1">
      <c r="B5" s="40">
        <v>43577</v>
      </c>
      <c r="C5" s="33">
        <v>4</v>
      </c>
      <c r="D5" s="5">
        <v>40</v>
      </c>
      <c r="E5" s="20" t="s">
        <v>181</v>
      </c>
      <c r="F5" s="20"/>
      <c r="G5" s="18" t="s">
        <v>177</v>
      </c>
      <c r="H5" s="5" t="s">
        <v>104</v>
      </c>
      <c r="I5" s="136" t="s">
        <v>178</v>
      </c>
      <c r="J5" s="136"/>
      <c r="K5" s="61"/>
      <c r="L5" s="117">
        <f>SUM(K3-M3)</f>
        <v>795.35499999999956</v>
      </c>
      <c r="M5" s="136"/>
    </row>
    <row r="6" spans="2:13" hidden="1">
      <c r="B6" s="40">
        <v>43577</v>
      </c>
      <c r="C6" s="33">
        <v>4</v>
      </c>
      <c r="D6" s="5">
        <v>59.9</v>
      </c>
      <c r="E6" s="20" t="s">
        <v>182</v>
      </c>
      <c r="F6" s="20"/>
      <c r="G6" s="18" t="s">
        <v>177</v>
      </c>
      <c r="H6" s="5" t="s">
        <v>104</v>
      </c>
      <c r="I6" s="136" t="s">
        <v>178</v>
      </c>
      <c r="J6" s="136"/>
      <c r="K6" s="136"/>
      <c r="L6" s="136"/>
      <c r="M6" s="136"/>
    </row>
    <row r="7" spans="2:13" hidden="1">
      <c r="B7" s="40">
        <v>43577</v>
      </c>
      <c r="C7" s="33">
        <v>4</v>
      </c>
      <c r="D7" s="5">
        <v>10</v>
      </c>
      <c r="E7" s="20" t="s">
        <v>183</v>
      </c>
      <c r="F7" s="20"/>
      <c r="G7" s="18" t="s">
        <v>177</v>
      </c>
      <c r="H7" s="5" t="s">
        <v>104</v>
      </c>
      <c r="I7" s="136" t="s">
        <v>178</v>
      </c>
      <c r="J7" s="136"/>
      <c r="K7" s="136"/>
      <c r="L7" s="136"/>
      <c r="M7" s="136"/>
    </row>
    <row r="8" spans="2:13" hidden="1">
      <c r="B8" s="40">
        <v>43579</v>
      </c>
      <c r="C8" s="33">
        <v>4</v>
      </c>
      <c r="D8" s="5">
        <v>20.02</v>
      </c>
      <c r="E8" s="20" t="s">
        <v>183</v>
      </c>
      <c r="F8" s="20"/>
      <c r="G8" s="18" t="s">
        <v>177</v>
      </c>
      <c r="H8" s="5" t="s">
        <v>104</v>
      </c>
      <c r="I8" s="136" t="s">
        <v>178</v>
      </c>
      <c r="J8" s="136"/>
      <c r="K8" s="136"/>
      <c r="L8" s="136"/>
      <c r="M8" s="136"/>
    </row>
    <row r="9" spans="2:13" hidden="1">
      <c r="B9" s="40">
        <v>43580</v>
      </c>
      <c r="C9" s="33">
        <v>4</v>
      </c>
      <c r="D9" s="5">
        <v>12.48</v>
      </c>
      <c r="E9" s="20" t="s">
        <v>184</v>
      </c>
      <c r="F9" s="20"/>
      <c r="G9" s="18" t="s">
        <v>177</v>
      </c>
      <c r="H9" s="5" t="s">
        <v>104</v>
      </c>
      <c r="I9" s="136" t="s">
        <v>178</v>
      </c>
      <c r="J9" s="136"/>
      <c r="K9" s="136"/>
      <c r="L9" s="136"/>
      <c r="M9" s="136"/>
    </row>
    <row r="10" spans="2:13" hidden="1">
      <c r="B10" s="40">
        <v>43580</v>
      </c>
      <c r="C10" s="33">
        <v>4</v>
      </c>
      <c r="D10" s="5">
        <v>43</v>
      </c>
      <c r="E10" s="20" t="s">
        <v>185</v>
      </c>
      <c r="F10" s="20"/>
      <c r="G10" s="18" t="s">
        <v>177</v>
      </c>
      <c r="H10" s="5" t="s">
        <v>104</v>
      </c>
      <c r="I10" s="136" t="s">
        <v>178</v>
      </c>
      <c r="J10" s="136"/>
      <c r="K10" s="136"/>
      <c r="L10" s="136"/>
      <c r="M10" s="136"/>
    </row>
    <row r="11" spans="2:13" hidden="1">
      <c r="B11" s="40">
        <v>43586</v>
      </c>
      <c r="C11" s="33">
        <v>5</v>
      </c>
      <c r="D11" s="5">
        <v>20</v>
      </c>
      <c r="E11" s="20" t="s">
        <v>186</v>
      </c>
      <c r="F11" s="20" t="s">
        <v>187</v>
      </c>
      <c r="G11" s="18" t="s">
        <v>177</v>
      </c>
      <c r="H11" s="5" t="s">
        <v>104</v>
      </c>
      <c r="I11" s="136" t="s">
        <v>178</v>
      </c>
      <c r="J11" s="136" t="s">
        <v>61</v>
      </c>
      <c r="K11" s="136"/>
      <c r="L11" s="136"/>
      <c r="M11" s="136"/>
    </row>
    <row r="12" spans="2:13" hidden="1">
      <c r="B12" s="40">
        <v>43594</v>
      </c>
      <c r="C12" s="33">
        <v>5</v>
      </c>
      <c r="D12" s="5">
        <v>5.25</v>
      </c>
      <c r="E12" s="20" t="s">
        <v>188</v>
      </c>
      <c r="F12" s="20" t="s">
        <v>187</v>
      </c>
      <c r="G12" s="18" t="s">
        <v>177</v>
      </c>
      <c r="H12" s="5" t="s">
        <v>104</v>
      </c>
      <c r="I12" s="136" t="s">
        <v>178</v>
      </c>
      <c r="J12" s="136" t="s">
        <v>61</v>
      </c>
      <c r="K12" s="136"/>
      <c r="L12" s="136"/>
      <c r="M12" s="136"/>
    </row>
    <row r="13" spans="2:13" hidden="1">
      <c r="B13" s="40">
        <v>43595</v>
      </c>
      <c r="C13" s="33">
        <v>5</v>
      </c>
      <c r="D13" s="5">
        <v>190.99</v>
      </c>
      <c r="E13" s="20" t="s">
        <v>189</v>
      </c>
      <c r="F13" s="20" t="s">
        <v>187</v>
      </c>
      <c r="G13" s="18" t="s">
        <v>177</v>
      </c>
      <c r="H13" s="5" t="s">
        <v>104</v>
      </c>
      <c r="I13" s="136" t="s">
        <v>178</v>
      </c>
      <c r="J13" s="136" t="s">
        <v>61</v>
      </c>
      <c r="K13" s="136"/>
      <c r="L13" s="136"/>
      <c r="M13" s="136"/>
    </row>
    <row r="14" spans="2:13" hidden="1">
      <c r="B14" s="40">
        <v>43598</v>
      </c>
      <c r="C14" s="33">
        <v>5</v>
      </c>
      <c r="D14" s="5">
        <v>25</v>
      </c>
      <c r="E14" s="20" t="s">
        <v>190</v>
      </c>
      <c r="F14" s="20" t="s">
        <v>187</v>
      </c>
      <c r="G14" s="18" t="s">
        <v>177</v>
      </c>
      <c r="H14" s="5" t="s">
        <v>104</v>
      </c>
      <c r="I14" s="136" t="s">
        <v>178</v>
      </c>
      <c r="J14" s="136" t="s">
        <v>61</v>
      </c>
      <c r="K14" s="136"/>
      <c r="L14" s="136"/>
      <c r="M14" s="136"/>
    </row>
    <row r="15" spans="2:13" hidden="1">
      <c r="B15" s="40">
        <v>43598</v>
      </c>
      <c r="C15" s="33">
        <v>5</v>
      </c>
      <c r="D15" s="5">
        <v>50</v>
      </c>
      <c r="E15" s="20" t="s">
        <v>191</v>
      </c>
      <c r="F15" s="20" t="s">
        <v>187</v>
      </c>
      <c r="G15" s="18" t="s">
        <v>177</v>
      </c>
      <c r="H15" s="5" t="s">
        <v>192</v>
      </c>
      <c r="I15" s="136" t="s">
        <v>178</v>
      </c>
      <c r="J15" s="136" t="s">
        <v>61</v>
      </c>
      <c r="K15" s="136"/>
      <c r="L15" s="136"/>
      <c r="M15" s="136"/>
    </row>
    <row r="16" spans="2:13" hidden="1">
      <c r="B16" s="40">
        <v>43612</v>
      </c>
      <c r="C16" s="33">
        <v>5</v>
      </c>
      <c r="D16" s="5">
        <v>20</v>
      </c>
      <c r="E16" s="20" t="s">
        <v>190</v>
      </c>
      <c r="F16" s="20" t="s">
        <v>187</v>
      </c>
      <c r="G16" s="18" t="s">
        <v>177</v>
      </c>
      <c r="H16" s="5" t="s">
        <v>104</v>
      </c>
      <c r="I16" s="136" t="s">
        <v>178</v>
      </c>
      <c r="J16" s="136" t="s">
        <v>61</v>
      </c>
      <c r="K16" s="136"/>
      <c r="L16" s="136"/>
      <c r="M16" s="136"/>
    </row>
    <row r="17" spans="2:10" hidden="1">
      <c r="B17" s="40">
        <v>43612</v>
      </c>
      <c r="C17" s="33">
        <v>5</v>
      </c>
      <c r="D17" s="5">
        <v>50</v>
      </c>
      <c r="E17" s="20" t="s">
        <v>193</v>
      </c>
      <c r="F17" s="20" t="s">
        <v>187</v>
      </c>
      <c r="G17" s="18" t="s">
        <v>177</v>
      </c>
      <c r="H17" s="5" t="s">
        <v>192</v>
      </c>
      <c r="I17" s="136" t="s">
        <v>178</v>
      </c>
      <c r="J17" s="136" t="s">
        <v>61</v>
      </c>
    </row>
    <row r="18" spans="2:10" hidden="1">
      <c r="B18" s="40">
        <v>43612</v>
      </c>
      <c r="C18" s="33">
        <v>5</v>
      </c>
      <c r="D18" s="5">
        <v>61.28</v>
      </c>
      <c r="E18" s="20" t="s">
        <v>194</v>
      </c>
      <c r="F18" s="20" t="s">
        <v>187</v>
      </c>
      <c r="G18" s="18" t="s">
        <v>177</v>
      </c>
      <c r="H18" s="5" t="s">
        <v>104</v>
      </c>
      <c r="I18" s="136" t="s">
        <v>178</v>
      </c>
      <c r="J18" s="136" t="s">
        <v>61</v>
      </c>
    </row>
    <row r="19" spans="2:10" hidden="1">
      <c r="B19" s="40">
        <v>43612</v>
      </c>
      <c r="C19" s="33">
        <v>5</v>
      </c>
      <c r="D19" s="5">
        <v>13.3</v>
      </c>
      <c r="E19" s="20" t="s">
        <v>194</v>
      </c>
      <c r="F19" s="20" t="s">
        <v>187</v>
      </c>
      <c r="G19" s="18" t="s">
        <v>177</v>
      </c>
      <c r="H19" s="5" t="s">
        <v>104</v>
      </c>
      <c r="I19" s="136" t="s">
        <v>178</v>
      </c>
      <c r="J19" s="136" t="s">
        <v>61</v>
      </c>
    </row>
    <row r="20" spans="2:10" hidden="1">
      <c r="B20" s="40">
        <v>43612</v>
      </c>
      <c r="C20" s="33">
        <v>5</v>
      </c>
      <c r="D20" s="5">
        <v>45</v>
      </c>
      <c r="E20" s="20" t="s">
        <v>195</v>
      </c>
      <c r="F20" s="20" t="s">
        <v>187</v>
      </c>
      <c r="G20" s="18" t="s">
        <v>177</v>
      </c>
      <c r="H20" s="5" t="s">
        <v>104</v>
      </c>
      <c r="I20" s="136" t="s">
        <v>178</v>
      </c>
      <c r="J20" s="136" t="s">
        <v>61</v>
      </c>
    </row>
    <row r="21" spans="2:10" hidden="1">
      <c r="B21" s="40">
        <v>43612</v>
      </c>
      <c r="C21" s="33">
        <v>5</v>
      </c>
      <c r="D21" s="5">
        <v>19.899999999999999</v>
      </c>
      <c r="E21" s="20" t="s">
        <v>186</v>
      </c>
      <c r="F21" s="20" t="s">
        <v>187</v>
      </c>
      <c r="G21" s="18" t="s">
        <v>177</v>
      </c>
      <c r="H21" s="5" t="s">
        <v>104</v>
      </c>
      <c r="I21" s="136" t="s">
        <v>178</v>
      </c>
      <c r="J21" s="136" t="s">
        <v>61</v>
      </c>
    </row>
    <row r="22" spans="2:10" hidden="1">
      <c r="B22" s="40">
        <v>43612</v>
      </c>
      <c r="C22" s="33">
        <v>5</v>
      </c>
      <c r="D22" s="5">
        <v>15.99</v>
      </c>
      <c r="E22" s="20" t="s">
        <v>196</v>
      </c>
      <c r="F22" s="20" t="s">
        <v>187</v>
      </c>
      <c r="G22" s="18" t="s">
        <v>177</v>
      </c>
      <c r="H22" s="5" t="s">
        <v>104</v>
      </c>
      <c r="I22" s="136" t="s">
        <v>178</v>
      </c>
      <c r="J22" s="136" t="s">
        <v>61</v>
      </c>
    </row>
    <row r="23" spans="2:10" hidden="1">
      <c r="B23" s="40">
        <v>43612</v>
      </c>
      <c r="C23" s="33">
        <v>5</v>
      </c>
      <c r="D23" s="5">
        <v>5.34</v>
      </c>
      <c r="E23" s="20" t="s">
        <v>188</v>
      </c>
      <c r="F23" s="20" t="s">
        <v>187</v>
      </c>
      <c r="G23" s="18" t="s">
        <v>177</v>
      </c>
      <c r="H23" s="5" t="s">
        <v>104</v>
      </c>
      <c r="I23" s="136" t="s">
        <v>178</v>
      </c>
      <c r="J23" s="136" t="s">
        <v>61</v>
      </c>
    </row>
    <row r="24" spans="2:10" hidden="1">
      <c r="B24" s="40">
        <v>43612</v>
      </c>
      <c r="C24" s="33">
        <v>5</v>
      </c>
      <c r="D24" s="5">
        <v>12.35</v>
      </c>
      <c r="E24" s="20" t="s">
        <v>183</v>
      </c>
      <c r="F24" s="20" t="s">
        <v>187</v>
      </c>
      <c r="G24" s="18" t="s">
        <v>177</v>
      </c>
      <c r="H24" s="5" t="s">
        <v>104</v>
      </c>
      <c r="I24" s="136" t="s">
        <v>178</v>
      </c>
      <c r="J24" s="136" t="s">
        <v>61</v>
      </c>
    </row>
    <row r="25" spans="2:10" hidden="1">
      <c r="B25" s="40">
        <v>43614</v>
      </c>
      <c r="C25" s="33">
        <v>5</v>
      </c>
      <c r="D25" s="5">
        <v>6.29</v>
      </c>
      <c r="E25" s="20" t="s">
        <v>188</v>
      </c>
      <c r="F25" s="20" t="s">
        <v>187</v>
      </c>
      <c r="G25" s="18" t="s">
        <v>177</v>
      </c>
      <c r="H25" s="5" t="s">
        <v>104</v>
      </c>
      <c r="I25" s="136" t="s">
        <v>178</v>
      </c>
      <c r="J25" s="136" t="s">
        <v>61</v>
      </c>
    </row>
    <row r="26" spans="2:10" hidden="1">
      <c r="B26" s="40">
        <v>43615</v>
      </c>
      <c r="C26" s="33">
        <v>5</v>
      </c>
      <c r="D26" s="5">
        <v>3.5</v>
      </c>
      <c r="E26" s="20" t="s">
        <v>188</v>
      </c>
      <c r="F26" s="20" t="s">
        <v>187</v>
      </c>
      <c r="G26" s="18" t="s">
        <v>177</v>
      </c>
      <c r="H26" s="5" t="s">
        <v>104</v>
      </c>
      <c r="I26" s="136" t="s">
        <v>178</v>
      </c>
      <c r="J26" s="136" t="s">
        <v>61</v>
      </c>
    </row>
    <row r="27" spans="2:10" hidden="1">
      <c r="B27" s="40">
        <v>43616</v>
      </c>
      <c r="C27" s="33">
        <v>5</v>
      </c>
      <c r="D27" s="5">
        <v>75.349999999999994</v>
      </c>
      <c r="E27" s="20" t="s">
        <v>197</v>
      </c>
      <c r="F27" s="20" t="s">
        <v>198</v>
      </c>
      <c r="G27" s="18" t="s">
        <v>177</v>
      </c>
      <c r="H27" s="5" t="s">
        <v>104</v>
      </c>
      <c r="I27" s="136" t="s">
        <v>178</v>
      </c>
      <c r="J27" s="136" t="s">
        <v>61</v>
      </c>
    </row>
    <row r="28" spans="2:10" hidden="1">
      <c r="B28" s="40">
        <v>43616</v>
      </c>
      <c r="C28" s="33">
        <v>5</v>
      </c>
      <c r="D28" s="5">
        <v>17.5</v>
      </c>
      <c r="E28" s="20" t="s">
        <v>185</v>
      </c>
      <c r="F28" s="20" t="s">
        <v>198</v>
      </c>
      <c r="G28" s="18" t="s">
        <v>177</v>
      </c>
      <c r="H28" s="5" t="s">
        <v>104</v>
      </c>
      <c r="I28" s="136" t="s">
        <v>178</v>
      </c>
      <c r="J28" s="136" t="s">
        <v>61</v>
      </c>
    </row>
    <row r="29" spans="2:10" hidden="1">
      <c r="B29" s="40">
        <v>43619</v>
      </c>
      <c r="C29" s="33">
        <v>6</v>
      </c>
      <c r="D29" s="5">
        <v>30</v>
      </c>
      <c r="E29" s="20" t="s">
        <v>199</v>
      </c>
      <c r="F29" s="20" t="s">
        <v>187</v>
      </c>
      <c r="G29" s="18" t="s">
        <v>177</v>
      </c>
      <c r="H29" s="5" t="s">
        <v>192</v>
      </c>
      <c r="I29" s="136" t="s">
        <v>178</v>
      </c>
      <c r="J29" s="136" t="s">
        <v>61</v>
      </c>
    </row>
    <row r="30" spans="2:10" hidden="1">
      <c r="B30" s="40">
        <v>43619</v>
      </c>
      <c r="C30" s="33">
        <v>6</v>
      </c>
      <c r="D30" s="5">
        <v>12.9</v>
      </c>
      <c r="E30" s="20" t="s">
        <v>200</v>
      </c>
      <c r="F30" s="20" t="s">
        <v>187</v>
      </c>
      <c r="G30" s="18" t="s">
        <v>177</v>
      </c>
      <c r="H30" s="5" t="s">
        <v>104</v>
      </c>
      <c r="I30" s="136" t="s">
        <v>178</v>
      </c>
      <c r="J30" s="136" t="s">
        <v>61</v>
      </c>
    </row>
    <row r="31" spans="2:10" hidden="1">
      <c r="B31" s="40">
        <v>43620</v>
      </c>
      <c r="C31" s="33">
        <v>6</v>
      </c>
      <c r="D31" s="5">
        <v>3.25</v>
      </c>
      <c r="E31" s="20" t="s">
        <v>188</v>
      </c>
      <c r="F31" s="20" t="s">
        <v>198</v>
      </c>
      <c r="G31" s="18" t="s">
        <v>177</v>
      </c>
      <c r="H31" s="5" t="s">
        <v>104</v>
      </c>
      <c r="I31" s="136" t="s">
        <v>178</v>
      </c>
      <c r="J31" s="136" t="s">
        <v>61</v>
      </c>
    </row>
    <row r="32" spans="2:10" hidden="1">
      <c r="B32" s="40">
        <v>43620</v>
      </c>
      <c r="C32" s="33">
        <v>6</v>
      </c>
      <c r="D32" s="5">
        <v>60</v>
      </c>
      <c r="E32" s="20" t="s">
        <v>201</v>
      </c>
      <c r="F32" s="20" t="s">
        <v>198</v>
      </c>
      <c r="G32" s="18" t="s">
        <v>177</v>
      </c>
      <c r="H32" s="5" t="s">
        <v>104</v>
      </c>
      <c r="I32" s="136" t="s">
        <v>178</v>
      </c>
      <c r="J32" s="136" t="s">
        <v>61</v>
      </c>
    </row>
    <row r="33" spans="2:11" hidden="1">
      <c r="B33" s="40">
        <v>43621</v>
      </c>
      <c r="C33" s="33">
        <v>6</v>
      </c>
      <c r="D33" s="5">
        <v>25</v>
      </c>
      <c r="E33" s="20" t="s">
        <v>202</v>
      </c>
      <c r="F33" s="20" t="s">
        <v>198</v>
      </c>
      <c r="G33" s="18" t="s">
        <v>177</v>
      </c>
      <c r="H33" s="5" t="s">
        <v>104</v>
      </c>
      <c r="I33" s="136" t="s">
        <v>178</v>
      </c>
      <c r="J33" s="136" t="s">
        <v>61</v>
      </c>
      <c r="K33" s="136"/>
    </row>
    <row r="34" spans="2:11" hidden="1">
      <c r="B34" s="40">
        <v>43621</v>
      </c>
      <c r="C34" s="33">
        <v>6</v>
      </c>
      <c r="D34" s="5">
        <v>9.1</v>
      </c>
      <c r="E34" s="20" t="s">
        <v>188</v>
      </c>
      <c r="F34" s="20" t="s">
        <v>198</v>
      </c>
      <c r="G34" s="18" t="s">
        <v>177</v>
      </c>
      <c r="H34" s="5" t="s">
        <v>104</v>
      </c>
      <c r="I34" s="136" t="s">
        <v>178</v>
      </c>
      <c r="J34" s="136" t="s">
        <v>61</v>
      </c>
      <c r="K34" s="136"/>
    </row>
    <row r="35" spans="2:11" hidden="1">
      <c r="B35" s="40">
        <v>43617</v>
      </c>
      <c r="C35" s="33">
        <v>6</v>
      </c>
      <c r="D35" s="5">
        <v>25</v>
      </c>
      <c r="E35" s="20" t="s">
        <v>190</v>
      </c>
      <c r="F35" s="20" t="s">
        <v>198</v>
      </c>
      <c r="G35" s="18" t="s">
        <v>177</v>
      </c>
      <c r="H35" s="5" t="s">
        <v>104</v>
      </c>
      <c r="I35" s="136" t="s">
        <v>178</v>
      </c>
      <c r="J35" s="136" t="s">
        <v>61</v>
      </c>
      <c r="K35" s="136"/>
    </row>
    <row r="36" spans="2:11" hidden="1">
      <c r="B36" s="40">
        <v>43623</v>
      </c>
      <c r="C36" s="33">
        <v>6</v>
      </c>
      <c r="D36" s="5">
        <v>10.49</v>
      </c>
      <c r="E36" s="20" t="s">
        <v>203</v>
      </c>
      <c r="F36" s="20" t="s">
        <v>198</v>
      </c>
      <c r="G36" s="18" t="s">
        <v>177</v>
      </c>
      <c r="H36" s="5" t="s">
        <v>192</v>
      </c>
      <c r="I36" s="136" t="s">
        <v>178</v>
      </c>
      <c r="J36" s="136" t="s">
        <v>61</v>
      </c>
      <c r="K36" s="136"/>
    </row>
    <row r="37" spans="2:11">
      <c r="B37" s="40">
        <v>43623</v>
      </c>
      <c r="C37" s="33">
        <v>6</v>
      </c>
      <c r="D37" s="5">
        <v>32</v>
      </c>
      <c r="E37" s="20" t="s">
        <v>204</v>
      </c>
      <c r="F37" s="20" t="s">
        <v>198</v>
      </c>
      <c r="G37" s="18" t="s">
        <v>177</v>
      </c>
      <c r="H37" s="5" t="s">
        <v>104</v>
      </c>
      <c r="I37" s="136"/>
      <c r="J37" s="136"/>
      <c r="K37" s="136"/>
    </row>
    <row r="38" spans="2:11" hidden="1">
      <c r="B38" s="40">
        <v>43623</v>
      </c>
      <c r="C38" s="33">
        <v>6</v>
      </c>
      <c r="D38" s="5">
        <v>32</v>
      </c>
      <c r="E38" s="20" t="s">
        <v>204</v>
      </c>
      <c r="F38" s="20" t="s">
        <v>198</v>
      </c>
      <c r="G38" s="18" t="s">
        <v>177</v>
      </c>
      <c r="H38" s="5" t="s">
        <v>192</v>
      </c>
      <c r="I38" s="136" t="s">
        <v>178</v>
      </c>
      <c r="J38" s="136" t="s">
        <v>61</v>
      </c>
      <c r="K38" s="136"/>
    </row>
    <row r="39" spans="2:11">
      <c r="B39" s="40">
        <v>43623</v>
      </c>
      <c r="C39" s="33">
        <v>6</v>
      </c>
      <c r="D39" s="5">
        <v>3.5</v>
      </c>
      <c r="E39" s="20" t="s">
        <v>205</v>
      </c>
      <c r="F39" s="20" t="s">
        <v>198</v>
      </c>
      <c r="G39" s="18" t="s">
        <v>177</v>
      </c>
      <c r="H39" s="5" t="s">
        <v>104</v>
      </c>
      <c r="I39" s="136"/>
      <c r="J39" s="136"/>
      <c r="K39" s="136"/>
    </row>
    <row r="40" spans="2:11" hidden="1">
      <c r="B40" s="40">
        <v>43623</v>
      </c>
      <c r="C40" s="33">
        <v>6</v>
      </c>
      <c r="D40" s="5">
        <v>3.5</v>
      </c>
      <c r="E40" s="20" t="s">
        <v>205</v>
      </c>
      <c r="F40" s="20" t="s">
        <v>198</v>
      </c>
      <c r="G40" s="18" t="s">
        <v>177</v>
      </c>
      <c r="H40" s="5" t="s">
        <v>192</v>
      </c>
      <c r="I40" s="136" t="s">
        <v>178</v>
      </c>
      <c r="J40" s="136" t="s">
        <v>61</v>
      </c>
      <c r="K40" s="136"/>
    </row>
    <row r="41" spans="2:11">
      <c r="B41" s="40">
        <v>43624</v>
      </c>
      <c r="C41" s="33">
        <v>6</v>
      </c>
      <c r="D41" s="5">
        <v>5.5</v>
      </c>
      <c r="E41" s="20" t="s">
        <v>183</v>
      </c>
      <c r="F41" s="20" t="s">
        <v>198</v>
      </c>
      <c r="G41" s="18" t="s">
        <v>177</v>
      </c>
      <c r="H41" s="5" t="s">
        <v>104</v>
      </c>
      <c r="I41" s="136"/>
      <c r="J41" s="136"/>
      <c r="K41" s="136"/>
    </row>
    <row r="42" spans="2:11">
      <c r="B42" s="40">
        <v>43624</v>
      </c>
      <c r="C42" s="33">
        <v>6</v>
      </c>
      <c r="D42" s="5">
        <v>5.5</v>
      </c>
      <c r="E42" s="20" t="s">
        <v>183</v>
      </c>
      <c r="F42" s="20" t="s">
        <v>198</v>
      </c>
      <c r="G42" s="18" t="s">
        <v>177</v>
      </c>
      <c r="H42" s="5" t="s">
        <v>104</v>
      </c>
      <c r="I42" s="136"/>
      <c r="J42" s="136"/>
      <c r="K42" s="136"/>
    </row>
    <row r="43" spans="2:11" hidden="1">
      <c r="B43" s="40">
        <v>43624</v>
      </c>
      <c r="C43" s="33">
        <v>6</v>
      </c>
      <c r="D43" s="5">
        <v>5.5</v>
      </c>
      <c r="E43" s="20" t="s">
        <v>183</v>
      </c>
      <c r="F43" s="20" t="s">
        <v>198</v>
      </c>
      <c r="G43" s="18" t="s">
        <v>177</v>
      </c>
      <c r="H43" s="5" t="s">
        <v>192</v>
      </c>
      <c r="I43" s="136" t="s">
        <v>178</v>
      </c>
      <c r="J43" s="136" t="s">
        <v>61</v>
      </c>
      <c r="K43" s="136"/>
    </row>
    <row r="44" spans="2:11">
      <c r="B44" s="40">
        <v>43625</v>
      </c>
      <c r="C44" s="33">
        <v>6</v>
      </c>
      <c r="D44" s="5">
        <v>35.119999999999997</v>
      </c>
      <c r="E44" s="20" t="s">
        <v>190</v>
      </c>
      <c r="F44" s="20" t="s">
        <v>198</v>
      </c>
      <c r="G44" s="18" t="s">
        <v>177</v>
      </c>
      <c r="H44" s="5" t="s">
        <v>104</v>
      </c>
      <c r="I44" s="136"/>
      <c r="J44" s="136"/>
      <c r="K44" s="136"/>
    </row>
    <row r="45" spans="2:11">
      <c r="B45" s="40">
        <v>43625</v>
      </c>
      <c r="C45" s="33">
        <v>6</v>
      </c>
      <c r="D45" s="5">
        <v>6.28</v>
      </c>
      <c r="E45" s="20" t="s">
        <v>206</v>
      </c>
      <c r="F45" s="20" t="s">
        <v>198</v>
      </c>
      <c r="G45" s="18" t="s">
        <v>177</v>
      </c>
      <c r="H45" s="5" t="s">
        <v>104</v>
      </c>
      <c r="I45" s="136"/>
      <c r="J45" s="136"/>
      <c r="K45" s="136"/>
    </row>
    <row r="46" spans="2:11" hidden="1">
      <c r="B46" s="40">
        <v>43625</v>
      </c>
      <c r="C46" s="33">
        <v>6</v>
      </c>
      <c r="D46" s="5">
        <v>6.28</v>
      </c>
      <c r="E46" s="20" t="s">
        <v>206</v>
      </c>
      <c r="F46" s="20" t="s">
        <v>198</v>
      </c>
      <c r="G46" s="18" t="s">
        <v>177</v>
      </c>
      <c r="H46" s="5" t="s">
        <v>192</v>
      </c>
      <c r="I46" s="136" t="s">
        <v>178</v>
      </c>
      <c r="J46" s="136" t="s">
        <v>61</v>
      </c>
      <c r="K46" s="136"/>
    </row>
    <row r="47" spans="2:11">
      <c r="B47" s="40">
        <v>43625</v>
      </c>
      <c r="C47" s="33">
        <v>6</v>
      </c>
      <c r="D47" s="5">
        <v>3.5</v>
      </c>
      <c r="E47" s="20" t="s">
        <v>207</v>
      </c>
      <c r="F47" s="20" t="s">
        <v>198</v>
      </c>
      <c r="G47" s="18" t="s">
        <v>177</v>
      </c>
      <c r="H47" s="5" t="s">
        <v>104</v>
      </c>
      <c r="I47" s="136"/>
      <c r="J47" s="136"/>
      <c r="K47" s="136"/>
    </row>
    <row r="48" spans="2:11">
      <c r="B48" s="40">
        <v>43625</v>
      </c>
      <c r="C48" s="33">
        <v>6</v>
      </c>
      <c r="D48" s="5">
        <v>35</v>
      </c>
      <c r="E48" s="20" t="s">
        <v>208</v>
      </c>
      <c r="F48" s="20" t="s">
        <v>198</v>
      </c>
      <c r="G48" s="18" t="s">
        <v>177</v>
      </c>
      <c r="H48" s="5" t="s">
        <v>104</v>
      </c>
      <c r="I48" s="136"/>
      <c r="J48" s="136"/>
      <c r="K48" s="138"/>
    </row>
    <row r="49" spans="2:13" hidden="1">
      <c r="B49" s="40">
        <v>43625</v>
      </c>
      <c r="C49" s="33">
        <v>6</v>
      </c>
      <c r="D49" s="5">
        <v>35</v>
      </c>
      <c r="E49" s="20" t="s">
        <v>208</v>
      </c>
      <c r="F49" s="20" t="s">
        <v>198</v>
      </c>
      <c r="G49" s="18" t="s">
        <v>177</v>
      </c>
      <c r="H49" s="5" t="s">
        <v>192</v>
      </c>
      <c r="I49" s="136" t="s">
        <v>178</v>
      </c>
      <c r="J49" s="136" t="s">
        <v>61</v>
      </c>
      <c r="K49" s="138"/>
      <c r="L49" s="136"/>
      <c r="M49" s="136"/>
    </row>
    <row r="50" spans="2:13">
      <c r="B50" s="40">
        <v>43626</v>
      </c>
      <c r="C50" s="33">
        <v>6</v>
      </c>
      <c r="D50" s="5">
        <v>232.5</v>
      </c>
      <c r="E50" s="20" t="s">
        <v>209</v>
      </c>
      <c r="F50" s="20" t="s">
        <v>198</v>
      </c>
      <c r="G50" s="18" t="s">
        <v>177</v>
      </c>
      <c r="H50" s="5" t="s">
        <v>104</v>
      </c>
      <c r="I50" s="136"/>
      <c r="J50" s="136"/>
      <c r="K50" s="136"/>
      <c r="L50" s="136"/>
      <c r="M50" s="136"/>
    </row>
    <row r="51" spans="2:13">
      <c r="B51" s="40">
        <v>43626</v>
      </c>
      <c r="C51" s="33">
        <v>6</v>
      </c>
      <c r="D51" s="5">
        <v>4.45</v>
      </c>
      <c r="E51" s="20" t="s">
        <v>188</v>
      </c>
      <c r="F51" s="20" t="s">
        <v>198</v>
      </c>
      <c r="G51" s="18" t="s">
        <v>177</v>
      </c>
      <c r="H51" s="5" t="s">
        <v>104</v>
      </c>
      <c r="I51" s="136"/>
      <c r="J51" s="136"/>
      <c r="K51" s="136"/>
      <c r="L51" s="136"/>
      <c r="M51" s="136"/>
    </row>
    <row r="52" spans="2:13">
      <c r="B52" s="40">
        <v>43627</v>
      </c>
      <c r="C52" s="33">
        <v>6</v>
      </c>
      <c r="D52" s="5">
        <v>3.42</v>
      </c>
      <c r="E52" s="20" t="s">
        <v>188</v>
      </c>
      <c r="F52" s="20" t="s">
        <v>198</v>
      </c>
      <c r="G52" s="18" t="s">
        <v>177</v>
      </c>
      <c r="H52" s="5" t="s">
        <v>104</v>
      </c>
      <c r="I52" s="136"/>
      <c r="J52" s="136"/>
      <c r="K52" s="136"/>
      <c r="L52" s="136"/>
      <c r="M52" s="136"/>
    </row>
    <row r="53" spans="2:13" hidden="1">
      <c r="B53" s="40">
        <v>43627</v>
      </c>
      <c r="C53" s="33">
        <v>6</v>
      </c>
      <c r="D53" s="5">
        <v>4.45</v>
      </c>
      <c r="E53" s="20" t="s">
        <v>188</v>
      </c>
      <c r="F53" s="20" t="s">
        <v>198</v>
      </c>
      <c r="G53" s="18" t="s">
        <v>177</v>
      </c>
      <c r="H53" s="5" t="s">
        <v>192</v>
      </c>
      <c r="I53" s="136" t="s">
        <v>178</v>
      </c>
      <c r="J53" s="136" t="s">
        <v>61</v>
      </c>
      <c r="K53" s="136"/>
      <c r="L53" s="136"/>
      <c r="M53" s="136"/>
    </row>
    <row r="54" spans="2:13" hidden="1">
      <c r="B54" s="40">
        <v>43627</v>
      </c>
      <c r="C54" s="33">
        <v>6</v>
      </c>
      <c r="D54" s="5">
        <v>3.42</v>
      </c>
      <c r="E54" s="20" t="s">
        <v>188</v>
      </c>
      <c r="F54" s="20" t="s">
        <v>198</v>
      </c>
      <c r="G54" s="18" t="s">
        <v>177</v>
      </c>
      <c r="H54" s="5" t="s">
        <v>192</v>
      </c>
      <c r="I54" s="136" t="s">
        <v>178</v>
      </c>
      <c r="J54" s="136" t="s">
        <v>61</v>
      </c>
      <c r="K54" s="136"/>
      <c r="L54" s="136"/>
      <c r="M54" s="136"/>
    </row>
    <row r="55" spans="2:13">
      <c r="B55" s="40">
        <v>43627</v>
      </c>
      <c r="C55" s="33">
        <v>6</v>
      </c>
      <c r="D55" s="5">
        <v>8</v>
      </c>
      <c r="E55" s="20" t="s">
        <v>210</v>
      </c>
      <c r="F55" s="20" t="s">
        <v>198</v>
      </c>
      <c r="G55" s="18" t="s">
        <v>177</v>
      </c>
      <c r="H55" s="5" t="s">
        <v>104</v>
      </c>
      <c r="I55" s="136"/>
      <c r="J55" s="136"/>
      <c r="K55" s="136" t="s">
        <v>104</v>
      </c>
      <c r="L55" s="136"/>
      <c r="M55" s="136" t="s">
        <v>192</v>
      </c>
    </row>
    <row r="56" spans="2:13">
      <c r="B56" s="40">
        <v>43629</v>
      </c>
      <c r="C56" s="33">
        <v>6</v>
      </c>
      <c r="D56" s="5">
        <v>9.99</v>
      </c>
      <c r="E56" s="20" t="s">
        <v>188</v>
      </c>
      <c r="F56" s="20" t="s">
        <v>198</v>
      </c>
      <c r="G56" s="18" t="s">
        <v>177</v>
      </c>
      <c r="H56" s="5" t="s">
        <v>104</v>
      </c>
      <c r="I56" s="136"/>
      <c r="J56" s="136"/>
      <c r="K56" s="136">
        <f>SUMIFS($D:$D,$H:$H,"Walisson",$I:$I,"")</f>
        <v>795.35500000000002</v>
      </c>
      <c r="L56" s="136"/>
      <c r="M56" s="136">
        <f>SUMIFS($D:$D,$H:$H,"Thays",$I:$I,"")</f>
        <v>0</v>
      </c>
    </row>
    <row r="57" spans="2:13">
      <c r="B57" s="40">
        <v>43632</v>
      </c>
      <c r="C57" s="33">
        <v>6</v>
      </c>
      <c r="D57" s="5">
        <v>30</v>
      </c>
      <c r="E57" s="20" t="s">
        <v>190</v>
      </c>
      <c r="F57" s="20" t="s">
        <v>198</v>
      </c>
      <c r="G57" s="18" t="s">
        <v>177</v>
      </c>
      <c r="H57" s="5" t="s">
        <v>104</v>
      </c>
      <c r="I57" s="136"/>
      <c r="J57" s="136"/>
      <c r="K57" s="136"/>
      <c r="L57" s="136"/>
      <c r="M57" s="119"/>
    </row>
    <row r="58" spans="2:13">
      <c r="B58" s="40">
        <v>43640</v>
      </c>
      <c r="C58" s="33">
        <v>6</v>
      </c>
      <c r="D58" s="5">
        <v>3.98</v>
      </c>
      <c r="E58" s="20" t="s">
        <v>211</v>
      </c>
      <c r="F58" s="20" t="s">
        <v>198</v>
      </c>
      <c r="G58" s="18" t="s">
        <v>177</v>
      </c>
      <c r="H58" s="5" t="s">
        <v>104</v>
      </c>
      <c r="I58" s="136"/>
      <c r="J58" s="136"/>
      <c r="K58" s="136"/>
      <c r="L58" s="136"/>
      <c r="M58" s="119"/>
    </row>
    <row r="59" spans="2:13">
      <c r="B59" s="40">
        <v>43641</v>
      </c>
      <c r="C59" s="33">
        <v>6</v>
      </c>
      <c r="D59" s="5">
        <v>2.9</v>
      </c>
      <c r="E59" s="20" t="s">
        <v>188</v>
      </c>
      <c r="F59" s="20" t="s">
        <v>198</v>
      </c>
      <c r="G59" s="18" t="s">
        <v>177</v>
      </c>
      <c r="H59" s="5" t="s">
        <v>104</v>
      </c>
      <c r="I59" s="136"/>
      <c r="J59" s="136"/>
      <c r="K59" s="136"/>
      <c r="L59" s="136"/>
      <c r="M59" s="119"/>
    </row>
    <row r="60" spans="2:13">
      <c r="B60" s="40">
        <v>43645</v>
      </c>
      <c r="C60" s="33">
        <v>6</v>
      </c>
      <c r="D60" s="5">
        <v>13.58</v>
      </c>
      <c r="E60" s="20" t="s">
        <v>183</v>
      </c>
      <c r="F60" s="20" t="s">
        <v>198</v>
      </c>
      <c r="G60" s="18" t="s">
        <v>177</v>
      </c>
      <c r="H60" s="5" t="s">
        <v>104</v>
      </c>
      <c r="I60" s="136"/>
      <c r="J60" s="136"/>
      <c r="K60" s="136"/>
      <c r="L60" s="136"/>
      <c r="M60" s="136"/>
    </row>
    <row r="61" spans="2:13">
      <c r="B61" s="40">
        <v>43650</v>
      </c>
      <c r="C61" s="33">
        <v>7</v>
      </c>
      <c r="D61" s="5">
        <v>9.9499999999999993</v>
      </c>
      <c r="E61" s="20" t="s">
        <v>186</v>
      </c>
      <c r="F61" s="20" t="s">
        <v>198</v>
      </c>
      <c r="G61" s="18" t="s">
        <v>177</v>
      </c>
      <c r="H61" s="5" t="s">
        <v>104</v>
      </c>
      <c r="I61" s="136"/>
      <c r="J61" s="136"/>
      <c r="K61" s="136"/>
      <c r="L61" s="136"/>
      <c r="M61" s="136"/>
    </row>
    <row r="62" spans="2:13" hidden="1">
      <c r="B62" s="40">
        <v>43650</v>
      </c>
      <c r="C62" s="33">
        <v>7</v>
      </c>
      <c r="D62" s="5">
        <v>9.9499999999999993</v>
      </c>
      <c r="E62" s="20" t="s">
        <v>186</v>
      </c>
      <c r="F62" s="20" t="s">
        <v>198</v>
      </c>
      <c r="G62" s="18" t="s">
        <v>177</v>
      </c>
      <c r="H62" s="5" t="s">
        <v>192</v>
      </c>
      <c r="I62" s="136" t="s">
        <v>178</v>
      </c>
      <c r="J62" s="136" t="s">
        <v>61</v>
      </c>
      <c r="K62" s="136"/>
      <c r="L62" s="136"/>
      <c r="M62" s="136"/>
    </row>
    <row r="63" spans="2:13" hidden="1">
      <c r="B63" s="20" t="s">
        <v>99</v>
      </c>
      <c r="C63" s="33">
        <v>7</v>
      </c>
      <c r="D63" s="5">
        <v>20</v>
      </c>
      <c r="E63" s="20" t="s">
        <v>212</v>
      </c>
      <c r="F63" s="20" t="s">
        <v>213</v>
      </c>
      <c r="G63" s="18" t="s">
        <v>177</v>
      </c>
      <c r="H63" s="5" t="s">
        <v>192</v>
      </c>
      <c r="I63" s="136" t="s">
        <v>178</v>
      </c>
      <c r="J63" s="136" t="s">
        <v>61</v>
      </c>
      <c r="K63" s="136"/>
      <c r="L63" s="136"/>
      <c r="M63" s="136"/>
    </row>
    <row r="64" spans="2:13">
      <c r="B64" s="20" t="s">
        <v>99</v>
      </c>
      <c r="C64" s="33">
        <v>7</v>
      </c>
      <c r="D64" s="5">
        <v>20</v>
      </c>
      <c r="E64" s="20" t="s">
        <v>190</v>
      </c>
      <c r="F64" s="20" t="s">
        <v>213</v>
      </c>
      <c r="G64" s="18" t="s">
        <v>177</v>
      </c>
      <c r="H64" s="5" t="s">
        <v>104</v>
      </c>
      <c r="I64" s="136"/>
      <c r="J64" s="136"/>
      <c r="K64" s="136"/>
      <c r="L64" s="136"/>
      <c r="M64" s="136"/>
    </row>
    <row r="65" spans="2:10">
      <c r="B65" s="20" t="s">
        <v>99</v>
      </c>
      <c r="C65" s="33">
        <v>7</v>
      </c>
      <c r="D65" s="5">
        <v>20</v>
      </c>
      <c r="E65" s="20" t="s">
        <v>190</v>
      </c>
      <c r="F65" s="20" t="s">
        <v>213</v>
      </c>
      <c r="G65" s="18" t="s">
        <v>177</v>
      </c>
      <c r="H65" s="5" t="s">
        <v>104</v>
      </c>
      <c r="I65" s="136"/>
      <c r="J65" s="136"/>
    </row>
    <row r="66" spans="2:10">
      <c r="B66" s="40" t="s">
        <v>99</v>
      </c>
      <c r="C66" s="33">
        <v>7</v>
      </c>
      <c r="D66" s="5">
        <v>15</v>
      </c>
      <c r="E66" s="20" t="s">
        <v>214</v>
      </c>
      <c r="F66" s="20" t="s">
        <v>213</v>
      </c>
      <c r="G66" s="18" t="s">
        <v>177</v>
      </c>
      <c r="H66" s="5" t="s">
        <v>104</v>
      </c>
      <c r="I66" s="136"/>
      <c r="J66" s="136"/>
    </row>
    <row r="67" spans="2:10" hidden="1">
      <c r="B67" s="40" t="s">
        <v>99</v>
      </c>
      <c r="C67" s="33">
        <v>7</v>
      </c>
      <c r="D67" s="5">
        <v>15</v>
      </c>
      <c r="E67" s="20" t="s">
        <v>214</v>
      </c>
      <c r="F67" s="20" t="s">
        <v>213</v>
      </c>
      <c r="G67" s="18" t="s">
        <v>177</v>
      </c>
      <c r="H67" s="5" t="s">
        <v>192</v>
      </c>
      <c r="I67" s="136" t="s">
        <v>178</v>
      </c>
      <c r="J67" s="136" t="s">
        <v>61</v>
      </c>
    </row>
    <row r="68" spans="2:10" hidden="1">
      <c r="B68" s="40">
        <v>43650</v>
      </c>
      <c r="C68" s="33">
        <v>7</v>
      </c>
      <c r="D68" s="5">
        <v>7.13</v>
      </c>
      <c r="E68" s="20" t="s">
        <v>215</v>
      </c>
      <c r="F68" s="20" t="s">
        <v>198</v>
      </c>
      <c r="G68" s="18" t="s">
        <v>177</v>
      </c>
      <c r="H68" s="5" t="s">
        <v>192</v>
      </c>
      <c r="I68" s="136" t="s">
        <v>178</v>
      </c>
      <c r="J68" s="136" t="s">
        <v>61</v>
      </c>
    </row>
    <row r="69" spans="2:10">
      <c r="B69" s="40">
        <v>43654</v>
      </c>
      <c r="C69" s="33">
        <v>7</v>
      </c>
      <c r="D69" s="5">
        <v>11.1</v>
      </c>
      <c r="E69" s="20" t="s">
        <v>216</v>
      </c>
      <c r="F69" s="20" t="s">
        <v>198</v>
      </c>
      <c r="G69" s="18" t="s">
        <v>177</v>
      </c>
      <c r="H69" s="5" t="s">
        <v>104</v>
      </c>
      <c r="I69" s="136"/>
      <c r="J69" s="136"/>
    </row>
    <row r="70" spans="2:10">
      <c r="B70" s="40">
        <v>43654</v>
      </c>
      <c r="C70" s="33">
        <v>7</v>
      </c>
      <c r="D70" s="5">
        <v>28</v>
      </c>
      <c r="E70" s="20" t="s">
        <v>190</v>
      </c>
      <c r="F70" s="20" t="s">
        <v>198</v>
      </c>
      <c r="G70" s="18" t="s">
        <v>177</v>
      </c>
      <c r="H70" s="5" t="s">
        <v>104</v>
      </c>
      <c r="I70" s="136"/>
      <c r="J70" s="136"/>
    </row>
    <row r="71" spans="2:10" hidden="1">
      <c r="B71" s="40">
        <v>43654</v>
      </c>
      <c r="C71" s="33">
        <v>7</v>
      </c>
      <c r="D71" s="5">
        <v>10.975</v>
      </c>
      <c r="E71" s="20" t="s">
        <v>217</v>
      </c>
      <c r="F71" s="20" t="s">
        <v>198</v>
      </c>
      <c r="G71" s="18" t="s">
        <v>177</v>
      </c>
      <c r="H71" s="5" t="s">
        <v>192</v>
      </c>
      <c r="I71" s="136" t="s">
        <v>178</v>
      </c>
      <c r="J71" s="136" t="s">
        <v>61</v>
      </c>
    </row>
    <row r="72" spans="2:10">
      <c r="B72" s="40">
        <v>43654</v>
      </c>
      <c r="C72" s="33">
        <v>7</v>
      </c>
      <c r="D72" s="5">
        <v>10.975</v>
      </c>
      <c r="E72" s="20" t="s">
        <v>217</v>
      </c>
      <c r="F72" s="20" t="s">
        <v>198</v>
      </c>
      <c r="G72" s="18" t="s">
        <v>177</v>
      </c>
      <c r="H72" s="5" t="s">
        <v>104</v>
      </c>
      <c r="I72" s="136"/>
      <c r="J72" s="136"/>
    </row>
    <row r="73" spans="2:10" hidden="1">
      <c r="B73" s="40">
        <v>43654</v>
      </c>
      <c r="C73" s="33">
        <v>7</v>
      </c>
      <c r="D73" s="5">
        <v>24.5</v>
      </c>
      <c r="E73" s="20" t="s">
        <v>218</v>
      </c>
      <c r="F73" s="20" t="s">
        <v>198</v>
      </c>
      <c r="G73" s="18" t="s">
        <v>177</v>
      </c>
      <c r="H73" s="5" t="s">
        <v>192</v>
      </c>
      <c r="I73" s="136" t="s">
        <v>178</v>
      </c>
      <c r="J73" s="136" t="s">
        <v>61</v>
      </c>
    </row>
    <row r="74" spans="2:10" hidden="1">
      <c r="B74" s="40">
        <v>43654</v>
      </c>
      <c r="C74" s="33">
        <v>7</v>
      </c>
      <c r="D74" s="5">
        <v>24.5</v>
      </c>
      <c r="E74" s="20" t="s">
        <v>218</v>
      </c>
      <c r="F74" s="20" t="s">
        <v>198</v>
      </c>
      <c r="G74" s="18" t="s">
        <v>177</v>
      </c>
      <c r="H74" s="5" t="s">
        <v>192</v>
      </c>
      <c r="I74" s="136" t="s">
        <v>178</v>
      </c>
      <c r="J74" s="136" t="s">
        <v>61</v>
      </c>
    </row>
    <row r="75" spans="2:10">
      <c r="B75" s="40">
        <v>43660</v>
      </c>
      <c r="C75" s="33">
        <v>7</v>
      </c>
      <c r="D75" s="5">
        <v>12.17</v>
      </c>
      <c r="E75" s="20" t="s">
        <v>219</v>
      </c>
      <c r="F75" s="20" t="s">
        <v>198</v>
      </c>
      <c r="G75" s="18" t="s">
        <v>177</v>
      </c>
      <c r="H75" s="5" t="s">
        <v>104</v>
      </c>
      <c r="I75" s="136"/>
      <c r="J75" s="136"/>
    </row>
    <row r="76" spans="2:10" hidden="1">
      <c r="B76" s="40">
        <v>43660</v>
      </c>
      <c r="C76" s="33">
        <v>7</v>
      </c>
      <c r="D76" s="5">
        <v>12.17</v>
      </c>
      <c r="E76" s="20" t="s">
        <v>219</v>
      </c>
      <c r="F76" s="20" t="s">
        <v>198</v>
      </c>
      <c r="G76" s="18" t="s">
        <v>177</v>
      </c>
      <c r="H76" s="5" t="s">
        <v>192</v>
      </c>
      <c r="I76" s="136" t="s">
        <v>178</v>
      </c>
      <c r="J76" s="136" t="s">
        <v>61</v>
      </c>
    </row>
    <row r="77" spans="2:10">
      <c r="B77" s="40">
        <v>43661</v>
      </c>
      <c r="C77" s="33">
        <v>7</v>
      </c>
      <c r="D77" s="5">
        <v>8.4499999999999993</v>
      </c>
      <c r="E77" s="20" t="s">
        <v>186</v>
      </c>
      <c r="F77" s="20" t="s">
        <v>198</v>
      </c>
      <c r="G77" s="18" t="s">
        <v>177</v>
      </c>
      <c r="H77" s="5" t="s">
        <v>104</v>
      </c>
      <c r="I77" s="136"/>
      <c r="J77" s="136"/>
    </row>
    <row r="78" spans="2:10" hidden="1">
      <c r="B78" s="40">
        <v>43661</v>
      </c>
      <c r="C78" s="33">
        <v>7</v>
      </c>
      <c r="D78" s="5">
        <v>8.4499999999999993</v>
      </c>
      <c r="E78" s="20" t="s">
        <v>186</v>
      </c>
      <c r="F78" s="20" t="s">
        <v>198</v>
      </c>
      <c r="G78" s="18" t="s">
        <v>177</v>
      </c>
      <c r="H78" s="5" t="s">
        <v>192</v>
      </c>
      <c r="I78" s="136" t="s">
        <v>178</v>
      </c>
      <c r="J78" s="136" t="s">
        <v>61</v>
      </c>
    </row>
    <row r="79" spans="2:10">
      <c r="B79" s="40">
        <v>43661</v>
      </c>
      <c r="C79" s="33">
        <v>7</v>
      </c>
      <c r="D79" s="5">
        <v>22.54</v>
      </c>
      <c r="E79" s="20" t="s">
        <v>190</v>
      </c>
      <c r="F79" s="20" t="s">
        <v>198</v>
      </c>
      <c r="G79" s="18" t="s">
        <v>177</v>
      </c>
      <c r="H79" s="5" t="s">
        <v>104</v>
      </c>
      <c r="I79" s="136"/>
      <c r="J79" s="136"/>
    </row>
    <row r="80" spans="2:10">
      <c r="B80" s="40">
        <v>43663</v>
      </c>
      <c r="C80" s="33">
        <v>7</v>
      </c>
      <c r="D80" s="5">
        <v>50</v>
      </c>
      <c r="E80" s="20" t="s">
        <v>220</v>
      </c>
      <c r="F80" s="20" t="s">
        <v>198</v>
      </c>
      <c r="G80" s="18" t="s">
        <v>177</v>
      </c>
      <c r="H80" s="5" t="s">
        <v>104</v>
      </c>
      <c r="I80" s="136"/>
      <c r="J80" s="136"/>
    </row>
    <row r="81" spans="2:10">
      <c r="B81" s="40">
        <v>43664</v>
      </c>
      <c r="C81" s="33">
        <v>7</v>
      </c>
      <c r="D81" s="5">
        <v>2</v>
      </c>
      <c r="E81" s="20" t="s">
        <v>221</v>
      </c>
      <c r="F81" s="20" t="s">
        <v>198</v>
      </c>
      <c r="G81" s="18" t="s">
        <v>177</v>
      </c>
      <c r="H81" s="5" t="s">
        <v>104</v>
      </c>
      <c r="I81" s="136"/>
      <c r="J81" s="136"/>
    </row>
    <row r="82" spans="2:10" hidden="1">
      <c r="B82" s="40">
        <v>43664</v>
      </c>
      <c r="C82" s="33">
        <v>7</v>
      </c>
      <c r="D82" s="5">
        <v>2</v>
      </c>
      <c r="E82" s="20" t="s">
        <v>221</v>
      </c>
      <c r="F82" s="20" t="s">
        <v>198</v>
      </c>
      <c r="G82" s="18" t="s">
        <v>177</v>
      </c>
      <c r="H82" s="5" t="s">
        <v>192</v>
      </c>
      <c r="I82" s="136" t="s">
        <v>178</v>
      </c>
      <c r="J82" s="136" t="s">
        <v>61</v>
      </c>
    </row>
    <row r="83" spans="2:10" hidden="1">
      <c r="B83" s="40">
        <v>43665</v>
      </c>
      <c r="C83" s="33">
        <v>7</v>
      </c>
      <c r="D83" s="5">
        <v>7.5</v>
      </c>
      <c r="E83" s="20" t="s">
        <v>216</v>
      </c>
      <c r="F83" s="20" t="s">
        <v>198</v>
      </c>
      <c r="G83" s="18" t="s">
        <v>177</v>
      </c>
      <c r="H83" s="5" t="s">
        <v>192</v>
      </c>
      <c r="I83" s="136" t="s">
        <v>178</v>
      </c>
      <c r="J83" s="136" t="s">
        <v>61</v>
      </c>
    </row>
    <row r="84" spans="2:10">
      <c r="B84" s="40">
        <v>43665</v>
      </c>
      <c r="C84" s="33">
        <v>7</v>
      </c>
      <c r="D84" s="5">
        <v>7.5</v>
      </c>
      <c r="E84" s="20" t="s">
        <v>216</v>
      </c>
      <c r="F84" s="20" t="s">
        <v>198</v>
      </c>
      <c r="G84" s="18" t="s">
        <v>177</v>
      </c>
      <c r="H84" s="5" t="s">
        <v>104</v>
      </c>
      <c r="I84" s="136"/>
      <c r="J84" s="136"/>
    </row>
    <row r="85" spans="2:10" hidden="1">
      <c r="B85" s="40">
        <v>43668</v>
      </c>
      <c r="C85" s="33">
        <v>7</v>
      </c>
      <c r="D85" s="5">
        <v>11.45</v>
      </c>
      <c r="E85" s="20" t="s">
        <v>186</v>
      </c>
      <c r="F85" s="20" t="s">
        <v>198</v>
      </c>
      <c r="G85" s="18" t="s">
        <v>177</v>
      </c>
      <c r="H85" s="5" t="s">
        <v>192</v>
      </c>
      <c r="I85" s="136" t="s">
        <v>178</v>
      </c>
      <c r="J85" s="136" t="s">
        <v>61</v>
      </c>
    </row>
    <row r="86" spans="2:10">
      <c r="B86" s="40">
        <v>43668</v>
      </c>
      <c r="C86" s="33">
        <v>7</v>
      </c>
      <c r="D86" s="5">
        <v>11.45</v>
      </c>
      <c r="E86" s="20" t="s">
        <v>186</v>
      </c>
      <c r="F86" s="20" t="s">
        <v>198</v>
      </c>
      <c r="G86" s="18" t="s">
        <v>177</v>
      </c>
      <c r="H86" s="5" t="s">
        <v>104</v>
      </c>
      <c r="I86" s="136"/>
      <c r="J86" s="136"/>
    </row>
    <row r="87" spans="2:10">
      <c r="B87" s="40">
        <v>43668</v>
      </c>
      <c r="C87" s="33">
        <v>7</v>
      </c>
      <c r="D87" s="5">
        <v>1.5</v>
      </c>
      <c r="E87" s="20" t="s">
        <v>222</v>
      </c>
      <c r="F87" s="20" t="s">
        <v>198</v>
      </c>
      <c r="G87" s="18" t="s">
        <v>177</v>
      </c>
      <c r="H87" s="5" t="s">
        <v>104</v>
      </c>
      <c r="I87" s="136"/>
      <c r="J87" s="136"/>
    </row>
    <row r="88" spans="2:10" hidden="1">
      <c r="B88" s="40">
        <v>43668</v>
      </c>
      <c r="C88" s="33">
        <v>7</v>
      </c>
      <c r="D88" s="5">
        <v>68.75</v>
      </c>
      <c r="E88" s="20" t="s">
        <v>223</v>
      </c>
      <c r="F88" s="20" t="s">
        <v>198</v>
      </c>
      <c r="G88" s="18" t="s">
        <v>177</v>
      </c>
      <c r="H88" s="5" t="s">
        <v>192</v>
      </c>
      <c r="I88" s="136" t="s">
        <v>178</v>
      </c>
      <c r="J88" s="136" t="s">
        <v>61</v>
      </c>
    </row>
    <row r="89" spans="2:10">
      <c r="B89" s="40">
        <v>43668</v>
      </c>
      <c r="C89" s="33">
        <v>7</v>
      </c>
      <c r="D89" s="5">
        <v>68.75</v>
      </c>
      <c r="E89" s="20" t="s">
        <v>223</v>
      </c>
      <c r="F89" s="20" t="s">
        <v>198</v>
      </c>
      <c r="G89" s="18" t="s">
        <v>177</v>
      </c>
      <c r="H89" s="5" t="s">
        <v>104</v>
      </c>
      <c r="I89" s="136"/>
      <c r="J89" s="136"/>
    </row>
    <row r="90" spans="2:10" hidden="1">
      <c r="B90" s="40">
        <v>43661</v>
      </c>
      <c r="C90" s="33">
        <v>7</v>
      </c>
      <c r="D90" s="5">
        <v>25</v>
      </c>
      <c r="E90" s="20" t="s">
        <v>224</v>
      </c>
      <c r="F90" s="20" t="s">
        <v>187</v>
      </c>
      <c r="G90" s="18" t="s">
        <v>177</v>
      </c>
      <c r="H90" s="5" t="s">
        <v>192</v>
      </c>
      <c r="I90" s="136" t="s">
        <v>178</v>
      </c>
      <c r="J90" s="136" t="s">
        <v>61</v>
      </c>
    </row>
    <row r="91" spans="2:10" hidden="1">
      <c r="B91" s="40">
        <v>43661</v>
      </c>
      <c r="C91" s="33">
        <v>7</v>
      </c>
      <c r="D91" s="5">
        <v>19.350000000000001</v>
      </c>
      <c r="E91" s="20" t="s">
        <v>225</v>
      </c>
      <c r="F91" s="20" t="s">
        <v>187</v>
      </c>
      <c r="G91" s="18" t="s">
        <v>177</v>
      </c>
      <c r="H91" s="5" t="s">
        <v>192</v>
      </c>
      <c r="I91" s="136" t="s">
        <v>178</v>
      </c>
      <c r="J91" s="136" t="s">
        <v>61</v>
      </c>
    </row>
    <row r="92" spans="2:10">
      <c r="B92" s="40">
        <v>43661</v>
      </c>
      <c r="C92" s="33">
        <v>7</v>
      </c>
      <c r="D92" s="5">
        <v>19.350000000000001</v>
      </c>
      <c r="E92" s="20" t="s">
        <v>225</v>
      </c>
      <c r="F92" s="20" t="s">
        <v>187</v>
      </c>
      <c r="G92" s="18" t="s">
        <v>177</v>
      </c>
      <c r="H92" s="5" t="s">
        <v>104</v>
      </c>
      <c r="I92" s="136"/>
      <c r="J92" s="136"/>
    </row>
    <row r="93" spans="2:10" hidden="1">
      <c r="B93" s="40">
        <v>43662</v>
      </c>
      <c r="C93" s="33">
        <v>7</v>
      </c>
      <c r="D93" s="5">
        <v>16.399999999999999</v>
      </c>
      <c r="E93" s="20" t="s">
        <v>219</v>
      </c>
      <c r="F93" s="20" t="s">
        <v>187</v>
      </c>
      <c r="G93" s="18" t="s">
        <v>177</v>
      </c>
      <c r="H93" s="5" t="s">
        <v>192</v>
      </c>
      <c r="I93" s="136" t="s">
        <v>178</v>
      </c>
      <c r="J93" s="136" t="s">
        <v>61</v>
      </c>
    </row>
    <row r="94" spans="2:10">
      <c r="B94" s="40">
        <v>43662</v>
      </c>
      <c r="C94" s="33">
        <v>7</v>
      </c>
      <c r="D94" s="5">
        <v>16.399999999999999</v>
      </c>
      <c r="E94" s="20" t="s">
        <v>219</v>
      </c>
      <c r="F94" s="20" t="s">
        <v>187</v>
      </c>
      <c r="G94" s="18" t="s">
        <v>177</v>
      </c>
      <c r="H94" s="5" t="s">
        <v>104</v>
      </c>
      <c r="I94" s="136"/>
      <c r="J94" s="136"/>
    </row>
    <row r="95" spans="2:10">
      <c r="B95" s="40">
        <v>43670</v>
      </c>
      <c r="C95" s="33">
        <v>7</v>
      </c>
      <c r="D95" s="5">
        <v>25</v>
      </c>
      <c r="E95" s="20" t="s">
        <v>190</v>
      </c>
      <c r="F95" s="20" t="s">
        <v>187</v>
      </c>
      <c r="G95" s="18" t="s">
        <v>177</v>
      </c>
      <c r="H95" s="5" t="s">
        <v>104</v>
      </c>
      <c r="I95" s="136"/>
      <c r="J95" s="136"/>
    </row>
    <row r="96" spans="2:10">
      <c r="B96" s="40"/>
      <c r="C96" s="33"/>
      <c r="D96" s="5"/>
      <c r="E96" s="20"/>
      <c r="F96" s="20"/>
      <c r="G96" s="18"/>
      <c r="H96" s="5"/>
      <c r="I96" s="136"/>
      <c r="J96" s="136"/>
    </row>
    <row r="97" spans="2:8">
      <c r="B97" s="40"/>
      <c r="C97" s="33"/>
      <c r="D97" s="5"/>
      <c r="E97" s="20"/>
      <c r="F97" s="20"/>
      <c r="G97" s="18"/>
      <c r="H97" s="5"/>
    </row>
    <row r="98" spans="2:8">
      <c r="B98" s="40"/>
      <c r="C98" s="33"/>
      <c r="D98" s="5"/>
      <c r="E98" s="20"/>
      <c r="F98" s="20"/>
      <c r="G98" s="18"/>
      <c r="H98" s="5"/>
    </row>
    <row r="99" spans="2:8">
      <c r="B99" s="40"/>
      <c r="C99" s="33"/>
      <c r="D99" s="5"/>
      <c r="E99" s="20"/>
      <c r="F99" s="20"/>
      <c r="G99" s="18"/>
      <c r="H99" s="5"/>
    </row>
    <row r="100" spans="2:8">
      <c r="B100" s="40"/>
      <c r="C100" s="33"/>
      <c r="D100" s="5"/>
      <c r="E100" s="20"/>
      <c r="F100" s="20"/>
      <c r="G100" s="18"/>
      <c r="H100" s="5"/>
    </row>
    <row r="101" spans="2:8">
      <c r="B101" s="40"/>
      <c r="C101" s="33"/>
      <c r="D101" s="5"/>
      <c r="E101" s="20"/>
      <c r="F101" s="20"/>
      <c r="G101" s="18"/>
      <c r="H101" s="5"/>
    </row>
    <row r="102" spans="2:8">
      <c r="B102" s="40"/>
      <c r="C102" s="33"/>
      <c r="D102" s="5"/>
      <c r="E102" s="20"/>
      <c r="F102" s="20"/>
      <c r="G102" s="18"/>
      <c r="H102" s="5"/>
    </row>
    <row r="103" spans="2:8">
      <c r="B103" s="40"/>
      <c r="C103" s="33"/>
      <c r="D103" s="5"/>
      <c r="E103" s="20"/>
      <c r="F103" s="20"/>
      <c r="G103" s="18"/>
      <c r="H103" s="5"/>
    </row>
    <row r="104" spans="2:8">
      <c r="B104" s="40"/>
      <c r="C104" s="33"/>
      <c r="D104" s="5"/>
      <c r="E104" s="20"/>
      <c r="F104" s="20"/>
      <c r="G104" s="18"/>
      <c r="H104" s="5"/>
    </row>
    <row r="105" spans="2:8">
      <c r="B105" s="40"/>
      <c r="C105" s="33"/>
      <c r="D105" s="5"/>
      <c r="E105" s="20"/>
      <c r="F105" s="20"/>
      <c r="G105" s="18"/>
      <c r="H105" s="5"/>
    </row>
    <row r="106" spans="2:8">
      <c r="B106" s="40"/>
      <c r="C106" s="33"/>
      <c r="D106" s="5"/>
      <c r="E106" s="20"/>
      <c r="F106" s="20"/>
      <c r="G106" s="18"/>
      <c r="H106" s="5"/>
    </row>
    <row r="107" spans="2:8">
      <c r="B107" s="40"/>
      <c r="C107" s="33"/>
      <c r="D107" s="5"/>
      <c r="E107" s="20"/>
      <c r="F107" s="20"/>
      <c r="G107" s="18"/>
      <c r="H107" s="5"/>
    </row>
  </sheetData>
  <autoFilter ref="B2:I95">
    <filterColumn colId="6">
      <filters>
        <filter val="Walisson"/>
      </filters>
    </filterColumn>
    <filterColumn colId="7">
      <filters blank="1"/>
    </filterColumn>
  </autoFilter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H32"/>
  <sheetViews>
    <sheetView showGridLines="0" workbookViewId="0">
      <pane ySplit="2" topLeftCell="A3" activePane="bottomLeft" state="frozen"/>
      <selection activeCell="B1" sqref="B1"/>
      <selection pane="bottomLeft" activeCell="H5" sqref="H5"/>
    </sheetView>
  </sheetViews>
  <sheetFormatPr defaultRowHeight="14.25"/>
  <cols>
    <col min="2" max="2" width="7.25" bestFit="1" customWidth="1"/>
    <col min="3" max="3" width="6.625" style="34" bestFit="1" customWidth="1"/>
    <col min="4" max="4" width="7.25" bestFit="1" customWidth="1"/>
    <col min="5" max="5" width="8" bestFit="1" customWidth="1"/>
    <col min="6" max="6" width="18.125" bestFit="1" customWidth="1"/>
    <col min="7" max="7" width="8.125" bestFit="1" customWidth="1"/>
    <col min="8" max="8" width="8.625" bestFit="1" customWidth="1"/>
  </cols>
  <sheetData>
    <row r="1" spans="2:8" ht="15">
      <c r="B1" s="51" t="s">
        <v>228</v>
      </c>
      <c r="C1" s="141"/>
      <c r="D1" s="136"/>
      <c r="E1" s="136"/>
      <c r="F1" s="136"/>
      <c r="G1" s="136"/>
      <c r="H1" s="136"/>
    </row>
    <row r="2" spans="2:8">
      <c r="B2" s="15" t="s">
        <v>164</v>
      </c>
      <c r="C2" s="15" t="s">
        <v>8</v>
      </c>
      <c r="D2" s="16" t="s">
        <v>105</v>
      </c>
      <c r="E2" s="16" t="s">
        <v>106</v>
      </c>
      <c r="F2" s="16" t="s">
        <v>107</v>
      </c>
      <c r="G2" s="17" t="s">
        <v>12</v>
      </c>
      <c r="H2" s="16" t="s">
        <v>108</v>
      </c>
    </row>
    <row r="3" spans="2:8">
      <c r="B3" s="41">
        <v>43695</v>
      </c>
      <c r="C3" s="33">
        <v>8</v>
      </c>
      <c r="D3" s="5">
        <v>108</v>
      </c>
      <c r="E3" s="20" t="s">
        <v>136</v>
      </c>
      <c r="F3" s="20" t="s">
        <v>124</v>
      </c>
      <c r="G3" s="18">
        <v>43695</v>
      </c>
      <c r="H3" s="5" t="s">
        <v>104</v>
      </c>
    </row>
    <row r="4" spans="2:8">
      <c r="B4" s="41">
        <v>43722</v>
      </c>
      <c r="C4" s="33">
        <v>9</v>
      </c>
      <c r="D4" s="5">
        <v>22</v>
      </c>
      <c r="E4" s="20" t="s">
        <v>557</v>
      </c>
      <c r="F4" s="20" t="s">
        <v>558</v>
      </c>
      <c r="G4" s="18">
        <v>43722</v>
      </c>
      <c r="H4" s="5" t="s">
        <v>104</v>
      </c>
    </row>
    <row r="5" spans="2:8">
      <c r="B5" s="41">
        <v>43736</v>
      </c>
      <c r="C5" s="33">
        <v>9</v>
      </c>
      <c r="D5" s="5">
        <v>22</v>
      </c>
      <c r="E5" s="20" t="s">
        <v>557</v>
      </c>
      <c r="F5" s="20" t="s">
        <v>558</v>
      </c>
      <c r="G5" s="18">
        <v>43736</v>
      </c>
      <c r="H5" s="5" t="s">
        <v>104</v>
      </c>
    </row>
    <row r="6" spans="2:8">
      <c r="B6" s="41"/>
      <c r="C6" s="33"/>
      <c r="D6" s="5"/>
      <c r="E6" s="20"/>
      <c r="F6" s="20"/>
      <c r="G6" s="18"/>
      <c r="H6" s="5"/>
    </row>
    <row r="7" spans="2:8">
      <c r="B7" s="41"/>
      <c r="C7" s="33"/>
      <c r="D7" s="5"/>
      <c r="E7" s="20"/>
      <c r="F7" s="20"/>
      <c r="G7" s="18"/>
      <c r="H7" s="5"/>
    </row>
    <row r="8" spans="2:8">
      <c r="B8" s="41"/>
      <c r="C8" s="33"/>
      <c r="D8" s="5"/>
      <c r="E8" s="20"/>
      <c r="F8" s="20"/>
      <c r="G8" s="18"/>
      <c r="H8" s="5"/>
    </row>
    <row r="9" spans="2:8">
      <c r="B9" s="41"/>
      <c r="C9" s="33"/>
      <c r="D9" s="5"/>
      <c r="E9" s="20"/>
      <c r="F9" s="20"/>
      <c r="G9" s="18"/>
      <c r="H9" s="5"/>
    </row>
    <row r="10" spans="2:8">
      <c r="B10" s="41"/>
      <c r="C10" s="33"/>
      <c r="D10" s="5"/>
      <c r="E10" s="20"/>
      <c r="F10" s="20"/>
      <c r="G10" s="18"/>
      <c r="H10" s="5"/>
    </row>
    <row r="11" spans="2:8">
      <c r="B11" s="41"/>
      <c r="C11" s="33"/>
      <c r="D11" s="5"/>
      <c r="E11" s="20"/>
      <c r="F11" s="20"/>
      <c r="G11" s="18"/>
      <c r="H11" s="5"/>
    </row>
    <row r="12" spans="2:8">
      <c r="B12" s="41"/>
      <c r="C12" s="33"/>
      <c r="D12" s="5"/>
      <c r="E12" s="20"/>
      <c r="F12" s="20"/>
      <c r="G12" s="18"/>
      <c r="H12" s="5"/>
    </row>
    <row r="13" spans="2:8">
      <c r="B13" s="41"/>
      <c r="C13" s="33"/>
      <c r="D13" s="5"/>
      <c r="E13" s="20"/>
      <c r="F13" s="20"/>
      <c r="G13" s="18"/>
      <c r="H13" s="5"/>
    </row>
    <row r="14" spans="2:8">
      <c r="B14" s="41"/>
      <c r="C14" s="33"/>
      <c r="D14" s="5"/>
      <c r="E14" s="20"/>
      <c r="F14" s="20"/>
      <c r="G14" s="18"/>
      <c r="H14" s="5"/>
    </row>
    <row r="15" spans="2:8">
      <c r="B15" s="41"/>
      <c r="C15" s="33"/>
      <c r="D15" s="5"/>
      <c r="E15" s="20"/>
      <c r="F15" s="20"/>
      <c r="G15" s="18"/>
      <c r="H15" s="5"/>
    </row>
    <row r="16" spans="2:8">
      <c r="B16" s="19"/>
      <c r="C16" s="33"/>
      <c r="D16" s="5"/>
      <c r="E16" s="20"/>
      <c r="F16" s="20"/>
      <c r="G16" s="18"/>
      <c r="H16" s="5"/>
    </row>
    <row r="17" spans="2:8">
      <c r="B17" s="19"/>
      <c r="C17" s="33"/>
      <c r="D17" s="5"/>
      <c r="E17" s="20"/>
      <c r="F17" s="20"/>
      <c r="G17" s="18"/>
      <c r="H17" s="5"/>
    </row>
    <row r="18" spans="2:8">
      <c r="B18" s="19"/>
      <c r="C18" s="33"/>
      <c r="D18" s="5"/>
      <c r="E18" s="20"/>
      <c r="F18" s="20"/>
      <c r="G18" s="18"/>
      <c r="H18" s="5"/>
    </row>
    <row r="19" spans="2:8">
      <c r="B19" s="19"/>
      <c r="C19" s="33"/>
      <c r="D19" s="5"/>
      <c r="E19" s="20"/>
      <c r="F19" s="20"/>
      <c r="G19" s="18"/>
      <c r="H19" s="5"/>
    </row>
    <row r="20" spans="2:8">
      <c r="B20" s="19"/>
      <c r="C20" s="33"/>
      <c r="D20" s="5"/>
      <c r="E20" s="20"/>
      <c r="F20" s="20"/>
      <c r="G20" s="18"/>
      <c r="H20" s="5"/>
    </row>
    <row r="21" spans="2:8">
      <c r="B21" s="19"/>
      <c r="C21" s="33"/>
      <c r="D21" s="5"/>
      <c r="E21" s="20"/>
      <c r="F21" s="20"/>
      <c r="G21" s="18"/>
      <c r="H21" s="5"/>
    </row>
    <row r="22" spans="2:8">
      <c r="B22" s="19"/>
      <c r="C22" s="33"/>
      <c r="D22" s="5"/>
      <c r="E22" s="20"/>
      <c r="F22" s="20"/>
      <c r="G22" s="18"/>
      <c r="H22" s="5"/>
    </row>
    <row r="23" spans="2:8">
      <c r="B23" s="19"/>
      <c r="C23" s="33"/>
      <c r="D23" s="5"/>
      <c r="E23" s="20"/>
      <c r="F23" s="20"/>
      <c r="G23" s="18"/>
      <c r="H23" s="5"/>
    </row>
    <row r="24" spans="2:8">
      <c r="B24" s="19"/>
      <c r="C24" s="33"/>
      <c r="D24" s="5"/>
      <c r="E24" s="20"/>
      <c r="F24" s="20"/>
      <c r="G24" s="18"/>
      <c r="H24" s="5"/>
    </row>
    <row r="25" spans="2:8">
      <c r="B25" s="19"/>
      <c r="C25" s="33"/>
      <c r="D25" s="5"/>
      <c r="E25" s="20"/>
      <c r="F25" s="20"/>
      <c r="G25" s="18"/>
      <c r="H25" s="5"/>
    </row>
    <row r="26" spans="2:8">
      <c r="B26" s="19"/>
      <c r="C26" s="33"/>
      <c r="D26" s="5"/>
      <c r="E26" s="20"/>
      <c r="F26" s="20"/>
      <c r="G26" s="18"/>
      <c r="H26" s="5"/>
    </row>
    <row r="27" spans="2:8">
      <c r="B27" s="19"/>
      <c r="C27" s="33"/>
      <c r="D27" s="5"/>
      <c r="E27" s="20"/>
      <c r="F27" s="20"/>
      <c r="G27" s="18"/>
      <c r="H27" s="5"/>
    </row>
    <row r="28" spans="2:8">
      <c r="B28" s="19"/>
      <c r="C28" s="33"/>
      <c r="D28" s="5"/>
      <c r="E28" s="20"/>
      <c r="F28" s="20"/>
      <c r="G28" s="18"/>
      <c r="H28" s="5"/>
    </row>
    <row r="29" spans="2:8">
      <c r="B29" s="19"/>
      <c r="C29" s="33"/>
      <c r="D29" s="5"/>
      <c r="E29" s="20"/>
      <c r="F29" s="20"/>
      <c r="G29" s="18"/>
      <c r="H29" s="5"/>
    </row>
    <row r="30" spans="2:8">
      <c r="B30" s="19"/>
      <c r="C30" s="33"/>
      <c r="D30" s="5"/>
      <c r="E30" s="20"/>
      <c r="F30" s="20"/>
      <c r="G30" s="18"/>
      <c r="H30" s="5"/>
    </row>
    <row r="31" spans="2:8">
      <c r="B31" s="19"/>
      <c r="C31" s="33"/>
      <c r="D31" s="5"/>
      <c r="E31" s="20"/>
      <c r="F31" s="20"/>
      <c r="G31" s="18"/>
      <c r="H31" s="5"/>
    </row>
    <row r="32" spans="2:8">
      <c r="B32" s="19"/>
      <c r="C32" s="33"/>
      <c r="D32" s="5"/>
      <c r="E32" s="20"/>
      <c r="F32" s="20"/>
      <c r="G32" s="18"/>
      <c r="H32" s="5"/>
    </row>
  </sheetData>
  <autoFilter ref="B2:H32">
    <sortState ref="B3:H32">
      <sortCondition ref="B1"/>
    </sortState>
  </autoFilter>
  <pageMargins left="0.7" right="0.7" top="0.75" bottom="0.75" header="0.3" footer="0.3"/>
  <pageSetup paperSize="9" orientation="portrait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H30"/>
  <sheetViews>
    <sheetView showGridLines="0" workbookViewId="0">
      <pane ySplit="2" topLeftCell="A3" activePane="bottomLeft" state="frozen"/>
      <selection activeCell="B1" sqref="B1"/>
      <selection pane="bottomLeft" activeCell="B2" sqref="B2"/>
    </sheetView>
  </sheetViews>
  <sheetFormatPr defaultRowHeight="14.25"/>
  <cols>
    <col min="2" max="2" width="7.25" style="34" bestFit="1" customWidth="1"/>
    <col min="3" max="3" width="6.625" style="34" bestFit="1" customWidth="1"/>
    <col min="4" max="4" width="7.25" bestFit="1" customWidth="1"/>
    <col min="5" max="5" width="8" bestFit="1" customWidth="1"/>
    <col min="6" max="6" width="18.125" bestFit="1" customWidth="1"/>
    <col min="7" max="7" width="8.125" bestFit="1" customWidth="1"/>
    <col min="8" max="8" width="8.625" bestFit="1" customWidth="1"/>
  </cols>
  <sheetData>
    <row r="1" spans="2:8" ht="15">
      <c r="B1" s="51" t="s">
        <v>226</v>
      </c>
      <c r="C1" s="141"/>
      <c r="D1" s="136"/>
      <c r="E1" s="136"/>
      <c r="F1" s="136"/>
      <c r="G1" s="136"/>
      <c r="H1" s="136"/>
    </row>
    <row r="2" spans="2:8">
      <c r="B2" s="15" t="s">
        <v>164</v>
      </c>
      <c r="C2" s="15" t="s">
        <v>8</v>
      </c>
      <c r="D2" s="16" t="s">
        <v>105</v>
      </c>
      <c r="E2" s="16" t="s">
        <v>106</v>
      </c>
      <c r="F2" s="16" t="s">
        <v>107</v>
      </c>
      <c r="G2" s="17" t="s">
        <v>12</v>
      </c>
      <c r="H2" s="16" t="s">
        <v>108</v>
      </c>
    </row>
    <row r="3" spans="2:8">
      <c r="B3" s="40"/>
      <c r="C3" s="33"/>
      <c r="D3" s="5"/>
      <c r="E3" s="20"/>
      <c r="F3" s="20"/>
      <c r="G3" s="18"/>
      <c r="H3" s="5"/>
    </row>
    <row r="4" spans="2:8">
      <c r="B4" s="40"/>
      <c r="C4" s="33"/>
      <c r="D4" s="5"/>
      <c r="E4" s="20"/>
      <c r="F4" s="20"/>
      <c r="G4" s="18"/>
      <c r="H4" s="5"/>
    </row>
    <row r="5" spans="2:8">
      <c r="B5" s="40"/>
      <c r="C5" s="33"/>
      <c r="D5" s="5"/>
      <c r="E5" s="20"/>
      <c r="F5" s="20"/>
      <c r="G5" s="18"/>
      <c r="H5" s="5"/>
    </row>
    <row r="6" spans="2:8">
      <c r="B6" s="40"/>
      <c r="C6" s="33"/>
      <c r="D6" s="5"/>
      <c r="E6" s="20"/>
      <c r="F6" s="20"/>
      <c r="G6" s="18"/>
      <c r="H6" s="5"/>
    </row>
    <row r="7" spans="2:8">
      <c r="B7" s="40"/>
      <c r="C7" s="33"/>
      <c r="D7" s="5"/>
      <c r="E7" s="20"/>
      <c r="F7" s="20"/>
      <c r="G7" s="18"/>
      <c r="H7" s="5"/>
    </row>
    <row r="8" spans="2:8">
      <c r="B8" s="40"/>
      <c r="C8" s="33"/>
      <c r="D8" s="5"/>
      <c r="E8" s="20"/>
      <c r="F8" s="20"/>
      <c r="G8" s="18"/>
      <c r="H8" s="5"/>
    </row>
    <row r="9" spans="2:8">
      <c r="B9" s="40"/>
      <c r="C9" s="33"/>
      <c r="D9" s="5"/>
      <c r="E9" s="20"/>
      <c r="F9" s="20"/>
      <c r="G9" s="18"/>
      <c r="H9" s="5"/>
    </row>
    <row r="10" spans="2:8">
      <c r="B10" s="40"/>
      <c r="C10" s="33"/>
      <c r="D10" s="5"/>
      <c r="E10" s="20"/>
      <c r="F10" s="20"/>
      <c r="G10" s="18"/>
      <c r="H10" s="5"/>
    </row>
    <row r="11" spans="2:8">
      <c r="B11" s="40"/>
      <c r="C11" s="33"/>
      <c r="D11" s="5"/>
      <c r="E11" s="20"/>
      <c r="F11" s="20"/>
      <c r="G11" s="18"/>
      <c r="H11" s="5"/>
    </row>
    <row r="12" spans="2:8">
      <c r="B12" s="40"/>
      <c r="C12" s="33"/>
      <c r="D12" s="5"/>
      <c r="E12" s="20"/>
      <c r="F12" s="20"/>
      <c r="G12" s="18"/>
      <c r="H12" s="5"/>
    </row>
    <row r="13" spans="2:8">
      <c r="B13" s="40"/>
      <c r="C13" s="33"/>
      <c r="D13" s="5"/>
      <c r="E13" s="20"/>
      <c r="F13" s="20"/>
      <c r="G13" s="18"/>
      <c r="H13" s="5"/>
    </row>
    <row r="14" spans="2:8">
      <c r="B14" s="33"/>
      <c r="C14" s="33"/>
      <c r="D14" s="5"/>
      <c r="E14" s="20"/>
      <c r="F14" s="20"/>
      <c r="G14" s="18"/>
      <c r="H14" s="5"/>
    </row>
    <row r="15" spans="2:8">
      <c r="B15" s="33"/>
      <c r="C15" s="33"/>
      <c r="D15" s="5"/>
      <c r="E15" s="20"/>
      <c r="F15" s="20"/>
      <c r="G15" s="18"/>
      <c r="H15" s="5"/>
    </row>
    <row r="16" spans="2:8">
      <c r="B16" s="33"/>
      <c r="C16" s="33"/>
      <c r="D16" s="5"/>
      <c r="E16" s="20"/>
      <c r="F16" s="20"/>
      <c r="G16" s="18"/>
      <c r="H16" s="5"/>
    </row>
    <row r="17" spans="2:8">
      <c r="B17" s="33"/>
      <c r="C17" s="33"/>
      <c r="D17" s="5"/>
      <c r="E17" s="20"/>
      <c r="F17" s="20"/>
      <c r="G17" s="18"/>
      <c r="H17" s="5"/>
    </row>
    <row r="18" spans="2:8">
      <c r="B18" s="33"/>
      <c r="C18" s="33"/>
      <c r="D18" s="5"/>
      <c r="E18" s="20"/>
      <c r="F18" s="20"/>
      <c r="G18" s="18"/>
      <c r="H18" s="5"/>
    </row>
    <row r="19" spans="2:8">
      <c r="B19" s="33"/>
      <c r="C19" s="33"/>
      <c r="D19" s="5"/>
      <c r="E19" s="20"/>
      <c r="F19" s="20"/>
      <c r="G19" s="18"/>
      <c r="H19" s="5"/>
    </row>
    <row r="20" spans="2:8">
      <c r="B20" s="33"/>
      <c r="C20" s="33"/>
      <c r="D20" s="5"/>
      <c r="E20" s="20"/>
      <c r="F20" s="20"/>
      <c r="G20" s="18"/>
      <c r="H20" s="5"/>
    </row>
    <row r="21" spans="2:8">
      <c r="B21" s="33"/>
      <c r="C21" s="33"/>
      <c r="D21" s="5"/>
      <c r="E21" s="20"/>
      <c r="F21" s="20"/>
      <c r="G21" s="18"/>
      <c r="H21" s="5"/>
    </row>
    <row r="22" spans="2:8">
      <c r="B22" s="33"/>
      <c r="C22" s="33"/>
      <c r="D22" s="5"/>
      <c r="E22" s="20"/>
      <c r="F22" s="20"/>
      <c r="G22" s="18"/>
      <c r="H22" s="5"/>
    </row>
    <row r="23" spans="2:8">
      <c r="B23" s="33"/>
      <c r="C23" s="33"/>
      <c r="D23" s="5"/>
      <c r="E23" s="20"/>
      <c r="F23" s="20"/>
      <c r="G23" s="18"/>
      <c r="H23" s="5"/>
    </row>
    <row r="24" spans="2:8">
      <c r="B24" s="33"/>
      <c r="C24" s="33"/>
      <c r="D24" s="5"/>
      <c r="E24" s="20"/>
      <c r="F24" s="20"/>
      <c r="G24" s="18"/>
      <c r="H24" s="5"/>
    </row>
    <row r="25" spans="2:8">
      <c r="B25" s="33"/>
      <c r="C25" s="33"/>
      <c r="D25" s="5"/>
      <c r="E25" s="20"/>
      <c r="F25" s="20"/>
      <c r="G25" s="18"/>
      <c r="H25" s="5"/>
    </row>
    <row r="26" spans="2:8">
      <c r="B26" s="33"/>
      <c r="C26" s="33"/>
      <c r="D26" s="5"/>
      <c r="E26" s="20"/>
      <c r="F26" s="20"/>
      <c r="G26" s="18"/>
      <c r="H26" s="5"/>
    </row>
    <row r="27" spans="2:8">
      <c r="B27" s="33"/>
      <c r="C27" s="33"/>
      <c r="D27" s="5"/>
      <c r="E27" s="20"/>
      <c r="F27" s="20"/>
      <c r="G27" s="18"/>
      <c r="H27" s="5"/>
    </row>
    <row r="28" spans="2:8">
      <c r="B28" s="33"/>
      <c r="C28" s="33"/>
      <c r="D28" s="5"/>
      <c r="E28" s="20"/>
      <c r="F28" s="20"/>
      <c r="G28" s="18"/>
      <c r="H28" s="5"/>
    </row>
    <row r="29" spans="2:8">
      <c r="B29" s="33"/>
      <c r="C29" s="33"/>
      <c r="D29" s="5"/>
      <c r="E29" s="20"/>
      <c r="F29" s="20"/>
      <c r="G29" s="18"/>
      <c r="H29" s="5"/>
    </row>
    <row r="30" spans="2:8">
      <c r="B30" s="33"/>
      <c r="C30" s="33"/>
      <c r="D30" s="5"/>
      <c r="E30" s="20"/>
      <c r="F30" s="20"/>
      <c r="G30" s="18"/>
      <c r="H30" s="5"/>
    </row>
  </sheetData>
  <autoFilter ref="B2:H30">
    <sortState ref="B3:H30">
      <sortCondition ref="B2:B30"/>
    </sortState>
  </autoFilter>
  <pageMargins left="0.7" right="0.7" top="0.75" bottom="0.75" header="0.3" footer="0.3"/>
  <pageSetup paperSize="9" orientation="portrait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H32"/>
  <sheetViews>
    <sheetView showGridLines="0" workbookViewId="0">
      <pane ySplit="2" topLeftCell="A3" activePane="bottomLeft" state="frozen"/>
      <selection activeCell="B1" sqref="B1"/>
      <selection pane="bottomLeft" activeCell="B1" sqref="B1"/>
    </sheetView>
  </sheetViews>
  <sheetFormatPr defaultRowHeight="14.25"/>
  <cols>
    <col min="2" max="2" width="7.25" bestFit="1" customWidth="1"/>
    <col min="3" max="3" width="6.625" style="34" bestFit="1" customWidth="1"/>
    <col min="4" max="4" width="7.25" bestFit="1" customWidth="1"/>
    <col min="5" max="5" width="10.375" bestFit="1" customWidth="1"/>
    <col min="6" max="6" width="18.125" bestFit="1" customWidth="1"/>
    <col min="7" max="7" width="8.125" bestFit="1" customWidth="1"/>
    <col min="8" max="8" width="8.625" bestFit="1" customWidth="1"/>
  </cols>
  <sheetData>
    <row r="1" spans="2:8" ht="15">
      <c r="B1" s="51" t="s">
        <v>227</v>
      </c>
      <c r="C1" s="141"/>
      <c r="D1" s="136"/>
      <c r="E1" s="136"/>
      <c r="F1" s="136"/>
      <c r="G1" s="136"/>
      <c r="H1" s="136"/>
    </row>
    <row r="2" spans="2:8">
      <c r="B2" s="15" t="s">
        <v>164</v>
      </c>
      <c r="C2" s="15" t="s">
        <v>8</v>
      </c>
      <c r="D2" s="16" t="s">
        <v>105</v>
      </c>
      <c r="E2" s="16" t="s">
        <v>106</v>
      </c>
      <c r="F2" s="16" t="s">
        <v>107</v>
      </c>
      <c r="G2" s="17" t="s">
        <v>12</v>
      </c>
      <c r="H2" s="16" t="s">
        <v>108</v>
      </c>
    </row>
    <row r="3" spans="2:8">
      <c r="B3" s="41"/>
      <c r="C3" s="33"/>
      <c r="D3" s="5"/>
      <c r="E3" s="20"/>
      <c r="F3" s="20"/>
      <c r="G3" s="18"/>
      <c r="H3" s="5"/>
    </row>
    <row r="4" spans="2:8">
      <c r="B4" s="41"/>
      <c r="C4" s="33"/>
      <c r="D4" s="5"/>
      <c r="E4" s="20"/>
      <c r="F4" s="20"/>
      <c r="G4" s="18"/>
      <c r="H4" s="5"/>
    </row>
    <row r="5" spans="2:8">
      <c r="B5" s="41"/>
      <c r="C5" s="33"/>
      <c r="D5" s="5"/>
      <c r="E5" s="20"/>
      <c r="F5" s="20"/>
      <c r="G5" s="18"/>
      <c r="H5" s="5"/>
    </row>
    <row r="6" spans="2:8">
      <c r="B6" s="41"/>
      <c r="C6" s="33"/>
      <c r="D6" s="5"/>
      <c r="E6" s="20"/>
      <c r="F6" s="20"/>
      <c r="G6" s="18"/>
      <c r="H6" s="5"/>
    </row>
    <row r="7" spans="2:8">
      <c r="B7" s="41"/>
      <c r="C7" s="33"/>
      <c r="D7" s="5"/>
      <c r="E7" s="20"/>
      <c r="F7" s="20"/>
      <c r="G7" s="18"/>
      <c r="H7" s="5"/>
    </row>
    <row r="8" spans="2:8">
      <c r="B8" s="41"/>
      <c r="C8" s="33"/>
      <c r="D8" s="5"/>
      <c r="E8" s="20"/>
      <c r="F8" s="20"/>
      <c r="G8" s="18"/>
      <c r="H8" s="5"/>
    </row>
    <row r="9" spans="2:8">
      <c r="B9" s="41"/>
      <c r="C9" s="33"/>
      <c r="D9" s="5"/>
      <c r="E9" s="20"/>
      <c r="F9" s="20"/>
      <c r="G9" s="18"/>
      <c r="H9" s="5"/>
    </row>
    <row r="10" spans="2:8">
      <c r="B10" s="41"/>
      <c r="C10" s="33"/>
      <c r="D10" s="5"/>
      <c r="E10" s="20"/>
      <c r="F10" s="20"/>
      <c r="G10" s="18"/>
      <c r="H10" s="5"/>
    </row>
    <row r="11" spans="2:8">
      <c r="B11" s="41"/>
      <c r="C11" s="33"/>
      <c r="D11" s="5"/>
      <c r="E11" s="20"/>
      <c r="F11" s="20"/>
      <c r="G11" s="18"/>
      <c r="H11" s="5"/>
    </row>
    <row r="12" spans="2:8">
      <c r="B12" s="41"/>
      <c r="C12" s="33"/>
      <c r="D12" s="5"/>
      <c r="E12" s="20"/>
      <c r="F12" s="20"/>
      <c r="G12" s="18"/>
      <c r="H12" s="5"/>
    </row>
    <row r="13" spans="2:8">
      <c r="B13" s="41"/>
      <c r="C13" s="33"/>
      <c r="D13" s="5"/>
      <c r="E13" s="20"/>
      <c r="F13" s="20"/>
      <c r="G13" s="18"/>
      <c r="H13" s="5"/>
    </row>
    <row r="14" spans="2:8">
      <c r="B14" s="41"/>
      <c r="C14" s="33"/>
      <c r="D14" s="5"/>
      <c r="E14" s="20"/>
      <c r="F14" s="20"/>
      <c r="G14" s="18"/>
      <c r="H14" s="5"/>
    </row>
    <row r="15" spans="2:8">
      <c r="B15" s="41"/>
      <c r="C15" s="33"/>
      <c r="D15" s="5"/>
      <c r="E15" s="20"/>
      <c r="F15" s="20"/>
      <c r="G15" s="18"/>
      <c r="H15" s="5"/>
    </row>
    <row r="16" spans="2:8">
      <c r="B16" s="41"/>
      <c r="C16" s="33"/>
      <c r="D16" s="5"/>
      <c r="E16" s="20"/>
      <c r="F16" s="20"/>
      <c r="G16" s="18"/>
      <c r="H16" s="5"/>
    </row>
    <row r="17" spans="2:8">
      <c r="B17" s="19"/>
      <c r="C17" s="33"/>
      <c r="D17" s="5"/>
      <c r="E17" s="20"/>
      <c r="F17" s="20"/>
      <c r="G17" s="18"/>
      <c r="H17" s="5"/>
    </row>
    <row r="18" spans="2:8">
      <c r="B18" s="19"/>
      <c r="C18" s="33"/>
      <c r="D18" s="5"/>
      <c r="E18" s="20"/>
      <c r="F18" s="20"/>
      <c r="G18" s="18"/>
      <c r="H18" s="5"/>
    </row>
    <row r="19" spans="2:8">
      <c r="B19" s="19"/>
      <c r="C19" s="33"/>
      <c r="D19" s="5"/>
      <c r="E19" s="20"/>
      <c r="F19" s="20"/>
      <c r="G19" s="18"/>
      <c r="H19" s="5"/>
    </row>
    <row r="20" spans="2:8">
      <c r="B20" s="19"/>
      <c r="C20" s="33"/>
      <c r="D20" s="5"/>
      <c r="E20" s="20"/>
      <c r="F20" s="20"/>
      <c r="G20" s="18"/>
      <c r="H20" s="5"/>
    </row>
    <row r="21" spans="2:8">
      <c r="B21" s="19"/>
      <c r="C21" s="33"/>
      <c r="D21" s="5"/>
      <c r="E21" s="20"/>
      <c r="F21" s="20"/>
      <c r="G21" s="18"/>
      <c r="H21" s="5"/>
    </row>
    <row r="22" spans="2:8">
      <c r="B22" s="19"/>
      <c r="C22" s="33"/>
      <c r="D22" s="5"/>
      <c r="E22" s="20"/>
      <c r="F22" s="20"/>
      <c r="G22" s="18"/>
      <c r="H22" s="5"/>
    </row>
    <row r="23" spans="2:8">
      <c r="B23" s="19"/>
      <c r="C23" s="33"/>
      <c r="D23" s="5"/>
      <c r="E23" s="20"/>
      <c r="F23" s="20"/>
      <c r="G23" s="18"/>
      <c r="H23" s="5"/>
    </row>
    <row r="24" spans="2:8">
      <c r="B24" s="19"/>
      <c r="C24" s="33"/>
      <c r="D24" s="5"/>
      <c r="E24" s="20"/>
      <c r="F24" s="20"/>
      <c r="G24" s="18"/>
      <c r="H24" s="5"/>
    </row>
    <row r="25" spans="2:8">
      <c r="B25" s="19"/>
      <c r="C25" s="33"/>
      <c r="D25" s="5"/>
      <c r="E25" s="20"/>
      <c r="F25" s="20"/>
      <c r="G25" s="18"/>
      <c r="H25" s="5"/>
    </row>
    <row r="26" spans="2:8">
      <c r="B26" s="19"/>
      <c r="C26" s="33"/>
      <c r="D26" s="5"/>
      <c r="E26" s="20"/>
      <c r="F26" s="20"/>
      <c r="G26" s="18"/>
      <c r="H26" s="5"/>
    </row>
    <row r="27" spans="2:8">
      <c r="B27" s="19"/>
      <c r="C27" s="33"/>
      <c r="D27" s="5"/>
      <c r="E27" s="20"/>
      <c r="F27" s="20"/>
      <c r="G27" s="18"/>
      <c r="H27" s="5"/>
    </row>
    <row r="28" spans="2:8">
      <c r="B28" s="19"/>
      <c r="C28" s="33"/>
      <c r="D28" s="5"/>
      <c r="E28" s="20"/>
      <c r="F28" s="20"/>
      <c r="G28" s="18"/>
      <c r="H28" s="5"/>
    </row>
    <row r="29" spans="2:8">
      <c r="B29" s="19"/>
      <c r="C29" s="33"/>
      <c r="D29" s="5"/>
      <c r="E29" s="20"/>
      <c r="F29" s="20"/>
      <c r="G29" s="18"/>
      <c r="H29" s="5"/>
    </row>
    <row r="30" spans="2:8">
      <c r="B30" s="19"/>
      <c r="C30" s="33"/>
      <c r="D30" s="5"/>
      <c r="E30" s="20"/>
      <c r="F30" s="20"/>
      <c r="G30" s="18"/>
      <c r="H30" s="5"/>
    </row>
    <row r="31" spans="2:8">
      <c r="B31" s="19"/>
      <c r="C31" s="33"/>
      <c r="D31" s="5"/>
      <c r="E31" s="20"/>
      <c r="F31" s="20"/>
      <c r="G31" s="18"/>
      <c r="H31" s="5"/>
    </row>
    <row r="32" spans="2:8">
      <c r="B32" s="19"/>
      <c r="C32" s="33"/>
      <c r="D32" s="5"/>
      <c r="E32" s="20"/>
      <c r="F32" s="20"/>
      <c r="G32" s="18"/>
      <c r="H32" s="5"/>
    </row>
  </sheetData>
  <autoFilter ref="B2:H32">
    <sortState ref="B3:H32">
      <sortCondition ref="B2:B32"/>
    </sortState>
  </autoFilter>
  <pageMargins left="0.7" right="0.7" top="0.75" bottom="0.75" header="0.3" footer="0.3"/>
  <pageSetup paperSize="9" orientation="portrait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H46"/>
  <sheetViews>
    <sheetView showGridLines="0" workbookViewId="0">
      <pane ySplit="2" topLeftCell="A3" activePane="bottomLeft" state="frozen"/>
      <selection activeCell="B1" sqref="B1"/>
      <selection pane="bottomLeft" activeCell="B1" sqref="B1"/>
    </sheetView>
  </sheetViews>
  <sheetFormatPr defaultRowHeight="14.25"/>
  <cols>
    <col min="2" max="2" width="7.25" bestFit="1" customWidth="1"/>
    <col min="3" max="3" width="6.625" style="34" bestFit="1" customWidth="1"/>
    <col min="4" max="4" width="7.25" bestFit="1" customWidth="1"/>
    <col min="5" max="5" width="8" bestFit="1" customWidth="1"/>
    <col min="6" max="6" width="18.125" bestFit="1" customWidth="1"/>
    <col min="7" max="7" width="8.125" bestFit="1" customWidth="1"/>
    <col min="8" max="8" width="8.625" bestFit="1" customWidth="1"/>
  </cols>
  <sheetData>
    <row r="1" spans="2:8" ht="15">
      <c r="B1" s="51" t="s">
        <v>229</v>
      </c>
      <c r="C1" s="141"/>
      <c r="D1" s="136"/>
      <c r="E1" s="136"/>
      <c r="F1" s="136"/>
      <c r="G1" s="136"/>
      <c r="H1" s="136"/>
    </row>
    <row r="2" spans="2:8">
      <c r="B2" s="15" t="s">
        <v>164</v>
      </c>
      <c r="C2" s="15" t="s">
        <v>8</v>
      </c>
      <c r="D2" s="16" t="s">
        <v>105</v>
      </c>
      <c r="E2" s="16" t="s">
        <v>106</v>
      </c>
      <c r="F2" s="16" t="s">
        <v>107</v>
      </c>
      <c r="G2" s="17" t="s">
        <v>12</v>
      </c>
      <c r="H2" s="16" t="s">
        <v>108</v>
      </c>
    </row>
    <row r="3" spans="2:8">
      <c r="B3" s="41"/>
      <c r="C3" s="33"/>
      <c r="D3" s="5"/>
      <c r="E3" s="20"/>
      <c r="F3" s="20"/>
      <c r="G3" s="18"/>
      <c r="H3" s="5"/>
    </row>
    <row r="4" spans="2:8">
      <c r="B4" s="41"/>
      <c r="C4" s="33"/>
      <c r="D4" s="5"/>
      <c r="E4" s="20"/>
      <c r="F4" s="20"/>
      <c r="G4" s="18"/>
      <c r="H4" s="5"/>
    </row>
    <row r="5" spans="2:8">
      <c r="B5" s="41"/>
      <c r="C5" s="33"/>
      <c r="D5" s="5"/>
      <c r="E5" s="20"/>
      <c r="F5" s="20"/>
      <c r="G5" s="18"/>
      <c r="H5" s="5"/>
    </row>
    <row r="6" spans="2:8">
      <c r="B6" s="41"/>
      <c r="C6" s="33"/>
      <c r="D6" s="5"/>
      <c r="E6" s="20"/>
      <c r="F6" s="20"/>
      <c r="G6" s="18"/>
      <c r="H6" s="5"/>
    </row>
    <row r="7" spans="2:8">
      <c r="B7" s="41"/>
      <c r="C7" s="33"/>
      <c r="D7" s="5"/>
      <c r="E7" s="20"/>
      <c r="F7" s="20"/>
      <c r="G7" s="18"/>
      <c r="H7" s="5"/>
    </row>
    <row r="8" spans="2:8">
      <c r="B8" s="41"/>
      <c r="C8" s="33"/>
      <c r="D8" s="5"/>
      <c r="E8" s="20"/>
      <c r="F8" s="20"/>
      <c r="G8" s="18"/>
      <c r="H8" s="5"/>
    </row>
    <row r="9" spans="2:8">
      <c r="B9" s="41"/>
      <c r="C9" s="33"/>
      <c r="D9" s="5"/>
      <c r="E9" s="20"/>
      <c r="F9" s="20"/>
      <c r="G9" s="18"/>
      <c r="H9" s="5"/>
    </row>
    <row r="10" spans="2:8">
      <c r="B10" s="41"/>
      <c r="C10" s="33"/>
      <c r="D10" s="5"/>
      <c r="E10" s="20"/>
      <c r="F10" s="20"/>
      <c r="G10" s="18"/>
      <c r="H10" s="5"/>
    </row>
    <row r="11" spans="2:8">
      <c r="B11" s="41"/>
      <c r="C11" s="33"/>
      <c r="D11" s="5"/>
      <c r="E11" s="20"/>
      <c r="F11" s="20"/>
      <c r="G11" s="18"/>
      <c r="H11" s="5"/>
    </row>
    <row r="12" spans="2:8">
      <c r="B12" s="41"/>
      <c r="C12" s="33"/>
      <c r="D12" s="5"/>
      <c r="E12" s="20"/>
      <c r="F12" s="20"/>
      <c r="G12" s="18"/>
      <c r="H12" s="5"/>
    </row>
    <row r="13" spans="2:8">
      <c r="B13" s="41"/>
      <c r="C13" s="33"/>
      <c r="D13" s="5"/>
      <c r="E13" s="20"/>
      <c r="F13" s="20"/>
      <c r="G13" s="18"/>
      <c r="H13" s="5"/>
    </row>
    <row r="14" spans="2:8">
      <c r="B14" s="41"/>
      <c r="C14" s="33"/>
      <c r="D14" s="5"/>
      <c r="E14" s="20"/>
      <c r="F14" s="20"/>
      <c r="G14" s="18"/>
      <c r="H14" s="5"/>
    </row>
    <row r="15" spans="2:8">
      <c r="B15" s="41"/>
      <c r="C15" s="33"/>
      <c r="D15" s="5"/>
      <c r="E15" s="20"/>
      <c r="F15" s="20"/>
      <c r="G15" s="18"/>
      <c r="H15" s="5"/>
    </row>
    <row r="16" spans="2:8">
      <c r="B16" s="41"/>
      <c r="C16" s="33"/>
      <c r="D16" s="5"/>
      <c r="E16" s="20"/>
      <c r="F16" s="20"/>
      <c r="G16" s="18"/>
      <c r="H16" s="5"/>
    </row>
    <row r="17" spans="2:8">
      <c r="B17" s="41"/>
      <c r="C17" s="33"/>
      <c r="D17" s="5"/>
      <c r="E17" s="20"/>
      <c r="F17" s="20"/>
      <c r="G17" s="18"/>
      <c r="H17" s="5"/>
    </row>
    <row r="18" spans="2:8">
      <c r="B18" s="41"/>
      <c r="C18" s="33"/>
      <c r="D18" s="5"/>
      <c r="E18" s="20"/>
      <c r="F18" s="20"/>
      <c r="G18" s="18"/>
      <c r="H18" s="5"/>
    </row>
    <row r="19" spans="2:8">
      <c r="B19" s="41"/>
      <c r="C19" s="33"/>
      <c r="D19" s="5"/>
      <c r="E19" s="20"/>
      <c r="F19" s="20"/>
      <c r="G19" s="18"/>
      <c r="H19" s="5"/>
    </row>
    <row r="20" spans="2:8">
      <c r="B20" s="41"/>
      <c r="C20" s="33"/>
      <c r="D20" s="5"/>
      <c r="E20" s="20"/>
      <c r="F20" s="20"/>
      <c r="G20" s="18"/>
      <c r="H20" s="5"/>
    </row>
    <row r="21" spans="2:8">
      <c r="B21" s="41"/>
      <c r="C21" s="33"/>
      <c r="D21" s="5"/>
      <c r="E21" s="20"/>
      <c r="F21" s="20"/>
      <c r="G21" s="18"/>
      <c r="H21" s="5"/>
    </row>
    <row r="22" spans="2:8">
      <c r="B22" s="41"/>
      <c r="C22" s="33"/>
      <c r="D22" s="5"/>
      <c r="E22" s="20"/>
      <c r="F22" s="20"/>
      <c r="G22" s="18"/>
      <c r="H22" s="5"/>
    </row>
    <row r="23" spans="2:8">
      <c r="B23" s="41"/>
      <c r="C23" s="33"/>
      <c r="D23" s="5"/>
      <c r="E23" s="20"/>
      <c r="F23" s="20"/>
      <c r="G23" s="18"/>
      <c r="H23" s="5"/>
    </row>
    <row r="24" spans="2:8">
      <c r="B24" s="41"/>
      <c r="C24" s="33"/>
      <c r="D24" s="5"/>
      <c r="E24" s="20"/>
      <c r="F24" s="20"/>
      <c r="G24" s="18"/>
      <c r="H24" s="5"/>
    </row>
    <row r="25" spans="2:8">
      <c r="B25" s="41"/>
      <c r="C25" s="33"/>
      <c r="D25" s="5"/>
      <c r="E25" s="20"/>
      <c r="F25" s="20"/>
      <c r="G25" s="18"/>
      <c r="H25" s="5"/>
    </row>
    <row r="26" spans="2:8">
      <c r="B26" s="41"/>
      <c r="C26" s="33"/>
      <c r="D26" s="5"/>
      <c r="E26" s="20"/>
      <c r="F26" s="20"/>
      <c r="G26" s="18"/>
      <c r="H26" s="5"/>
    </row>
    <row r="27" spans="2:8">
      <c r="B27" s="41"/>
      <c r="C27" s="33"/>
      <c r="D27" s="5"/>
      <c r="E27" s="20"/>
      <c r="F27" s="20"/>
      <c r="G27" s="18"/>
      <c r="H27" s="5"/>
    </row>
    <row r="28" spans="2:8">
      <c r="B28" s="41"/>
      <c r="C28" s="33"/>
      <c r="D28" s="5"/>
      <c r="E28" s="20"/>
      <c r="F28" s="20"/>
      <c r="G28" s="18"/>
      <c r="H28" s="5"/>
    </row>
    <row r="29" spans="2:8">
      <c r="B29" s="41"/>
      <c r="C29" s="33"/>
      <c r="D29" s="5"/>
      <c r="E29" s="20"/>
      <c r="F29" s="20"/>
      <c r="G29" s="18"/>
      <c r="H29" s="5"/>
    </row>
    <row r="30" spans="2:8">
      <c r="B30" s="41"/>
      <c r="C30" s="33"/>
      <c r="D30" s="5"/>
      <c r="E30" s="20"/>
      <c r="F30" s="20"/>
      <c r="G30" s="18"/>
      <c r="H30" s="5"/>
    </row>
    <row r="31" spans="2:8">
      <c r="B31" s="42"/>
      <c r="C31" s="141"/>
      <c r="D31" s="58"/>
      <c r="E31" s="39"/>
      <c r="F31" s="136"/>
      <c r="G31" s="136"/>
      <c r="H31" s="136"/>
    </row>
    <row r="32" spans="2:8">
      <c r="B32" s="42"/>
      <c r="C32" s="141"/>
      <c r="D32" s="58"/>
      <c r="E32" s="39"/>
      <c r="F32" s="136"/>
      <c r="G32" s="136"/>
      <c r="H32" s="136"/>
    </row>
    <row r="33" spans="2:5">
      <c r="B33" s="42"/>
      <c r="C33" s="141"/>
      <c r="D33" s="58"/>
      <c r="E33" s="39"/>
    </row>
    <row r="34" spans="2:5">
      <c r="B34" s="42"/>
      <c r="C34" s="141"/>
      <c r="D34" s="58"/>
      <c r="E34" s="39"/>
    </row>
    <row r="35" spans="2:5">
      <c r="B35" s="42"/>
      <c r="C35" s="141"/>
      <c r="D35" s="58"/>
      <c r="E35" s="39"/>
    </row>
    <row r="36" spans="2:5">
      <c r="B36" s="42"/>
      <c r="C36" s="141"/>
      <c r="D36" s="58"/>
      <c r="E36" s="39"/>
    </row>
    <row r="37" spans="2:5">
      <c r="B37" s="42"/>
      <c r="C37" s="141"/>
      <c r="D37" s="58"/>
      <c r="E37" s="39"/>
    </row>
    <row r="38" spans="2:5">
      <c r="B38" s="42"/>
      <c r="C38" s="141"/>
      <c r="D38" s="58"/>
      <c r="E38" s="39"/>
    </row>
    <row r="39" spans="2:5">
      <c r="B39" s="42"/>
      <c r="C39" s="141"/>
      <c r="D39" s="58"/>
      <c r="E39" s="39"/>
    </row>
    <row r="40" spans="2:5">
      <c r="B40" s="42"/>
      <c r="C40" s="141"/>
      <c r="D40" s="58"/>
      <c r="E40" s="39"/>
    </row>
    <row r="41" spans="2:5">
      <c r="B41" s="42"/>
      <c r="C41" s="141"/>
      <c r="D41" s="58"/>
      <c r="E41" s="39"/>
    </row>
    <row r="42" spans="2:5">
      <c r="B42" s="42"/>
      <c r="C42" s="141"/>
      <c r="D42" s="58"/>
      <c r="E42" s="39"/>
    </row>
    <row r="43" spans="2:5">
      <c r="B43" s="42"/>
      <c r="C43" s="141"/>
      <c r="D43" s="58"/>
      <c r="E43" s="39"/>
    </row>
    <row r="44" spans="2:5">
      <c r="B44" s="42"/>
      <c r="C44" s="141"/>
      <c r="D44" s="58"/>
      <c r="E44" s="39"/>
    </row>
    <row r="45" spans="2:5">
      <c r="B45" s="42"/>
      <c r="C45" s="141"/>
      <c r="D45" s="58"/>
      <c r="E45" s="39"/>
    </row>
    <row r="46" spans="2:5">
      <c r="B46" s="42"/>
      <c r="C46" s="141"/>
      <c r="D46" s="58"/>
      <c r="E46" s="39"/>
    </row>
  </sheetData>
  <autoFilter ref="B2:H30"/>
  <pageMargins left="0.7" right="0.7" top="0.75" bottom="0.75" header="0.3" footer="0.3"/>
  <pageSetup paperSize="9" orientation="portrait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B2:R51"/>
  <sheetViews>
    <sheetView workbookViewId="0">
      <selection activeCell="C6" sqref="C6"/>
    </sheetView>
  </sheetViews>
  <sheetFormatPr defaultRowHeight="14.25"/>
  <cols>
    <col min="2" max="2" width="1.75" customWidth="1"/>
    <col min="3" max="3" width="13.375" bestFit="1" customWidth="1"/>
    <col min="4" max="4" width="1.75" customWidth="1"/>
    <col min="6" max="6" width="1.75" customWidth="1"/>
    <col min="8" max="8" width="1.75" customWidth="1"/>
    <col min="10" max="10" width="1.75" customWidth="1"/>
    <col min="12" max="12" width="1.75" customWidth="1"/>
    <col min="14" max="14" width="1.75" customWidth="1"/>
    <col min="16" max="16" width="1.75" customWidth="1"/>
    <col min="18" max="18" width="1.75" customWidth="1"/>
  </cols>
  <sheetData>
    <row r="2" spans="2:18" ht="15">
      <c r="B2" s="140"/>
      <c r="C2" s="151" t="s">
        <v>230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40"/>
    </row>
    <row r="3" spans="2:18" ht="5.0999999999999996" customHeight="1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</row>
    <row r="4" spans="2:18" ht="15">
      <c r="B4" s="140"/>
      <c r="C4" s="52" t="s">
        <v>12</v>
      </c>
      <c r="D4" s="140"/>
      <c r="E4" s="53"/>
      <c r="F4" s="140"/>
      <c r="G4" s="53"/>
      <c r="H4" s="140"/>
      <c r="I4" s="53"/>
      <c r="J4" s="140"/>
      <c r="K4" s="53"/>
      <c r="L4" s="140"/>
      <c r="M4" s="53"/>
      <c r="N4" s="140"/>
      <c r="O4" s="53"/>
      <c r="P4" s="140"/>
      <c r="Q4" s="53"/>
      <c r="R4" s="140"/>
    </row>
    <row r="5" spans="2:18" ht="15">
      <c r="B5" s="140"/>
      <c r="C5" s="52" t="s">
        <v>231</v>
      </c>
      <c r="D5" s="140"/>
      <c r="E5" s="53" t="s">
        <v>232</v>
      </c>
      <c r="F5" s="140"/>
      <c r="G5" s="53" t="s">
        <v>232</v>
      </c>
      <c r="H5" s="140"/>
      <c r="I5" s="53" t="s">
        <v>232</v>
      </c>
      <c r="J5" s="140"/>
      <c r="K5" s="53" t="s">
        <v>232</v>
      </c>
      <c r="L5" s="140"/>
      <c r="M5" s="53" t="s">
        <v>232</v>
      </c>
      <c r="N5" s="140"/>
      <c r="O5" s="53" t="s">
        <v>232</v>
      </c>
      <c r="P5" s="140"/>
      <c r="Q5" s="53" t="s">
        <v>232</v>
      </c>
      <c r="R5" s="140"/>
    </row>
    <row r="6" spans="2:18">
      <c r="B6" s="136"/>
      <c r="C6" s="54"/>
      <c r="D6" s="136"/>
      <c r="E6" s="54"/>
      <c r="F6" s="136"/>
      <c r="G6" s="54"/>
      <c r="H6" s="136"/>
      <c r="I6" s="54"/>
      <c r="J6" s="136"/>
      <c r="K6" s="54"/>
      <c r="L6" s="136"/>
      <c r="M6" s="54"/>
      <c r="N6" s="136"/>
      <c r="O6" s="54"/>
      <c r="P6" s="136"/>
      <c r="Q6" s="54"/>
      <c r="R6" s="136"/>
    </row>
    <row r="7" spans="2:18">
      <c r="B7" s="136"/>
      <c r="C7" s="54"/>
      <c r="D7" s="136"/>
      <c r="E7" s="54"/>
      <c r="F7" s="136"/>
      <c r="G7" s="54"/>
      <c r="H7" s="136"/>
      <c r="I7" s="54"/>
      <c r="J7" s="136"/>
      <c r="K7" s="54"/>
      <c r="L7" s="136"/>
      <c r="M7" s="54"/>
      <c r="N7" s="136"/>
      <c r="O7" s="54"/>
      <c r="P7" s="136"/>
      <c r="Q7" s="54"/>
      <c r="R7" s="136"/>
    </row>
    <row r="8" spans="2:18">
      <c r="B8" s="136"/>
      <c r="C8" s="54"/>
      <c r="D8" s="136"/>
      <c r="E8" s="54"/>
      <c r="F8" s="136"/>
      <c r="G8" s="54"/>
      <c r="H8" s="136"/>
      <c r="I8" s="54"/>
      <c r="J8" s="136"/>
      <c r="K8" s="54"/>
      <c r="L8" s="136"/>
      <c r="M8" s="54"/>
      <c r="N8" s="136"/>
      <c r="O8" s="54"/>
      <c r="P8" s="136"/>
      <c r="Q8" s="54"/>
      <c r="R8" s="136"/>
    </row>
    <row r="9" spans="2:18">
      <c r="B9" s="136"/>
      <c r="C9" s="54"/>
      <c r="D9" s="136"/>
      <c r="E9" s="54"/>
      <c r="F9" s="136"/>
      <c r="G9" s="54"/>
      <c r="H9" s="136"/>
      <c r="I9" s="54"/>
      <c r="J9" s="136"/>
      <c r="K9" s="54"/>
      <c r="L9" s="136"/>
      <c r="M9" s="54"/>
      <c r="N9" s="136"/>
      <c r="O9" s="54"/>
      <c r="P9" s="136"/>
      <c r="Q9" s="54"/>
      <c r="R9" s="136"/>
    </row>
    <row r="10" spans="2:18">
      <c r="B10" s="136"/>
      <c r="C10" s="54"/>
      <c r="D10" s="136"/>
      <c r="E10" s="54"/>
      <c r="F10" s="136"/>
      <c r="G10" s="54"/>
      <c r="H10" s="136"/>
      <c r="I10" s="54"/>
      <c r="J10" s="136"/>
      <c r="K10" s="54"/>
      <c r="L10" s="136"/>
      <c r="M10" s="54"/>
      <c r="N10" s="136"/>
      <c r="O10" s="54"/>
      <c r="P10" s="136"/>
      <c r="Q10" s="54"/>
      <c r="R10" s="136"/>
    </row>
    <row r="11" spans="2:18">
      <c r="B11" s="136"/>
      <c r="C11" s="54"/>
      <c r="D11" s="136"/>
      <c r="E11" s="54"/>
      <c r="F11" s="136"/>
      <c r="G11" s="54"/>
      <c r="H11" s="136"/>
      <c r="I11" s="54"/>
      <c r="J11" s="136"/>
      <c r="K11" s="54"/>
      <c r="L11" s="136"/>
      <c r="M11" s="54"/>
      <c r="N11" s="136"/>
      <c r="O11" s="54"/>
      <c r="P11" s="136"/>
      <c r="Q11" s="54"/>
      <c r="R11" s="136"/>
    </row>
    <row r="12" spans="2:18">
      <c r="B12" s="136"/>
      <c r="C12" s="54"/>
      <c r="D12" s="136"/>
      <c r="E12" s="54"/>
      <c r="F12" s="136"/>
      <c r="G12" s="54"/>
      <c r="H12" s="136"/>
      <c r="I12" s="54"/>
      <c r="J12" s="136"/>
      <c r="K12" s="54"/>
      <c r="L12" s="136"/>
      <c r="M12" s="54"/>
      <c r="N12" s="136"/>
      <c r="O12" s="54"/>
      <c r="P12" s="136"/>
      <c r="Q12" s="54"/>
      <c r="R12" s="136"/>
    </row>
    <row r="13" spans="2:18">
      <c r="B13" s="136"/>
      <c r="C13" s="54"/>
      <c r="D13" s="136"/>
      <c r="E13" s="54"/>
      <c r="F13" s="136"/>
      <c r="G13" s="54"/>
      <c r="H13" s="136"/>
      <c r="I13" s="54"/>
      <c r="J13" s="136"/>
      <c r="K13" s="54"/>
      <c r="L13" s="136"/>
      <c r="M13" s="54"/>
      <c r="N13" s="136"/>
      <c r="O13" s="54"/>
      <c r="P13" s="136"/>
      <c r="Q13" s="54"/>
      <c r="R13" s="136"/>
    </row>
    <row r="14" spans="2:18">
      <c r="B14" s="136"/>
      <c r="C14" s="54"/>
      <c r="D14" s="136"/>
      <c r="E14" s="54"/>
      <c r="F14" s="136"/>
      <c r="G14" s="54"/>
      <c r="H14" s="136"/>
      <c r="I14" s="54"/>
      <c r="J14" s="136"/>
      <c r="K14" s="54"/>
      <c r="L14" s="136"/>
      <c r="M14" s="54"/>
      <c r="N14" s="136"/>
      <c r="O14" s="54"/>
      <c r="P14" s="136"/>
      <c r="Q14" s="54"/>
      <c r="R14" s="136"/>
    </row>
    <row r="15" spans="2:18">
      <c r="B15" s="136"/>
      <c r="C15" s="54"/>
      <c r="D15" s="136"/>
      <c r="E15" s="54"/>
      <c r="F15" s="136"/>
      <c r="G15" s="54"/>
      <c r="H15" s="136"/>
      <c r="I15" s="54"/>
      <c r="J15" s="136"/>
      <c r="K15" s="54"/>
      <c r="L15" s="136"/>
      <c r="M15" s="54"/>
      <c r="N15" s="136"/>
      <c r="O15" s="54"/>
      <c r="P15" s="136"/>
      <c r="Q15" s="54"/>
      <c r="R15" s="136"/>
    </row>
    <row r="16" spans="2:18">
      <c r="B16" s="136"/>
      <c r="C16" s="54"/>
      <c r="D16" s="136"/>
      <c r="E16" s="54"/>
      <c r="F16" s="136"/>
      <c r="G16" s="54"/>
      <c r="H16" s="136"/>
      <c r="I16" s="54"/>
      <c r="J16" s="136"/>
      <c r="K16" s="54"/>
      <c r="L16" s="136"/>
      <c r="M16" s="54"/>
      <c r="N16" s="136"/>
      <c r="O16" s="54"/>
      <c r="P16" s="136"/>
      <c r="Q16" s="54"/>
      <c r="R16" s="136"/>
    </row>
    <row r="17" spans="3:17">
      <c r="C17" s="54"/>
      <c r="D17" s="136"/>
      <c r="E17" s="54"/>
      <c r="F17" s="136"/>
      <c r="G17" s="54"/>
      <c r="H17" s="136"/>
      <c r="I17" s="54"/>
      <c r="J17" s="136"/>
      <c r="K17" s="54"/>
      <c r="L17" s="136"/>
      <c r="M17" s="54"/>
      <c r="N17" s="136"/>
      <c r="O17" s="54"/>
      <c r="P17" s="136"/>
      <c r="Q17" s="54"/>
    </row>
    <row r="18" spans="3:17">
      <c r="C18" s="54"/>
      <c r="D18" s="136"/>
      <c r="E18" s="54"/>
      <c r="F18" s="136"/>
      <c r="G18" s="54"/>
      <c r="H18" s="136"/>
      <c r="I18" s="54"/>
      <c r="J18" s="136"/>
      <c r="K18" s="54"/>
      <c r="L18" s="136"/>
      <c r="M18" s="54"/>
      <c r="N18" s="136"/>
      <c r="O18" s="54"/>
      <c r="P18" s="136"/>
      <c r="Q18" s="54"/>
    </row>
    <row r="19" spans="3:17">
      <c r="C19" s="54"/>
      <c r="D19" s="136"/>
      <c r="E19" s="54"/>
      <c r="F19" s="136"/>
      <c r="G19" s="54"/>
      <c r="H19" s="136"/>
      <c r="I19" s="54"/>
      <c r="J19" s="136"/>
      <c r="K19" s="54"/>
      <c r="L19" s="136"/>
      <c r="M19" s="54"/>
      <c r="N19" s="136"/>
      <c r="O19" s="54"/>
      <c r="P19" s="136"/>
      <c r="Q19" s="54"/>
    </row>
    <row r="20" spans="3:17">
      <c r="C20" s="54"/>
      <c r="D20" s="136"/>
      <c r="E20" s="54"/>
      <c r="F20" s="136"/>
      <c r="G20" s="54"/>
      <c r="H20" s="136"/>
      <c r="I20" s="54"/>
      <c r="J20" s="136"/>
      <c r="K20" s="54"/>
      <c r="L20" s="136"/>
      <c r="M20" s="54"/>
      <c r="N20" s="136"/>
      <c r="O20" s="54"/>
      <c r="P20" s="136"/>
      <c r="Q20" s="54"/>
    </row>
    <row r="21" spans="3:17">
      <c r="C21" s="54"/>
      <c r="D21" s="136"/>
      <c r="E21" s="54"/>
      <c r="F21" s="136"/>
      <c r="G21" s="54"/>
      <c r="H21" s="136"/>
      <c r="I21" s="54"/>
      <c r="J21" s="136"/>
      <c r="K21" s="54"/>
      <c r="L21" s="136"/>
      <c r="M21" s="54"/>
      <c r="N21" s="136"/>
      <c r="O21" s="54"/>
      <c r="P21" s="136"/>
      <c r="Q21" s="54"/>
    </row>
    <row r="22" spans="3:17">
      <c r="C22" s="54"/>
      <c r="D22" s="136"/>
      <c r="E22" s="54"/>
      <c r="F22" s="136"/>
      <c r="G22" s="54"/>
      <c r="H22" s="136"/>
      <c r="I22" s="54"/>
      <c r="J22" s="136"/>
      <c r="K22" s="54"/>
      <c r="L22" s="136"/>
      <c r="M22" s="54"/>
      <c r="N22" s="136"/>
      <c r="O22" s="54"/>
      <c r="P22" s="136"/>
      <c r="Q22" s="54"/>
    </row>
    <row r="23" spans="3:17">
      <c r="C23" s="54"/>
      <c r="D23" s="136"/>
      <c r="E23" s="54"/>
      <c r="F23" s="136"/>
      <c r="G23" s="54"/>
      <c r="H23" s="136"/>
      <c r="I23" s="54"/>
      <c r="J23" s="136"/>
      <c r="K23" s="54"/>
      <c r="L23" s="136"/>
      <c r="M23" s="54"/>
      <c r="N23" s="136"/>
      <c r="O23" s="54"/>
      <c r="P23" s="136"/>
      <c r="Q23" s="54"/>
    </row>
    <row r="24" spans="3:17">
      <c r="C24" s="54"/>
      <c r="D24" s="136"/>
      <c r="E24" s="54"/>
      <c r="F24" s="136"/>
      <c r="G24" s="54"/>
      <c r="H24" s="136"/>
      <c r="I24" s="54"/>
      <c r="J24" s="136"/>
      <c r="K24" s="54"/>
      <c r="L24" s="136"/>
      <c r="M24" s="54"/>
      <c r="N24" s="136"/>
      <c r="O24" s="54"/>
      <c r="P24" s="136"/>
      <c r="Q24" s="54"/>
    </row>
    <row r="25" spans="3:17">
      <c r="C25" s="54"/>
      <c r="D25" s="136"/>
      <c r="E25" s="54"/>
      <c r="F25" s="136"/>
      <c r="G25" s="54"/>
      <c r="H25" s="136"/>
      <c r="I25" s="54"/>
      <c r="J25" s="136"/>
      <c r="K25" s="54"/>
      <c r="L25" s="136"/>
      <c r="M25" s="54"/>
      <c r="N25" s="136"/>
      <c r="O25" s="54"/>
      <c r="P25" s="136"/>
      <c r="Q25" s="54"/>
    </row>
    <row r="26" spans="3:17">
      <c r="C26" s="54"/>
      <c r="D26" s="136"/>
      <c r="E26" s="54"/>
      <c r="F26" s="136"/>
      <c r="G26" s="54"/>
      <c r="H26" s="136"/>
      <c r="I26" s="54"/>
      <c r="J26" s="136"/>
      <c r="K26" s="54"/>
      <c r="L26" s="136"/>
      <c r="M26" s="54"/>
      <c r="N26" s="136"/>
      <c r="O26" s="54"/>
      <c r="P26" s="136"/>
      <c r="Q26" s="54"/>
    </row>
    <row r="27" spans="3:17">
      <c r="C27" s="54"/>
      <c r="D27" s="136"/>
      <c r="E27" s="54"/>
      <c r="F27" s="136"/>
      <c r="G27" s="54"/>
      <c r="H27" s="136"/>
      <c r="I27" s="54"/>
      <c r="J27" s="136"/>
      <c r="K27" s="54"/>
      <c r="L27" s="136"/>
      <c r="M27" s="54"/>
      <c r="N27" s="136"/>
      <c r="O27" s="54"/>
      <c r="P27" s="136"/>
      <c r="Q27" s="54"/>
    </row>
    <row r="28" spans="3:17">
      <c r="C28" s="54"/>
      <c r="D28" s="136"/>
      <c r="E28" s="54"/>
      <c r="F28" s="136"/>
      <c r="G28" s="54"/>
      <c r="H28" s="136"/>
      <c r="I28" s="54"/>
      <c r="J28" s="136"/>
      <c r="K28" s="54"/>
      <c r="L28" s="136"/>
      <c r="M28" s="54"/>
      <c r="N28" s="136"/>
      <c r="O28" s="54"/>
      <c r="P28" s="136"/>
      <c r="Q28" s="54"/>
    </row>
    <row r="29" spans="3:17">
      <c r="C29" s="54"/>
      <c r="D29" s="136"/>
      <c r="E29" s="54"/>
      <c r="F29" s="136"/>
      <c r="G29" s="54"/>
      <c r="H29" s="136"/>
      <c r="I29" s="54"/>
      <c r="J29" s="136"/>
      <c r="K29" s="54"/>
      <c r="L29" s="136"/>
      <c r="M29" s="54"/>
      <c r="N29" s="136"/>
      <c r="O29" s="54"/>
      <c r="P29" s="136"/>
      <c r="Q29" s="54"/>
    </row>
    <row r="30" spans="3:17">
      <c r="C30" s="54"/>
      <c r="D30" s="136"/>
      <c r="E30" s="54"/>
      <c r="F30" s="136"/>
      <c r="G30" s="54"/>
      <c r="H30" s="136"/>
      <c r="I30" s="54"/>
      <c r="J30" s="136"/>
      <c r="K30" s="54"/>
      <c r="L30" s="136"/>
      <c r="M30" s="54"/>
      <c r="N30" s="136"/>
      <c r="O30" s="54"/>
      <c r="P30" s="136"/>
      <c r="Q30" s="54"/>
    </row>
    <row r="31" spans="3:17">
      <c r="C31" s="54"/>
      <c r="D31" s="136"/>
      <c r="E31" s="54"/>
      <c r="F31" s="136"/>
      <c r="G31" s="54"/>
      <c r="H31" s="136"/>
      <c r="I31" s="54"/>
      <c r="J31" s="136"/>
      <c r="K31" s="54"/>
      <c r="L31" s="136"/>
      <c r="M31" s="54"/>
      <c r="N31" s="136"/>
      <c r="O31" s="54"/>
      <c r="P31" s="136"/>
      <c r="Q31" s="54"/>
    </row>
    <row r="32" spans="3:17">
      <c r="C32" s="54"/>
      <c r="D32" s="136"/>
      <c r="E32" s="54"/>
      <c r="F32" s="136"/>
      <c r="G32" s="54"/>
      <c r="H32" s="136"/>
      <c r="I32" s="54"/>
      <c r="J32" s="136"/>
      <c r="K32" s="54"/>
      <c r="L32" s="136"/>
      <c r="M32" s="54"/>
      <c r="N32" s="136"/>
      <c r="O32" s="54"/>
      <c r="P32" s="136"/>
      <c r="Q32" s="54"/>
    </row>
    <row r="33" spans="3:17">
      <c r="C33" s="54"/>
      <c r="D33" s="136"/>
      <c r="E33" s="54"/>
      <c r="F33" s="136"/>
      <c r="G33" s="54"/>
      <c r="H33" s="136"/>
      <c r="I33" s="54"/>
      <c r="J33" s="136"/>
      <c r="K33" s="54"/>
      <c r="L33" s="136"/>
      <c r="M33" s="54"/>
      <c r="N33" s="136"/>
      <c r="O33" s="54"/>
      <c r="P33" s="136"/>
      <c r="Q33" s="54"/>
    </row>
    <row r="34" spans="3:17">
      <c r="C34" s="54"/>
      <c r="D34" s="136"/>
      <c r="E34" s="54"/>
      <c r="F34" s="136"/>
      <c r="G34" s="54"/>
      <c r="H34" s="136"/>
      <c r="I34" s="54"/>
      <c r="J34" s="136"/>
      <c r="K34" s="54"/>
      <c r="L34" s="136"/>
      <c r="M34" s="54"/>
      <c r="N34" s="136"/>
      <c r="O34" s="54"/>
      <c r="P34" s="136"/>
      <c r="Q34" s="54"/>
    </row>
    <row r="35" spans="3:17">
      <c r="C35" s="54"/>
      <c r="D35" s="136"/>
      <c r="E35" s="54"/>
      <c r="F35" s="136"/>
      <c r="G35" s="54"/>
      <c r="H35" s="136"/>
      <c r="I35" s="54"/>
      <c r="J35" s="136"/>
      <c r="K35" s="54"/>
      <c r="L35" s="136"/>
      <c r="M35" s="54"/>
      <c r="N35" s="136"/>
      <c r="O35" s="54"/>
      <c r="P35" s="136"/>
      <c r="Q35" s="54"/>
    </row>
    <row r="36" spans="3:17">
      <c r="C36" s="54"/>
      <c r="D36" s="136"/>
      <c r="E36" s="54"/>
      <c r="F36" s="136"/>
      <c r="G36" s="54"/>
      <c r="H36" s="136"/>
      <c r="I36" s="54"/>
      <c r="J36" s="136"/>
      <c r="K36" s="54"/>
      <c r="L36" s="136"/>
      <c r="M36" s="54"/>
      <c r="N36" s="136"/>
      <c r="O36" s="54"/>
      <c r="P36" s="136"/>
      <c r="Q36" s="54"/>
    </row>
    <row r="37" spans="3:17">
      <c r="C37" s="54"/>
      <c r="D37" s="136"/>
      <c r="E37" s="54"/>
      <c r="F37" s="136"/>
      <c r="G37" s="54"/>
      <c r="H37" s="136"/>
      <c r="I37" s="54"/>
      <c r="J37" s="136"/>
      <c r="K37" s="54"/>
      <c r="L37" s="136"/>
      <c r="M37" s="54"/>
      <c r="N37" s="136"/>
      <c r="O37" s="54"/>
      <c r="P37" s="136"/>
      <c r="Q37" s="54"/>
    </row>
    <row r="38" spans="3:17">
      <c r="C38" s="54"/>
      <c r="D38" s="136"/>
      <c r="E38" s="54"/>
      <c r="F38" s="136"/>
      <c r="G38" s="54"/>
      <c r="H38" s="136"/>
      <c r="I38" s="54"/>
      <c r="J38" s="136"/>
      <c r="K38" s="54"/>
      <c r="L38" s="136"/>
      <c r="M38" s="54"/>
      <c r="N38" s="136"/>
      <c r="O38" s="54"/>
      <c r="P38" s="136"/>
      <c r="Q38" s="54"/>
    </row>
    <row r="39" spans="3:17">
      <c r="C39" s="54"/>
      <c r="D39" s="136"/>
      <c r="E39" s="54"/>
      <c r="F39" s="136"/>
      <c r="G39" s="54"/>
      <c r="H39" s="136"/>
      <c r="I39" s="54"/>
      <c r="J39" s="136"/>
      <c r="K39" s="54"/>
      <c r="L39" s="136"/>
      <c r="M39" s="54"/>
      <c r="N39" s="136"/>
      <c r="O39" s="54"/>
      <c r="P39" s="136"/>
      <c r="Q39" s="54"/>
    </row>
    <row r="40" spans="3:17">
      <c r="C40" s="54"/>
      <c r="D40" s="136"/>
      <c r="E40" s="54"/>
      <c r="F40" s="136"/>
      <c r="G40" s="54"/>
      <c r="H40" s="136"/>
      <c r="I40" s="54"/>
      <c r="J40" s="136"/>
      <c r="K40" s="54"/>
      <c r="L40" s="136"/>
      <c r="M40" s="54"/>
      <c r="N40" s="136"/>
      <c r="O40" s="54"/>
      <c r="P40" s="136"/>
      <c r="Q40" s="54"/>
    </row>
    <row r="41" spans="3:17">
      <c r="C41" s="54"/>
      <c r="D41" s="136"/>
      <c r="E41" s="54"/>
      <c r="F41" s="136"/>
      <c r="G41" s="54"/>
      <c r="H41" s="136"/>
      <c r="I41" s="54"/>
      <c r="J41" s="136"/>
      <c r="K41" s="54"/>
      <c r="L41" s="136"/>
      <c r="M41" s="54"/>
      <c r="N41" s="136"/>
      <c r="O41" s="54"/>
      <c r="P41" s="136"/>
      <c r="Q41" s="54"/>
    </row>
    <row r="42" spans="3:17">
      <c r="C42" s="54"/>
      <c r="D42" s="136"/>
      <c r="E42" s="54"/>
      <c r="F42" s="136"/>
      <c r="G42" s="54"/>
      <c r="H42" s="136"/>
      <c r="I42" s="54"/>
      <c r="J42" s="136"/>
      <c r="K42" s="54"/>
      <c r="L42" s="136"/>
      <c r="M42" s="54"/>
      <c r="N42" s="136"/>
      <c r="O42" s="54"/>
      <c r="P42" s="136"/>
      <c r="Q42" s="54"/>
    </row>
    <row r="43" spans="3:17">
      <c r="C43" s="54"/>
      <c r="D43" s="136"/>
      <c r="E43" s="54"/>
      <c r="F43" s="136"/>
      <c r="G43" s="54"/>
      <c r="H43" s="136"/>
      <c r="I43" s="54"/>
      <c r="J43" s="136"/>
      <c r="K43" s="54"/>
      <c r="L43" s="136"/>
      <c r="M43" s="54"/>
      <c r="N43" s="136"/>
      <c r="O43" s="54"/>
      <c r="P43" s="136"/>
      <c r="Q43" s="54"/>
    </row>
    <row r="44" spans="3:17">
      <c r="C44" s="54"/>
      <c r="D44" s="136"/>
      <c r="E44" s="54"/>
      <c r="F44" s="136"/>
      <c r="G44" s="54"/>
      <c r="H44" s="136"/>
      <c r="I44" s="54"/>
      <c r="J44" s="136"/>
      <c r="K44" s="54"/>
      <c r="L44" s="136"/>
      <c r="M44" s="54"/>
      <c r="N44" s="136"/>
      <c r="O44" s="54"/>
      <c r="P44" s="136"/>
      <c r="Q44" s="54"/>
    </row>
    <row r="45" spans="3:17">
      <c r="C45" s="54"/>
      <c r="D45" s="136"/>
      <c r="E45" s="54"/>
      <c r="F45" s="136"/>
      <c r="G45" s="54"/>
      <c r="H45" s="136"/>
      <c r="I45" s="54"/>
      <c r="J45" s="136"/>
      <c r="K45" s="54"/>
      <c r="L45" s="136"/>
      <c r="M45" s="54"/>
      <c r="N45" s="136"/>
      <c r="O45" s="54"/>
      <c r="P45" s="136"/>
      <c r="Q45" s="54"/>
    </row>
    <row r="46" spans="3:17">
      <c r="C46" s="54"/>
      <c r="D46" s="136"/>
      <c r="E46" s="54"/>
      <c r="F46" s="136"/>
      <c r="G46" s="54"/>
      <c r="H46" s="136"/>
      <c r="I46" s="54"/>
      <c r="J46" s="136"/>
      <c r="K46" s="54"/>
      <c r="L46" s="136"/>
      <c r="M46" s="54"/>
      <c r="N46" s="136"/>
      <c r="O46" s="54"/>
      <c r="P46" s="136"/>
      <c r="Q46" s="54"/>
    </row>
    <row r="47" spans="3:17">
      <c r="C47" s="54"/>
      <c r="D47" s="136"/>
      <c r="E47" s="54"/>
      <c r="F47" s="136"/>
      <c r="G47" s="54"/>
      <c r="H47" s="136"/>
      <c r="I47" s="54"/>
      <c r="J47" s="136"/>
      <c r="K47" s="54"/>
      <c r="L47" s="136"/>
      <c r="M47" s="54"/>
      <c r="N47" s="136"/>
      <c r="O47" s="54"/>
      <c r="P47" s="136"/>
      <c r="Q47" s="54"/>
    </row>
    <row r="48" spans="3:17">
      <c r="C48" s="54"/>
      <c r="D48" s="136"/>
      <c r="E48" s="54"/>
      <c r="F48" s="136"/>
      <c r="G48" s="54"/>
      <c r="H48" s="136"/>
      <c r="I48" s="54"/>
      <c r="J48" s="136"/>
      <c r="K48" s="54"/>
      <c r="L48" s="136"/>
      <c r="M48" s="54"/>
      <c r="N48" s="136"/>
      <c r="O48" s="54"/>
      <c r="P48" s="136"/>
      <c r="Q48" s="54"/>
    </row>
    <row r="49" spans="3:17">
      <c r="C49" s="54"/>
      <c r="D49" s="136"/>
      <c r="E49" s="54"/>
      <c r="F49" s="136"/>
      <c r="G49" s="54"/>
      <c r="H49" s="136"/>
      <c r="I49" s="54"/>
      <c r="J49" s="136"/>
      <c r="K49" s="54"/>
      <c r="L49" s="136"/>
      <c r="M49" s="54"/>
      <c r="N49" s="136"/>
      <c r="O49" s="54"/>
      <c r="P49" s="136"/>
      <c r="Q49" s="54"/>
    </row>
    <row r="50" spans="3:17">
      <c r="C50" s="54"/>
      <c r="D50" s="136"/>
      <c r="E50" s="54"/>
      <c r="F50" s="136"/>
      <c r="G50" s="54"/>
      <c r="H50" s="136"/>
      <c r="I50" s="54"/>
      <c r="J50" s="136"/>
      <c r="K50" s="54"/>
      <c r="L50" s="136"/>
      <c r="M50" s="54"/>
      <c r="N50" s="136"/>
      <c r="O50" s="54"/>
      <c r="P50" s="136"/>
      <c r="Q50" s="54"/>
    </row>
    <row r="51" spans="3:17">
      <c r="C51" s="54"/>
      <c r="D51" s="136"/>
      <c r="E51" s="54"/>
      <c r="F51" s="136"/>
      <c r="G51" s="54"/>
      <c r="H51" s="136"/>
      <c r="I51" s="54"/>
      <c r="J51" s="136"/>
      <c r="K51" s="54"/>
      <c r="L51" s="136"/>
      <c r="M51" s="54"/>
      <c r="N51" s="136"/>
      <c r="O51" s="54"/>
      <c r="P51" s="136"/>
      <c r="Q51" s="54"/>
    </row>
  </sheetData>
  <mergeCells count="1">
    <mergeCell ref="C2:Q2"/>
  </mergeCells>
  <printOptions horizontalCentered="1"/>
  <pageMargins left="0.70866141732283472" right="0.70866141732283472" top="0.35433070866141736" bottom="0.35433070866141736" header="0.31496062992125984" footer="0.31496062992125984"/>
  <pageSetup paperSize="9" scale="79" orientation="portrait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C3:K34"/>
  <sheetViews>
    <sheetView showGridLines="0" workbookViewId="0">
      <selection activeCell="B1" sqref="B1"/>
    </sheetView>
  </sheetViews>
  <sheetFormatPr defaultRowHeight="14.25"/>
  <cols>
    <col min="2" max="2" width="1.75" customWidth="1"/>
    <col min="3" max="3" width="12.75" customWidth="1"/>
    <col min="4" max="4" width="1.75" customWidth="1"/>
    <col min="5" max="5" width="35.75" customWidth="1"/>
    <col min="6" max="6" width="1.75" customWidth="1"/>
    <col min="7" max="7" width="12.75" customWidth="1"/>
    <col min="8" max="8" width="1.75" customWidth="1"/>
    <col min="9" max="9" width="12.75" customWidth="1"/>
    <col min="10" max="10" width="1.75" customWidth="1"/>
    <col min="11" max="11" width="12.75" customWidth="1"/>
    <col min="12" max="12" width="1.75" customWidth="1"/>
  </cols>
  <sheetData>
    <row r="3" spans="3:11" ht="24.95" customHeight="1">
      <c r="C3" s="52" t="s">
        <v>233</v>
      </c>
      <c r="D3" s="55"/>
      <c r="E3" s="52" t="s">
        <v>234</v>
      </c>
      <c r="F3" s="136"/>
      <c r="G3" s="52" t="s">
        <v>235</v>
      </c>
      <c r="H3" s="55"/>
      <c r="I3" s="52" t="s">
        <v>236</v>
      </c>
      <c r="J3" s="136"/>
      <c r="K3" s="52" t="s">
        <v>237</v>
      </c>
    </row>
    <row r="4" spans="3:11" ht="24.95" customHeight="1">
      <c r="C4" s="52"/>
      <c r="D4" s="55"/>
      <c r="E4" s="52"/>
      <c r="F4" s="136"/>
      <c r="G4" s="52"/>
      <c r="H4" s="55"/>
      <c r="I4" s="52"/>
      <c r="J4" s="136"/>
      <c r="K4" s="52"/>
    </row>
    <row r="5" spans="3:11" ht="24.95" customHeight="1">
      <c r="C5" s="54"/>
      <c r="D5" s="56"/>
      <c r="E5" s="54"/>
      <c r="F5" s="136"/>
      <c r="G5" s="54"/>
      <c r="H5" s="56"/>
      <c r="I5" s="54"/>
      <c r="J5" s="136"/>
      <c r="K5" s="54"/>
    </row>
    <row r="6" spans="3:11" ht="24.95" customHeight="1">
      <c r="C6" s="54"/>
      <c r="D6" s="56"/>
      <c r="E6" s="54"/>
      <c r="F6" s="136"/>
      <c r="G6" s="54"/>
      <c r="H6" s="56"/>
      <c r="I6" s="54"/>
      <c r="J6" s="136"/>
      <c r="K6" s="54"/>
    </row>
    <row r="7" spans="3:11" ht="24.95" customHeight="1">
      <c r="C7" s="54"/>
      <c r="D7" s="56"/>
      <c r="E7" s="54"/>
      <c r="F7" s="136"/>
      <c r="G7" s="54"/>
      <c r="H7" s="56"/>
      <c r="I7" s="54"/>
      <c r="J7" s="136"/>
      <c r="K7" s="54"/>
    </row>
    <row r="8" spans="3:11" ht="24.95" customHeight="1">
      <c r="C8" s="54"/>
      <c r="D8" s="56"/>
      <c r="E8" s="54"/>
      <c r="F8" s="136"/>
      <c r="G8" s="54"/>
      <c r="H8" s="56"/>
      <c r="I8" s="54"/>
      <c r="J8" s="136"/>
      <c r="K8" s="54"/>
    </row>
    <row r="9" spans="3:11" ht="24.95" customHeight="1">
      <c r="C9" s="54"/>
      <c r="D9" s="56"/>
      <c r="E9" s="54"/>
      <c r="F9" s="136"/>
      <c r="G9" s="54"/>
      <c r="H9" s="56"/>
      <c r="I9" s="54"/>
      <c r="J9" s="136"/>
      <c r="K9" s="54"/>
    </row>
    <row r="10" spans="3:11" ht="24.95" customHeight="1">
      <c r="C10" s="54"/>
      <c r="D10" s="56"/>
      <c r="E10" s="54"/>
      <c r="F10" s="136"/>
      <c r="G10" s="54"/>
      <c r="H10" s="56"/>
      <c r="I10" s="54"/>
      <c r="J10" s="136"/>
      <c r="K10" s="54"/>
    </row>
    <row r="11" spans="3:11" ht="24.95" customHeight="1">
      <c r="C11" s="54"/>
      <c r="D11" s="56"/>
      <c r="E11" s="54"/>
      <c r="F11" s="136"/>
      <c r="G11" s="54"/>
      <c r="H11" s="56"/>
      <c r="I11" s="54"/>
      <c r="J11" s="136"/>
      <c r="K11" s="54"/>
    </row>
    <row r="12" spans="3:11" ht="24.95" customHeight="1">
      <c r="C12" s="54"/>
      <c r="D12" s="56"/>
      <c r="E12" s="54"/>
      <c r="F12" s="136"/>
      <c r="G12" s="54"/>
      <c r="H12" s="56"/>
      <c r="I12" s="54"/>
      <c r="J12" s="136"/>
      <c r="K12" s="54"/>
    </row>
    <row r="13" spans="3:11" ht="24.95" customHeight="1">
      <c r="C13" s="54"/>
      <c r="D13" s="56"/>
      <c r="E13" s="54"/>
      <c r="F13" s="136"/>
      <c r="G13" s="54"/>
      <c r="H13" s="56"/>
      <c r="I13" s="54"/>
      <c r="J13" s="136"/>
      <c r="K13" s="54"/>
    </row>
    <row r="14" spans="3:11" ht="24.95" customHeight="1">
      <c r="C14" s="54"/>
      <c r="D14" s="56"/>
      <c r="E14" s="54"/>
      <c r="F14" s="136"/>
      <c r="G14" s="54"/>
      <c r="H14" s="56"/>
      <c r="I14" s="54"/>
      <c r="J14" s="136"/>
      <c r="K14" s="54"/>
    </row>
    <row r="15" spans="3:11" ht="24.95" customHeight="1">
      <c r="C15" s="54"/>
      <c r="D15" s="56"/>
      <c r="E15" s="54"/>
      <c r="F15" s="136"/>
      <c r="G15" s="54"/>
      <c r="H15" s="56"/>
      <c r="I15" s="54"/>
      <c r="J15" s="136"/>
      <c r="K15" s="54"/>
    </row>
    <row r="16" spans="3:11" ht="24.95" customHeight="1">
      <c r="C16" s="54"/>
      <c r="D16" s="56"/>
      <c r="E16" s="54"/>
      <c r="F16" s="136"/>
      <c r="G16" s="54"/>
      <c r="H16" s="56"/>
      <c r="I16" s="54"/>
      <c r="J16" s="136"/>
      <c r="K16" s="54"/>
    </row>
    <row r="17" spans="3:11" ht="24.95" customHeight="1">
      <c r="C17" s="54"/>
      <c r="D17" s="56"/>
      <c r="E17" s="54"/>
      <c r="F17" s="136"/>
      <c r="G17" s="54"/>
      <c r="H17" s="56"/>
      <c r="I17" s="54"/>
      <c r="J17" s="136"/>
      <c r="K17" s="54"/>
    </row>
    <row r="18" spans="3:11" ht="24.95" customHeight="1">
      <c r="C18" s="54"/>
      <c r="D18" s="56"/>
      <c r="E18" s="54"/>
      <c r="F18" s="136"/>
      <c r="G18" s="54"/>
      <c r="H18" s="56"/>
      <c r="I18" s="54"/>
      <c r="J18" s="136"/>
      <c r="K18" s="54"/>
    </row>
    <row r="19" spans="3:11" ht="24.95" customHeight="1">
      <c r="C19" s="54"/>
      <c r="D19" s="56"/>
      <c r="E19" s="54"/>
      <c r="F19" s="136"/>
      <c r="G19" s="54"/>
      <c r="H19" s="56"/>
      <c r="I19" s="54"/>
      <c r="J19" s="136"/>
      <c r="K19" s="54"/>
    </row>
    <row r="20" spans="3:11" ht="24.95" customHeight="1">
      <c r="C20" s="54"/>
      <c r="D20" s="56"/>
      <c r="E20" s="54"/>
      <c r="F20" s="136"/>
      <c r="G20" s="54"/>
      <c r="H20" s="56"/>
      <c r="I20" s="54"/>
      <c r="J20" s="136"/>
      <c r="K20" s="54"/>
    </row>
    <row r="21" spans="3:11" ht="24.95" customHeight="1">
      <c r="C21" s="54"/>
      <c r="D21" s="56"/>
      <c r="E21" s="54"/>
      <c r="F21" s="136"/>
      <c r="G21" s="54"/>
      <c r="H21" s="56"/>
      <c r="I21" s="54"/>
      <c r="J21" s="136"/>
      <c r="K21" s="54"/>
    </row>
    <row r="22" spans="3:11" ht="24.95" customHeight="1">
      <c r="C22" s="54"/>
      <c r="D22" s="56"/>
      <c r="E22" s="54"/>
      <c r="F22" s="136"/>
      <c r="G22" s="54"/>
      <c r="H22" s="56"/>
      <c r="I22" s="54"/>
      <c r="J22" s="136"/>
      <c r="K22" s="54"/>
    </row>
    <row r="23" spans="3:11" ht="24.95" customHeight="1">
      <c r="C23" s="54"/>
      <c r="D23" s="56"/>
      <c r="E23" s="54"/>
      <c r="F23" s="136"/>
      <c r="G23" s="54"/>
      <c r="H23" s="56"/>
      <c r="I23" s="54"/>
      <c r="J23" s="136"/>
      <c r="K23" s="54"/>
    </row>
    <row r="24" spans="3:11" ht="24.95" customHeight="1">
      <c r="C24" s="54"/>
      <c r="D24" s="56"/>
      <c r="E24" s="54"/>
      <c r="F24" s="136"/>
      <c r="G24" s="54"/>
      <c r="H24" s="56"/>
      <c r="I24" s="54"/>
      <c r="J24" s="136"/>
      <c r="K24" s="54"/>
    </row>
    <row r="25" spans="3:11" ht="24.95" customHeight="1">
      <c r="C25" s="54"/>
      <c r="D25" s="56"/>
      <c r="E25" s="54"/>
      <c r="F25" s="136"/>
      <c r="G25" s="54"/>
      <c r="H25" s="56"/>
      <c r="I25" s="54"/>
      <c r="J25" s="136"/>
      <c r="K25" s="54"/>
    </row>
    <row r="26" spans="3:11" ht="24.95" customHeight="1">
      <c r="C26" s="54"/>
      <c r="D26" s="56"/>
      <c r="E26" s="54"/>
      <c r="F26" s="136"/>
      <c r="G26" s="54"/>
      <c r="H26" s="56"/>
      <c r="I26" s="54"/>
      <c r="J26" s="136"/>
      <c r="K26" s="54"/>
    </row>
    <row r="27" spans="3:11" ht="24.95" customHeight="1">
      <c r="C27" s="54"/>
      <c r="D27" s="56"/>
      <c r="E27" s="54"/>
      <c r="F27" s="136"/>
      <c r="G27" s="54"/>
      <c r="H27" s="56"/>
      <c r="I27" s="54"/>
      <c r="J27" s="136"/>
      <c r="K27" s="54"/>
    </row>
    <row r="28" spans="3:11" ht="24.95" customHeight="1">
      <c r="C28" s="54"/>
      <c r="D28" s="56"/>
      <c r="E28" s="54"/>
      <c r="F28" s="136"/>
      <c r="G28" s="54"/>
      <c r="H28" s="56"/>
      <c r="I28" s="54"/>
      <c r="J28" s="136"/>
      <c r="K28" s="54"/>
    </row>
    <row r="29" spans="3:11" ht="24.95" customHeight="1">
      <c r="C29" s="54"/>
      <c r="D29" s="56"/>
      <c r="E29" s="54"/>
      <c r="F29" s="136"/>
      <c r="G29" s="54"/>
      <c r="H29" s="56"/>
      <c r="I29" s="54"/>
      <c r="J29" s="136"/>
      <c r="K29" s="54"/>
    </row>
    <row r="30" spans="3:11" ht="24.95" customHeight="1">
      <c r="C30" s="54"/>
      <c r="D30" s="56"/>
      <c r="E30" s="54"/>
      <c r="F30" s="136"/>
      <c r="G30" s="54"/>
      <c r="H30" s="56"/>
      <c r="I30" s="54"/>
      <c r="J30" s="136"/>
      <c r="K30" s="54"/>
    </row>
    <row r="31" spans="3:11" ht="24.95" customHeight="1">
      <c r="C31" s="54"/>
      <c r="D31" s="56"/>
      <c r="E31" s="54"/>
      <c r="F31" s="136"/>
      <c r="G31" s="54"/>
      <c r="H31" s="56"/>
      <c r="I31" s="54"/>
      <c r="J31" s="136"/>
      <c r="K31" s="54"/>
    </row>
    <row r="32" spans="3:11" ht="24.95" customHeight="1">
      <c r="C32" s="54"/>
      <c r="D32" s="56"/>
      <c r="E32" s="54"/>
      <c r="F32" s="136"/>
      <c r="G32" s="54"/>
      <c r="H32" s="56"/>
      <c r="I32" s="54"/>
      <c r="J32" s="136"/>
      <c r="K32" s="54"/>
    </row>
    <row r="33" spans="3:11" ht="24.95" customHeight="1">
      <c r="C33" s="54"/>
      <c r="D33" s="56"/>
      <c r="E33" s="54"/>
      <c r="F33" s="136"/>
      <c r="G33" s="54"/>
      <c r="H33" s="56"/>
      <c r="I33" s="54"/>
      <c r="J33" s="136"/>
      <c r="K33" s="54"/>
    </row>
    <row r="34" spans="3:11" ht="24.95" customHeight="1">
      <c r="C34" s="54"/>
      <c r="D34" s="56"/>
      <c r="E34" s="54"/>
      <c r="F34" s="136"/>
      <c r="G34" s="54"/>
      <c r="H34" s="56"/>
      <c r="I34" s="54"/>
      <c r="J34" s="136"/>
      <c r="K34" s="54"/>
    </row>
  </sheetData>
  <pageMargins left="0.70866141732283472" right="0.70866141732283472" top="0.74803149606299213" bottom="0.74803149606299213" header="0.31496062992125984" footer="0.31496062992125984"/>
  <pageSetup paperSize="9" scale="60" orientation="landscape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C3:I34"/>
  <sheetViews>
    <sheetView showGridLines="0" workbookViewId="0">
      <selection activeCell="B1" sqref="B1"/>
    </sheetView>
  </sheetViews>
  <sheetFormatPr defaultRowHeight="14.25"/>
  <cols>
    <col min="2" max="2" width="1.75" customWidth="1"/>
    <col min="3" max="3" width="15.75" customWidth="1"/>
    <col min="4" max="4" width="1.75" customWidth="1"/>
    <col min="5" max="5" width="15.75" customWidth="1"/>
    <col min="6" max="6" width="1.75" customWidth="1"/>
    <col min="7" max="7" width="15.75" customWidth="1"/>
    <col min="8" max="8" width="1.75" customWidth="1"/>
    <col min="9" max="9" width="20.75" customWidth="1"/>
  </cols>
  <sheetData>
    <row r="3" spans="3:9" ht="24.95" customHeight="1">
      <c r="C3" s="52" t="s">
        <v>233</v>
      </c>
      <c r="D3" s="55"/>
      <c r="E3" s="52" t="s">
        <v>238</v>
      </c>
      <c r="F3" s="136"/>
      <c r="G3" s="52" t="s">
        <v>235</v>
      </c>
      <c r="H3" s="136"/>
      <c r="I3" s="52" t="s">
        <v>239</v>
      </c>
    </row>
    <row r="4" spans="3:9" ht="24.95" customHeight="1">
      <c r="C4" s="52"/>
      <c r="D4" s="55"/>
      <c r="E4" s="52"/>
      <c r="F4" s="136"/>
      <c r="G4" s="52"/>
      <c r="H4" s="136"/>
      <c r="I4" s="52"/>
    </row>
    <row r="5" spans="3:9" ht="24.95" customHeight="1">
      <c r="C5" s="54"/>
      <c r="D5" s="56"/>
      <c r="E5" s="54"/>
      <c r="F5" s="136"/>
      <c r="G5" s="54"/>
      <c r="H5" s="136"/>
      <c r="I5" s="54"/>
    </row>
    <row r="6" spans="3:9" ht="24.95" customHeight="1">
      <c r="C6" s="54"/>
      <c r="D6" s="56"/>
      <c r="E6" s="54"/>
      <c r="F6" s="136"/>
      <c r="G6" s="54"/>
      <c r="H6" s="136"/>
      <c r="I6" s="54"/>
    </row>
    <row r="7" spans="3:9" ht="24.95" customHeight="1">
      <c r="C7" s="54"/>
      <c r="D7" s="56"/>
      <c r="E7" s="54"/>
      <c r="F7" s="136"/>
      <c r="G7" s="54"/>
      <c r="H7" s="136"/>
      <c r="I7" s="54"/>
    </row>
    <row r="8" spans="3:9" ht="24.95" customHeight="1">
      <c r="C8" s="54"/>
      <c r="D8" s="56"/>
      <c r="E8" s="54"/>
      <c r="F8" s="136"/>
      <c r="G8" s="54"/>
      <c r="H8" s="136"/>
      <c r="I8" s="54"/>
    </row>
    <row r="9" spans="3:9" ht="24.95" customHeight="1">
      <c r="C9" s="54"/>
      <c r="D9" s="56"/>
      <c r="E9" s="54"/>
      <c r="F9" s="136"/>
      <c r="G9" s="54"/>
      <c r="H9" s="136"/>
      <c r="I9" s="54"/>
    </row>
    <row r="10" spans="3:9" ht="24.95" customHeight="1">
      <c r="C10" s="54"/>
      <c r="D10" s="56"/>
      <c r="E10" s="54"/>
      <c r="F10" s="136"/>
      <c r="G10" s="54"/>
      <c r="H10" s="136"/>
      <c r="I10" s="54"/>
    </row>
    <row r="11" spans="3:9" ht="24.95" customHeight="1">
      <c r="C11" s="54"/>
      <c r="D11" s="56"/>
      <c r="E11" s="54"/>
      <c r="F11" s="136"/>
      <c r="G11" s="54"/>
      <c r="H11" s="136"/>
      <c r="I11" s="54"/>
    </row>
    <row r="12" spans="3:9" ht="24.95" customHeight="1">
      <c r="C12" s="54"/>
      <c r="D12" s="56"/>
      <c r="E12" s="54"/>
      <c r="F12" s="136"/>
      <c r="G12" s="54"/>
      <c r="H12" s="136"/>
      <c r="I12" s="54"/>
    </row>
    <row r="13" spans="3:9" ht="24.95" customHeight="1">
      <c r="C13" s="54"/>
      <c r="D13" s="56"/>
      <c r="E13" s="54"/>
      <c r="F13" s="136"/>
      <c r="G13" s="54"/>
      <c r="H13" s="136"/>
      <c r="I13" s="54"/>
    </row>
    <row r="14" spans="3:9" ht="24.95" customHeight="1">
      <c r="C14" s="54"/>
      <c r="D14" s="56"/>
      <c r="E14" s="54"/>
      <c r="F14" s="136"/>
      <c r="G14" s="54"/>
      <c r="H14" s="136"/>
      <c r="I14" s="54"/>
    </row>
    <row r="15" spans="3:9" ht="24.95" customHeight="1">
      <c r="C15" s="54"/>
      <c r="D15" s="56"/>
      <c r="E15" s="54"/>
      <c r="F15" s="136"/>
      <c r="G15" s="54"/>
      <c r="H15" s="136"/>
      <c r="I15" s="54"/>
    </row>
    <row r="16" spans="3:9" ht="24.95" customHeight="1">
      <c r="C16" s="54"/>
      <c r="D16" s="56"/>
      <c r="E16" s="54"/>
      <c r="F16" s="136"/>
      <c r="G16" s="54"/>
      <c r="H16" s="136"/>
      <c r="I16" s="54"/>
    </row>
    <row r="17" spans="3:9" ht="24.95" customHeight="1">
      <c r="C17" s="54"/>
      <c r="D17" s="56"/>
      <c r="E17" s="54"/>
      <c r="F17" s="136"/>
      <c r="G17" s="54"/>
      <c r="H17" s="136"/>
      <c r="I17" s="54"/>
    </row>
    <row r="18" spans="3:9" ht="24.95" customHeight="1">
      <c r="C18" s="54"/>
      <c r="D18" s="56"/>
      <c r="E18" s="54"/>
      <c r="F18" s="136"/>
      <c r="G18" s="54"/>
      <c r="H18" s="136"/>
      <c r="I18" s="54"/>
    </row>
    <row r="19" spans="3:9" ht="24.95" customHeight="1">
      <c r="C19" s="54"/>
      <c r="D19" s="56"/>
      <c r="E19" s="54"/>
      <c r="F19" s="136"/>
      <c r="G19" s="54"/>
      <c r="H19" s="136"/>
      <c r="I19" s="54"/>
    </row>
    <row r="20" spans="3:9" ht="24.95" customHeight="1">
      <c r="C20" s="54"/>
      <c r="D20" s="56"/>
      <c r="E20" s="54"/>
      <c r="F20" s="136"/>
      <c r="G20" s="54"/>
      <c r="H20" s="136"/>
      <c r="I20" s="54"/>
    </row>
    <row r="21" spans="3:9" ht="24.95" customHeight="1">
      <c r="C21" s="54"/>
      <c r="D21" s="56"/>
      <c r="E21" s="54"/>
      <c r="F21" s="136"/>
      <c r="G21" s="54"/>
      <c r="H21" s="136"/>
      <c r="I21" s="54"/>
    </row>
    <row r="22" spans="3:9" ht="24.95" customHeight="1">
      <c r="C22" s="54"/>
      <c r="D22" s="56"/>
      <c r="E22" s="54"/>
      <c r="F22" s="136"/>
      <c r="G22" s="54"/>
      <c r="H22" s="136"/>
      <c r="I22" s="54"/>
    </row>
    <row r="23" spans="3:9" ht="24.95" customHeight="1">
      <c r="C23" s="54"/>
      <c r="D23" s="56"/>
      <c r="E23" s="54"/>
      <c r="F23" s="136"/>
      <c r="G23" s="54"/>
      <c r="H23" s="136"/>
      <c r="I23" s="54"/>
    </row>
    <row r="24" spans="3:9" ht="24.95" customHeight="1">
      <c r="C24" s="54"/>
      <c r="D24" s="56"/>
      <c r="E24" s="54"/>
      <c r="F24" s="136"/>
      <c r="G24" s="54"/>
      <c r="H24" s="136"/>
      <c r="I24" s="54"/>
    </row>
    <row r="25" spans="3:9" ht="24.95" customHeight="1">
      <c r="C25" s="54"/>
      <c r="D25" s="56"/>
      <c r="E25" s="54"/>
      <c r="F25" s="136"/>
      <c r="G25" s="54"/>
      <c r="H25" s="136"/>
      <c r="I25" s="54"/>
    </row>
    <row r="26" spans="3:9" ht="24.95" customHeight="1">
      <c r="C26" s="54"/>
      <c r="D26" s="56"/>
      <c r="E26" s="54"/>
      <c r="F26" s="136"/>
      <c r="G26" s="54"/>
      <c r="H26" s="136"/>
      <c r="I26" s="54"/>
    </row>
    <row r="27" spans="3:9" ht="24.95" customHeight="1">
      <c r="C27" s="54"/>
      <c r="D27" s="56"/>
      <c r="E27" s="54"/>
      <c r="F27" s="136"/>
      <c r="G27" s="54"/>
      <c r="H27" s="136"/>
      <c r="I27" s="54"/>
    </row>
    <row r="28" spans="3:9" ht="24.95" customHeight="1">
      <c r="C28" s="54"/>
      <c r="D28" s="56"/>
      <c r="E28" s="54"/>
      <c r="F28" s="136"/>
      <c r="G28" s="54"/>
      <c r="H28" s="136"/>
      <c r="I28" s="54"/>
    </row>
    <row r="29" spans="3:9" ht="24.95" customHeight="1">
      <c r="C29" s="54"/>
      <c r="D29" s="56"/>
      <c r="E29" s="54"/>
      <c r="F29" s="136"/>
      <c r="G29" s="54"/>
      <c r="H29" s="136"/>
      <c r="I29" s="54"/>
    </row>
    <row r="30" spans="3:9" ht="24.95" customHeight="1">
      <c r="C30" s="54"/>
      <c r="D30" s="56"/>
      <c r="E30" s="54"/>
      <c r="F30" s="136"/>
      <c r="G30" s="54"/>
      <c r="H30" s="136"/>
      <c r="I30" s="54"/>
    </row>
    <row r="31" spans="3:9" ht="24.95" customHeight="1">
      <c r="C31" s="54"/>
      <c r="D31" s="56"/>
      <c r="E31" s="54"/>
      <c r="F31" s="136"/>
      <c r="G31" s="54"/>
      <c r="H31" s="136"/>
      <c r="I31" s="54"/>
    </row>
    <row r="32" spans="3:9" ht="24.95" customHeight="1">
      <c r="C32" s="54"/>
      <c r="D32" s="56"/>
      <c r="E32" s="54"/>
      <c r="F32" s="136"/>
      <c r="G32" s="54"/>
      <c r="H32" s="136"/>
      <c r="I32" s="54"/>
    </row>
    <row r="33" spans="3:9" ht="24.95" customHeight="1">
      <c r="C33" s="54"/>
      <c r="D33" s="56"/>
      <c r="E33" s="54"/>
      <c r="F33" s="136"/>
      <c r="G33" s="54"/>
      <c r="H33" s="136"/>
      <c r="I33" s="54"/>
    </row>
    <row r="34" spans="3:9" ht="24.95" customHeight="1">
      <c r="C34" s="54"/>
      <c r="D34" s="56"/>
      <c r="E34" s="54"/>
      <c r="F34" s="136"/>
      <c r="G34" s="54"/>
      <c r="H34" s="136"/>
      <c r="I34" s="54"/>
    </row>
  </sheetData>
  <pageMargins left="0.70866141732283472" right="0.70866141732283472" top="0.74803149606299213" bottom="0.74803149606299213" header="0.31496062992125984" footer="0.31496062992125984"/>
  <pageSetup paperSize="9" scale="91" orientation="portrait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C50"/>
  <sheetViews>
    <sheetView showGridLines="0" zoomScale="85" zoomScaleNormal="85" workbookViewId="0">
      <pane xSplit="2" ySplit="7" topLeftCell="C32" activePane="bottomRight" state="frozen"/>
      <selection pane="topRight" activeCell="C1" sqref="C1"/>
      <selection pane="bottomLeft" activeCell="A8" sqref="A8"/>
      <selection pane="bottomRight" activeCell="F42" sqref="F42"/>
    </sheetView>
  </sheetViews>
  <sheetFormatPr defaultRowHeight="14.25"/>
  <cols>
    <col min="1" max="1" width="17.5" bestFit="1" customWidth="1"/>
    <col min="2" max="2" width="9" style="83"/>
    <col min="3" max="3" width="9.125" bestFit="1" customWidth="1"/>
    <col min="4" max="4" width="8.5" bestFit="1" customWidth="1"/>
    <col min="5" max="5" width="12.75" bestFit="1" customWidth="1"/>
    <col min="6" max="6" width="9.5" bestFit="1" customWidth="1"/>
    <col min="7" max="7" width="11.375" bestFit="1" customWidth="1"/>
    <col min="8" max="9" width="11.25" bestFit="1" customWidth="1"/>
    <col min="10" max="10" width="9.125" bestFit="1" customWidth="1"/>
    <col min="11" max="11" width="14" bestFit="1" customWidth="1"/>
    <col min="12" max="12" width="17.75" bestFit="1" customWidth="1"/>
    <col min="13" max="13" width="8.375" bestFit="1" customWidth="1"/>
    <col min="14" max="14" width="7.375" bestFit="1" customWidth="1"/>
    <col min="15" max="15" width="7.625" bestFit="1" customWidth="1"/>
    <col min="16" max="16" width="9.125" bestFit="1" customWidth="1"/>
    <col min="17" max="17" width="13.125" bestFit="1" customWidth="1"/>
    <col min="18" max="18" width="16.125" bestFit="1" customWidth="1"/>
    <col min="19" max="19" width="16.125" style="136" customWidth="1"/>
    <col min="20" max="20" width="10.375" bestFit="1" customWidth="1"/>
    <col min="21" max="21" width="12.125" bestFit="1" customWidth="1"/>
    <col min="22" max="22" width="8.125" bestFit="1" customWidth="1"/>
    <col min="23" max="23" width="9.125" bestFit="1" customWidth="1"/>
    <col min="24" max="26" width="9.875" customWidth="1"/>
    <col min="27" max="27" width="14" hidden="1" customWidth="1"/>
    <col min="28" max="28" width="9.625" hidden="1" customWidth="1"/>
    <col min="29" max="29" width="14" hidden="1" customWidth="1"/>
    <col min="30" max="101" width="9.875" customWidth="1"/>
    <col min="102" max="1001" width="10.75" customWidth="1"/>
    <col min="1002" max="10001" width="11.625" customWidth="1"/>
    <col min="10002" max="16384" width="12.5" customWidth="1"/>
  </cols>
  <sheetData>
    <row r="1" spans="1:29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</row>
    <row r="2" spans="1:29">
      <c r="A2" s="136"/>
      <c r="C2" s="84">
        <v>4.5</v>
      </c>
      <c r="D2" s="84">
        <v>2.9</v>
      </c>
      <c r="E2" s="84">
        <v>2.9</v>
      </c>
      <c r="F2" s="84">
        <v>2.9</v>
      </c>
      <c r="G2" s="84">
        <v>2.9</v>
      </c>
      <c r="H2" s="84">
        <v>2.9</v>
      </c>
      <c r="I2" s="84">
        <v>2.9</v>
      </c>
      <c r="J2" s="84">
        <v>2.9</v>
      </c>
      <c r="K2" s="84">
        <v>2.9</v>
      </c>
      <c r="L2" s="84">
        <v>2.9</v>
      </c>
      <c r="M2" s="84">
        <v>2.9</v>
      </c>
      <c r="N2" s="84">
        <v>2.9</v>
      </c>
      <c r="O2" s="84">
        <v>2.9</v>
      </c>
      <c r="P2" s="84">
        <v>2.9</v>
      </c>
      <c r="Q2" s="84">
        <v>2.9</v>
      </c>
      <c r="R2" s="84">
        <v>2.9</v>
      </c>
      <c r="S2" s="84">
        <v>2.9</v>
      </c>
      <c r="T2" s="84">
        <v>2.9</v>
      </c>
      <c r="U2" s="84">
        <v>2.9</v>
      </c>
      <c r="V2" s="84">
        <v>2.9</v>
      </c>
      <c r="W2" s="84">
        <v>2.9</v>
      </c>
      <c r="X2" s="136"/>
      <c r="Y2" s="136"/>
      <c r="Z2" s="136"/>
      <c r="AA2" s="136"/>
      <c r="AB2" s="136"/>
      <c r="AC2" s="136"/>
    </row>
    <row r="3" spans="1:29" ht="15">
      <c r="A3" s="85" t="s">
        <v>240</v>
      </c>
      <c r="C3" s="84">
        <f t="shared" ref="C3:W3" si="0">SUM(C8:C112)</f>
        <v>3</v>
      </c>
      <c r="D3" s="84">
        <f t="shared" si="0"/>
        <v>1</v>
      </c>
      <c r="E3" s="84">
        <f t="shared" si="0"/>
        <v>1</v>
      </c>
      <c r="F3" s="84">
        <f t="shared" si="0"/>
        <v>3</v>
      </c>
      <c r="G3" s="84">
        <f t="shared" si="0"/>
        <v>0</v>
      </c>
      <c r="H3" s="84">
        <f t="shared" si="0"/>
        <v>0</v>
      </c>
      <c r="I3" s="84">
        <f t="shared" si="0"/>
        <v>2</v>
      </c>
      <c r="J3" s="84">
        <f t="shared" si="0"/>
        <v>29</v>
      </c>
      <c r="K3" s="84">
        <f t="shared" si="0"/>
        <v>0</v>
      </c>
      <c r="L3" s="84">
        <f t="shared" si="0"/>
        <v>0</v>
      </c>
      <c r="M3" s="84">
        <f t="shared" si="0"/>
        <v>0</v>
      </c>
      <c r="N3" s="84">
        <f t="shared" si="0"/>
        <v>0</v>
      </c>
      <c r="O3" s="84">
        <f t="shared" si="0"/>
        <v>0</v>
      </c>
      <c r="P3" s="84">
        <f t="shared" si="0"/>
        <v>21</v>
      </c>
      <c r="Q3" s="84">
        <f t="shared" si="0"/>
        <v>2</v>
      </c>
      <c r="R3" s="84">
        <f t="shared" si="0"/>
        <v>14</v>
      </c>
      <c r="S3" s="84">
        <f t="shared" ref="S3" si="1">SUM(S8:S112)</f>
        <v>1</v>
      </c>
      <c r="T3" s="84">
        <f t="shared" si="0"/>
        <v>0</v>
      </c>
      <c r="U3" s="84">
        <f t="shared" si="0"/>
        <v>7</v>
      </c>
      <c r="V3" s="84">
        <f t="shared" si="0"/>
        <v>4</v>
      </c>
      <c r="W3" s="84">
        <f t="shared" si="0"/>
        <v>17</v>
      </c>
      <c r="X3" s="136"/>
      <c r="Y3" s="136"/>
      <c r="Z3" s="136"/>
      <c r="AA3" s="136"/>
      <c r="AB3" s="136"/>
      <c r="AC3" s="136"/>
    </row>
    <row r="4" spans="1:29">
      <c r="A4" s="136"/>
      <c r="C4" s="86">
        <f t="shared" ref="C4:W4" si="2">C3*C2</f>
        <v>13.5</v>
      </c>
      <c r="D4" s="86">
        <f t="shared" si="2"/>
        <v>2.9</v>
      </c>
      <c r="E4" s="86">
        <f t="shared" si="2"/>
        <v>2.9</v>
      </c>
      <c r="F4" s="86">
        <f t="shared" si="2"/>
        <v>8.6999999999999993</v>
      </c>
      <c r="G4" s="86">
        <f t="shared" si="2"/>
        <v>0</v>
      </c>
      <c r="H4" s="86">
        <f t="shared" si="2"/>
        <v>0</v>
      </c>
      <c r="I4" s="86">
        <f t="shared" si="2"/>
        <v>5.8</v>
      </c>
      <c r="J4" s="86">
        <f t="shared" si="2"/>
        <v>84.1</v>
      </c>
      <c r="K4" s="86">
        <f t="shared" si="2"/>
        <v>0</v>
      </c>
      <c r="L4" s="86">
        <f t="shared" si="2"/>
        <v>0</v>
      </c>
      <c r="M4" s="86">
        <f t="shared" si="2"/>
        <v>0</v>
      </c>
      <c r="N4" s="86">
        <f t="shared" si="2"/>
        <v>0</v>
      </c>
      <c r="O4" s="86">
        <f t="shared" si="2"/>
        <v>0</v>
      </c>
      <c r="P4" s="86">
        <f t="shared" si="2"/>
        <v>60.9</v>
      </c>
      <c r="Q4" s="86">
        <f t="shared" si="2"/>
        <v>5.8</v>
      </c>
      <c r="R4" s="86">
        <f t="shared" si="2"/>
        <v>40.6</v>
      </c>
      <c r="S4" s="86">
        <f t="shared" ref="S4" si="3">S3*S2</f>
        <v>2.9</v>
      </c>
      <c r="T4" s="86">
        <f t="shared" si="2"/>
        <v>0</v>
      </c>
      <c r="U4" s="86">
        <f t="shared" si="2"/>
        <v>20.3</v>
      </c>
      <c r="V4" s="86">
        <f t="shared" si="2"/>
        <v>11.6</v>
      </c>
      <c r="W4" s="86">
        <f t="shared" si="2"/>
        <v>49.3</v>
      </c>
      <c r="X4" s="136"/>
      <c r="Y4" s="136"/>
      <c r="Z4" s="136"/>
      <c r="AA4" s="136"/>
      <c r="AB4" s="136"/>
      <c r="AC4" s="136"/>
    </row>
    <row r="6" spans="1:29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</row>
    <row r="7" spans="1:29" ht="15">
      <c r="A7" s="136"/>
      <c r="C7" s="85" t="s">
        <v>241</v>
      </c>
      <c r="D7" s="85" t="s">
        <v>242</v>
      </c>
      <c r="E7" s="85" t="s">
        <v>243</v>
      </c>
      <c r="F7" s="85" t="s">
        <v>244</v>
      </c>
      <c r="G7" s="85" t="s">
        <v>245</v>
      </c>
      <c r="H7" s="85" t="s">
        <v>246</v>
      </c>
      <c r="I7" s="85" t="s">
        <v>247</v>
      </c>
      <c r="J7" s="85" t="s">
        <v>248</v>
      </c>
      <c r="K7" s="85" t="s">
        <v>249</v>
      </c>
      <c r="L7" s="85" t="s">
        <v>250</v>
      </c>
      <c r="M7" s="85" t="s">
        <v>251</v>
      </c>
      <c r="N7" s="85" t="s">
        <v>252</v>
      </c>
      <c r="O7" s="85" t="s">
        <v>253</v>
      </c>
      <c r="P7" s="85" t="s">
        <v>254</v>
      </c>
      <c r="Q7" s="85" t="s">
        <v>255</v>
      </c>
      <c r="R7" s="85" t="s">
        <v>256</v>
      </c>
      <c r="S7" s="85" t="s">
        <v>555</v>
      </c>
      <c r="T7" s="85" t="s">
        <v>257</v>
      </c>
      <c r="U7" s="85" t="s">
        <v>258</v>
      </c>
      <c r="V7" s="85" t="s">
        <v>259</v>
      </c>
      <c r="W7" s="85" t="s">
        <v>260</v>
      </c>
      <c r="X7" s="85" t="s">
        <v>261</v>
      </c>
      <c r="Y7" s="85" t="s">
        <v>174</v>
      </c>
      <c r="Z7" s="136"/>
      <c r="AA7" s="85" t="s">
        <v>262</v>
      </c>
      <c r="AB7" s="136"/>
      <c r="AC7" s="85" t="s">
        <v>263</v>
      </c>
    </row>
    <row r="8" spans="1:29" ht="15">
      <c r="A8" s="82" t="s">
        <v>264</v>
      </c>
      <c r="B8" s="87"/>
      <c r="C8" s="88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136">
        <f t="shared" ref="X8:X50" si="4">SUBTOTAL(9,C8:W8)</f>
        <v>0</v>
      </c>
      <c r="Y8" s="86">
        <f t="shared" ref="Y8:Y50" si="5">SUMPRODUCT(C8:W8,$C$2:$W$2)</f>
        <v>0</v>
      </c>
      <c r="Z8" s="136"/>
      <c r="AA8" s="89">
        <f>SUM(C4:W4)</f>
        <v>309.3</v>
      </c>
      <c r="AB8" s="136"/>
      <c r="AC8" s="89">
        <v>1000</v>
      </c>
    </row>
    <row r="9" spans="1:29">
      <c r="A9" s="82" t="s">
        <v>265</v>
      </c>
      <c r="B9" s="87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136">
        <f t="shared" si="4"/>
        <v>0</v>
      </c>
      <c r="Y9" s="86">
        <f t="shared" si="5"/>
        <v>0</v>
      </c>
      <c r="Z9" s="136"/>
      <c r="AA9" s="136"/>
      <c r="AB9" s="136"/>
      <c r="AC9" s="136"/>
    </row>
    <row r="10" spans="1:29" ht="15">
      <c r="A10" s="82" t="s">
        <v>34</v>
      </c>
      <c r="B10" s="87"/>
      <c r="C10" s="82"/>
      <c r="D10" s="82"/>
      <c r="E10" s="82"/>
      <c r="F10" s="82"/>
      <c r="G10" s="82"/>
      <c r="H10" s="82"/>
      <c r="I10" s="82"/>
      <c r="J10" s="82">
        <v>1</v>
      </c>
      <c r="K10" s="82"/>
      <c r="L10" s="82"/>
      <c r="M10" s="82"/>
      <c r="N10" s="82"/>
      <c r="O10" s="82"/>
      <c r="P10" s="82">
        <v>1</v>
      </c>
      <c r="Q10" s="82"/>
      <c r="R10" s="82">
        <v>1</v>
      </c>
      <c r="S10" s="82"/>
      <c r="T10" s="82"/>
      <c r="U10" s="82"/>
      <c r="V10" s="82"/>
      <c r="W10" s="82">
        <v>1</v>
      </c>
      <c r="X10" s="136">
        <f t="shared" si="4"/>
        <v>4</v>
      </c>
      <c r="Y10" s="86">
        <f t="shared" si="5"/>
        <v>11.6</v>
      </c>
      <c r="Z10" s="136"/>
      <c r="AA10" s="136"/>
      <c r="AB10" s="90" t="s">
        <v>26</v>
      </c>
      <c r="AC10" s="136"/>
    </row>
    <row r="11" spans="1:29" ht="15">
      <c r="A11" s="82" t="s">
        <v>53</v>
      </c>
      <c r="B11" s="87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136">
        <f t="shared" si="4"/>
        <v>0</v>
      </c>
      <c r="Y11" s="86">
        <f t="shared" si="5"/>
        <v>0</v>
      </c>
      <c r="Z11" s="136"/>
      <c r="AA11" s="136"/>
      <c r="AB11" s="89">
        <f>AC8-AA8</f>
        <v>690.7</v>
      </c>
      <c r="AC11" s="136"/>
    </row>
    <row r="12" spans="1:29">
      <c r="A12" s="82" t="s">
        <v>266</v>
      </c>
      <c r="B12" s="87"/>
      <c r="C12" s="82"/>
      <c r="D12" s="82"/>
      <c r="E12" s="82"/>
      <c r="F12" s="82"/>
      <c r="G12" s="82"/>
      <c r="H12" s="82"/>
      <c r="I12" s="82"/>
      <c r="J12" s="82">
        <v>2</v>
      </c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136">
        <f t="shared" si="4"/>
        <v>2</v>
      </c>
      <c r="Y12" s="86">
        <f t="shared" si="5"/>
        <v>5.8</v>
      </c>
      <c r="Z12" s="136"/>
      <c r="AA12" s="136"/>
      <c r="AB12" s="136"/>
      <c r="AC12" s="136"/>
    </row>
    <row r="13" spans="1:29">
      <c r="A13" s="82" t="s">
        <v>97</v>
      </c>
      <c r="B13" s="87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136">
        <f t="shared" si="4"/>
        <v>0</v>
      </c>
      <c r="Y13" s="86">
        <f t="shared" si="5"/>
        <v>0</v>
      </c>
      <c r="Z13" s="136"/>
      <c r="AA13" s="136"/>
      <c r="AB13" s="136"/>
      <c r="AC13" s="136"/>
    </row>
    <row r="14" spans="1:29">
      <c r="A14" s="82" t="s">
        <v>267</v>
      </c>
      <c r="B14" s="87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136">
        <f t="shared" si="4"/>
        <v>0</v>
      </c>
      <c r="Y14" s="86">
        <f t="shared" si="5"/>
        <v>0</v>
      </c>
      <c r="Z14" s="136"/>
      <c r="AA14" s="136"/>
      <c r="AB14" s="136"/>
      <c r="AC14" s="136"/>
    </row>
    <row r="15" spans="1:29">
      <c r="A15" s="82" t="s">
        <v>23</v>
      </c>
      <c r="B15" s="87"/>
      <c r="C15" s="82">
        <v>1</v>
      </c>
      <c r="D15" s="82"/>
      <c r="E15" s="82"/>
      <c r="F15" s="82"/>
      <c r="G15" s="82"/>
      <c r="H15" s="82"/>
      <c r="I15" s="82"/>
      <c r="J15" s="82">
        <v>1</v>
      </c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136">
        <f t="shared" si="4"/>
        <v>2</v>
      </c>
      <c r="Y15" s="86">
        <f t="shared" si="5"/>
        <v>7.4</v>
      </c>
      <c r="Z15" s="136"/>
      <c r="AA15" s="136"/>
      <c r="AB15" s="136"/>
      <c r="AC15" s="136"/>
    </row>
    <row r="16" spans="1:29">
      <c r="A16" s="82" t="s">
        <v>98</v>
      </c>
      <c r="B16" s="87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136">
        <f t="shared" si="4"/>
        <v>0</v>
      </c>
      <c r="Y16" s="86">
        <f t="shared" si="5"/>
        <v>0</v>
      </c>
      <c r="Z16" s="136"/>
      <c r="AA16" s="136"/>
      <c r="AB16" s="136"/>
      <c r="AC16" s="136"/>
    </row>
    <row r="17" spans="1:25">
      <c r="A17" s="82" t="s">
        <v>54</v>
      </c>
      <c r="B17" s="87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136">
        <f t="shared" si="4"/>
        <v>0</v>
      </c>
      <c r="Y17" s="86">
        <f t="shared" si="5"/>
        <v>0</v>
      </c>
    </row>
    <row r="18" spans="1:25">
      <c r="A18" s="82" t="s">
        <v>31</v>
      </c>
      <c r="B18" s="87"/>
      <c r="C18" s="82"/>
      <c r="D18" s="82"/>
      <c r="E18" s="82"/>
      <c r="F18" s="82"/>
      <c r="G18" s="82"/>
      <c r="H18" s="82"/>
      <c r="I18" s="82"/>
      <c r="J18" s="82">
        <v>1</v>
      </c>
      <c r="K18" s="82"/>
      <c r="L18" s="82"/>
      <c r="M18" s="82"/>
      <c r="N18" s="82"/>
      <c r="O18" s="82"/>
      <c r="P18" s="82">
        <v>1</v>
      </c>
      <c r="Q18" s="82"/>
      <c r="R18" s="82">
        <v>1</v>
      </c>
      <c r="S18" s="82"/>
      <c r="T18" s="82"/>
      <c r="U18" s="82"/>
      <c r="V18" s="82"/>
      <c r="W18" s="82">
        <v>1</v>
      </c>
      <c r="X18" s="136">
        <f t="shared" si="4"/>
        <v>4</v>
      </c>
      <c r="Y18" s="86">
        <f t="shared" si="5"/>
        <v>11.6</v>
      </c>
    </row>
    <row r="19" spans="1:25">
      <c r="A19" s="82" t="s">
        <v>126</v>
      </c>
      <c r="B19" s="87"/>
      <c r="C19" s="82"/>
      <c r="D19" s="82"/>
      <c r="E19" s="82"/>
      <c r="F19" s="82"/>
      <c r="G19" s="82"/>
      <c r="H19" s="82"/>
      <c r="I19" s="82"/>
      <c r="J19" s="82">
        <v>1</v>
      </c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136">
        <f t="shared" si="4"/>
        <v>1</v>
      </c>
      <c r="Y19" s="86">
        <f t="shared" si="5"/>
        <v>2.9</v>
      </c>
    </row>
    <row r="20" spans="1:25">
      <c r="A20" s="82" t="s">
        <v>268</v>
      </c>
      <c r="B20" s="87"/>
      <c r="C20" s="82"/>
      <c r="D20" s="82"/>
      <c r="E20" s="82"/>
      <c r="F20" s="82"/>
      <c r="G20" s="82"/>
      <c r="H20" s="82"/>
      <c r="I20" s="82"/>
      <c r="J20" s="82">
        <v>1</v>
      </c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136">
        <f t="shared" si="4"/>
        <v>1</v>
      </c>
      <c r="Y20" s="86">
        <f t="shared" si="5"/>
        <v>2.9</v>
      </c>
    </row>
    <row r="21" spans="1:25">
      <c r="A21" s="82" t="s">
        <v>269</v>
      </c>
      <c r="B21" s="87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136">
        <f t="shared" si="4"/>
        <v>0</v>
      </c>
      <c r="Y21" s="86">
        <f t="shared" si="5"/>
        <v>0</v>
      </c>
    </row>
    <row r="22" spans="1:25">
      <c r="A22" s="82" t="s">
        <v>100</v>
      </c>
      <c r="B22" s="87"/>
      <c r="C22" s="82"/>
      <c r="D22" s="82"/>
      <c r="E22" s="82"/>
      <c r="F22" s="82"/>
      <c r="G22" s="82"/>
      <c r="H22" s="82"/>
      <c r="I22" s="82"/>
      <c r="J22" s="82">
        <v>1</v>
      </c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136">
        <f t="shared" si="4"/>
        <v>1</v>
      </c>
      <c r="Y22" s="86">
        <f t="shared" si="5"/>
        <v>2.9</v>
      </c>
    </row>
    <row r="23" spans="1:25">
      <c r="A23" s="82" t="s">
        <v>270</v>
      </c>
      <c r="B23" s="87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>
        <v>1</v>
      </c>
      <c r="Q23" s="82"/>
      <c r="R23" s="82"/>
      <c r="S23" s="82"/>
      <c r="T23" s="82"/>
      <c r="U23" s="82"/>
      <c r="V23" s="82"/>
      <c r="W23" s="82">
        <v>2</v>
      </c>
      <c r="X23" s="136">
        <f t="shared" si="4"/>
        <v>3</v>
      </c>
      <c r="Y23" s="86">
        <f t="shared" si="5"/>
        <v>8.6999999999999993</v>
      </c>
    </row>
    <row r="24" spans="1:25">
      <c r="A24" s="82" t="s">
        <v>37</v>
      </c>
      <c r="B24" s="87"/>
      <c r="C24" s="82"/>
      <c r="D24" s="82"/>
      <c r="E24" s="82"/>
      <c r="F24" s="82"/>
      <c r="G24" s="82"/>
      <c r="H24" s="82"/>
      <c r="I24" s="82"/>
      <c r="J24" s="82">
        <v>1</v>
      </c>
      <c r="K24" s="82"/>
      <c r="L24" s="82"/>
      <c r="M24" s="82"/>
      <c r="N24" s="82"/>
      <c r="O24" s="82"/>
      <c r="P24" s="82">
        <v>1</v>
      </c>
      <c r="Q24" s="82"/>
      <c r="R24" s="82"/>
      <c r="S24" s="82"/>
      <c r="T24" s="82"/>
      <c r="U24" s="82">
        <v>2</v>
      </c>
      <c r="V24" s="82"/>
      <c r="W24" s="82"/>
      <c r="X24" s="136">
        <f t="shared" si="4"/>
        <v>4</v>
      </c>
      <c r="Y24" s="86">
        <f t="shared" si="5"/>
        <v>11.6</v>
      </c>
    </row>
    <row r="25" spans="1:25">
      <c r="A25" s="82" t="s">
        <v>52</v>
      </c>
      <c r="B25" s="87"/>
      <c r="C25" s="82"/>
      <c r="D25" s="82"/>
      <c r="E25" s="82"/>
      <c r="F25" s="82"/>
      <c r="G25" s="82"/>
      <c r="H25" s="82"/>
      <c r="I25" s="82"/>
      <c r="J25" s="82">
        <v>1</v>
      </c>
      <c r="K25" s="82"/>
      <c r="L25" s="82"/>
      <c r="M25" s="82"/>
      <c r="N25" s="82"/>
      <c r="O25" s="82"/>
      <c r="P25" s="82">
        <v>1</v>
      </c>
      <c r="Q25" s="82"/>
      <c r="R25" s="82"/>
      <c r="S25" s="82"/>
      <c r="T25" s="82"/>
      <c r="U25" s="82">
        <v>1</v>
      </c>
      <c r="V25" s="82"/>
      <c r="W25" s="82">
        <v>1</v>
      </c>
      <c r="X25" s="136">
        <f t="shared" si="4"/>
        <v>4</v>
      </c>
      <c r="Y25" s="86">
        <f t="shared" si="5"/>
        <v>11.6</v>
      </c>
    </row>
    <row r="26" spans="1:25">
      <c r="A26" s="82" t="s">
        <v>38</v>
      </c>
      <c r="B26" s="87"/>
      <c r="C26" s="82"/>
      <c r="D26" s="82"/>
      <c r="E26" s="82"/>
      <c r="F26" s="82"/>
      <c r="G26" s="82"/>
      <c r="H26" s="82"/>
      <c r="I26" s="82"/>
      <c r="J26" s="82">
        <v>1</v>
      </c>
      <c r="K26" s="82"/>
      <c r="L26" s="82"/>
      <c r="M26" s="82"/>
      <c r="N26" s="82"/>
      <c r="O26" s="82"/>
      <c r="P26" s="82"/>
      <c r="Q26" s="82">
        <v>1</v>
      </c>
      <c r="R26" s="82"/>
      <c r="S26" s="82"/>
      <c r="T26" s="82"/>
      <c r="U26" s="82"/>
      <c r="V26" s="82"/>
      <c r="W26" s="82">
        <v>1</v>
      </c>
      <c r="X26" s="136">
        <f t="shared" si="4"/>
        <v>3</v>
      </c>
      <c r="Y26" s="86">
        <f t="shared" si="5"/>
        <v>8.6999999999999993</v>
      </c>
    </row>
    <row r="27" spans="1:25">
      <c r="A27" s="82" t="s">
        <v>271</v>
      </c>
      <c r="B27" s="87"/>
      <c r="C27" s="82"/>
      <c r="D27" s="82"/>
      <c r="E27" s="82"/>
      <c r="F27" s="82"/>
      <c r="G27" s="82"/>
      <c r="H27" s="82"/>
      <c r="I27" s="82"/>
      <c r="J27" s="82">
        <v>1</v>
      </c>
      <c r="K27" s="82"/>
      <c r="L27" s="82"/>
      <c r="M27" s="82"/>
      <c r="N27" s="82"/>
      <c r="O27" s="82"/>
      <c r="P27" s="82">
        <v>1</v>
      </c>
      <c r="Q27" s="82"/>
      <c r="R27" s="82">
        <v>1</v>
      </c>
      <c r="S27" s="82"/>
      <c r="T27" s="82"/>
      <c r="U27" s="82"/>
      <c r="V27" s="82"/>
      <c r="W27" s="82">
        <v>1</v>
      </c>
      <c r="X27" s="136">
        <f t="shared" si="4"/>
        <v>4</v>
      </c>
      <c r="Y27" s="86">
        <f t="shared" si="5"/>
        <v>11.6</v>
      </c>
    </row>
    <row r="28" spans="1:25">
      <c r="A28" s="91" t="s">
        <v>32</v>
      </c>
      <c r="B28" s="87"/>
      <c r="C28" s="82"/>
      <c r="D28" s="82"/>
      <c r="E28" s="82"/>
      <c r="F28" s="82">
        <v>1</v>
      </c>
      <c r="G28" s="82"/>
      <c r="H28" s="82"/>
      <c r="I28" s="82"/>
      <c r="J28" s="82">
        <v>1</v>
      </c>
      <c r="K28" s="82"/>
      <c r="L28" s="82"/>
      <c r="M28" s="82"/>
      <c r="N28" s="82"/>
      <c r="O28" s="82"/>
      <c r="P28" s="82">
        <v>1</v>
      </c>
      <c r="Q28" s="82"/>
      <c r="R28" s="82">
        <v>1</v>
      </c>
      <c r="S28" s="82"/>
      <c r="T28" s="82"/>
      <c r="U28" s="82">
        <v>1</v>
      </c>
      <c r="V28" s="82"/>
      <c r="W28" s="82"/>
      <c r="X28" s="136">
        <f t="shared" si="4"/>
        <v>5</v>
      </c>
      <c r="Y28" s="86">
        <f t="shared" si="5"/>
        <v>14.5</v>
      </c>
    </row>
    <row r="29" spans="1:25">
      <c r="A29" s="82" t="s">
        <v>39</v>
      </c>
      <c r="B29" s="87"/>
      <c r="C29" s="82"/>
      <c r="D29" s="82"/>
      <c r="E29" s="82"/>
      <c r="F29" s="82"/>
      <c r="G29" s="82"/>
      <c r="H29" s="82"/>
      <c r="I29" s="82"/>
      <c r="J29" s="82">
        <v>1</v>
      </c>
      <c r="K29" s="82"/>
      <c r="L29" s="82"/>
      <c r="M29" s="82"/>
      <c r="N29" s="82"/>
      <c r="O29" s="82"/>
      <c r="P29" s="82">
        <v>1</v>
      </c>
      <c r="Q29" s="82"/>
      <c r="R29" s="82">
        <v>1</v>
      </c>
      <c r="S29" s="82"/>
      <c r="T29" s="82"/>
      <c r="U29" s="82"/>
      <c r="V29" s="82"/>
      <c r="W29" s="82">
        <v>1</v>
      </c>
      <c r="X29" s="136">
        <f t="shared" si="4"/>
        <v>4</v>
      </c>
      <c r="Y29" s="86">
        <f t="shared" si="5"/>
        <v>11.6</v>
      </c>
    </row>
    <row r="30" spans="1:25">
      <c r="A30" s="82" t="s">
        <v>25</v>
      </c>
      <c r="B30" s="87"/>
      <c r="C30" s="82"/>
      <c r="D30" s="82"/>
      <c r="E30" s="82"/>
      <c r="F30" s="82"/>
      <c r="G30" s="82"/>
      <c r="H30" s="82"/>
      <c r="I30" s="82"/>
      <c r="J30" s="82">
        <v>1</v>
      </c>
      <c r="K30" s="82"/>
      <c r="L30" s="82"/>
      <c r="M30" s="82"/>
      <c r="N30" s="82"/>
      <c r="O30" s="82"/>
      <c r="P30" s="82">
        <v>1</v>
      </c>
      <c r="Q30" s="82"/>
      <c r="R30" s="82">
        <v>1</v>
      </c>
      <c r="S30" s="82"/>
      <c r="T30" s="82"/>
      <c r="U30" s="82"/>
      <c r="V30" s="82"/>
      <c r="W30" s="82">
        <v>1</v>
      </c>
      <c r="X30" s="136">
        <f t="shared" si="4"/>
        <v>4</v>
      </c>
      <c r="Y30" s="86">
        <f t="shared" si="5"/>
        <v>11.6</v>
      </c>
    </row>
    <row r="31" spans="1:25">
      <c r="A31" s="82" t="s">
        <v>40</v>
      </c>
      <c r="B31" s="87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136">
        <f t="shared" si="4"/>
        <v>0</v>
      </c>
      <c r="Y31" s="86">
        <f t="shared" si="5"/>
        <v>0</v>
      </c>
    </row>
    <row r="32" spans="1:25">
      <c r="A32" s="82" t="s">
        <v>272</v>
      </c>
      <c r="B32" s="87"/>
      <c r="C32" s="82">
        <v>1</v>
      </c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>
        <v>1</v>
      </c>
      <c r="Q32" s="82"/>
      <c r="R32" s="82">
        <v>1</v>
      </c>
      <c r="S32" s="82"/>
      <c r="T32" s="82"/>
      <c r="U32" s="82"/>
      <c r="V32" s="82"/>
      <c r="W32" s="82">
        <v>2</v>
      </c>
      <c r="X32" s="136">
        <f t="shared" si="4"/>
        <v>5</v>
      </c>
      <c r="Y32" s="86">
        <f t="shared" si="5"/>
        <v>16.100000000000001</v>
      </c>
    </row>
    <row r="33" spans="1:25">
      <c r="A33" s="82" t="s">
        <v>273</v>
      </c>
      <c r="B33" s="87"/>
      <c r="C33" s="82"/>
      <c r="D33" s="82"/>
      <c r="E33" s="82"/>
      <c r="F33" s="82"/>
      <c r="G33" s="82"/>
      <c r="H33" s="82"/>
      <c r="I33" s="82"/>
      <c r="J33" s="82">
        <v>1</v>
      </c>
      <c r="K33" s="82"/>
      <c r="L33" s="82"/>
      <c r="M33" s="82"/>
      <c r="N33" s="82"/>
      <c r="O33" s="82"/>
      <c r="P33" s="82">
        <v>2</v>
      </c>
      <c r="Q33" s="82"/>
      <c r="R33" s="82">
        <v>1</v>
      </c>
      <c r="S33" s="82"/>
      <c r="T33" s="82"/>
      <c r="U33" s="82"/>
      <c r="V33" s="82">
        <v>2</v>
      </c>
      <c r="W33" s="82"/>
      <c r="X33" s="136">
        <f t="shared" si="4"/>
        <v>6</v>
      </c>
      <c r="Y33" s="86">
        <f t="shared" si="5"/>
        <v>17.399999999999999</v>
      </c>
    </row>
    <row r="34" spans="1:25">
      <c r="A34" s="82" t="s">
        <v>29</v>
      </c>
      <c r="B34" s="87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136">
        <f t="shared" si="4"/>
        <v>0</v>
      </c>
      <c r="Y34" s="86">
        <f t="shared" si="5"/>
        <v>0</v>
      </c>
    </row>
    <row r="35" spans="1:25">
      <c r="A35" s="82" t="s">
        <v>20</v>
      </c>
      <c r="B35" s="87"/>
      <c r="C35" s="82"/>
      <c r="D35" s="82"/>
      <c r="E35" s="82"/>
      <c r="F35" s="82"/>
      <c r="G35" s="82"/>
      <c r="H35" s="82"/>
      <c r="I35" s="82"/>
      <c r="J35" s="82">
        <v>1</v>
      </c>
      <c r="K35" s="82"/>
      <c r="L35" s="82"/>
      <c r="M35" s="82"/>
      <c r="N35" s="82"/>
      <c r="O35" s="82"/>
      <c r="P35" s="82">
        <v>1</v>
      </c>
      <c r="Q35" s="82"/>
      <c r="R35" s="82">
        <v>1</v>
      </c>
      <c r="S35" s="82"/>
      <c r="T35" s="82"/>
      <c r="U35" s="82">
        <v>1</v>
      </c>
      <c r="V35" s="82"/>
      <c r="W35" s="82">
        <v>1</v>
      </c>
      <c r="X35" s="136">
        <f t="shared" si="4"/>
        <v>5</v>
      </c>
      <c r="Y35" s="86">
        <f t="shared" si="5"/>
        <v>14.5</v>
      </c>
    </row>
    <row r="36" spans="1:25">
      <c r="A36" s="82" t="s">
        <v>48</v>
      </c>
      <c r="B36" s="87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136">
        <f t="shared" si="4"/>
        <v>0</v>
      </c>
      <c r="Y36" s="86">
        <f t="shared" si="5"/>
        <v>0</v>
      </c>
    </row>
    <row r="37" spans="1:25">
      <c r="A37" s="82" t="s">
        <v>274</v>
      </c>
      <c r="B37" s="87"/>
      <c r="C37" s="82"/>
      <c r="D37" s="82"/>
      <c r="E37" s="82"/>
      <c r="F37" s="82"/>
      <c r="G37" s="82"/>
      <c r="H37" s="82"/>
      <c r="I37" s="82"/>
      <c r="J37" s="82">
        <v>1</v>
      </c>
      <c r="K37" s="82"/>
      <c r="L37" s="82"/>
      <c r="M37" s="82"/>
      <c r="N37" s="82"/>
      <c r="O37" s="82"/>
      <c r="P37" s="82">
        <v>1</v>
      </c>
      <c r="Q37" s="82"/>
      <c r="R37" s="82"/>
      <c r="S37" s="82"/>
      <c r="T37" s="82"/>
      <c r="U37" s="82"/>
      <c r="V37" s="82"/>
      <c r="W37" s="82"/>
      <c r="X37" s="136">
        <f t="shared" si="4"/>
        <v>2</v>
      </c>
      <c r="Y37" s="86">
        <f t="shared" si="5"/>
        <v>5.8</v>
      </c>
    </row>
    <row r="38" spans="1:25">
      <c r="A38" s="82" t="s">
        <v>128</v>
      </c>
      <c r="B38" s="87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136">
        <f t="shared" si="4"/>
        <v>0</v>
      </c>
      <c r="Y38" s="86">
        <f t="shared" si="5"/>
        <v>0</v>
      </c>
    </row>
    <row r="39" spans="1:25">
      <c r="A39" s="82" t="s">
        <v>30</v>
      </c>
      <c r="B39" s="87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>
        <v>1</v>
      </c>
      <c r="Q39" s="82"/>
      <c r="R39" s="82">
        <v>1</v>
      </c>
      <c r="S39" s="82"/>
      <c r="T39" s="82"/>
      <c r="U39" s="82"/>
      <c r="V39" s="82"/>
      <c r="W39" s="82">
        <v>1</v>
      </c>
      <c r="X39" s="136">
        <f t="shared" si="4"/>
        <v>3</v>
      </c>
      <c r="Y39" s="86">
        <f t="shared" si="5"/>
        <v>8.6999999999999993</v>
      </c>
    </row>
    <row r="40" spans="1:25">
      <c r="A40" s="82" t="s">
        <v>42</v>
      </c>
      <c r="B40" s="87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136">
        <f t="shared" si="4"/>
        <v>0</v>
      </c>
      <c r="Y40" s="86">
        <f t="shared" si="5"/>
        <v>0</v>
      </c>
    </row>
    <row r="41" spans="1:25">
      <c r="A41" s="82" t="s">
        <v>50</v>
      </c>
      <c r="B41" s="87"/>
      <c r="C41" s="82"/>
      <c r="D41" s="82"/>
      <c r="E41" s="82"/>
      <c r="F41" s="82"/>
      <c r="G41" s="82"/>
      <c r="H41" s="82"/>
      <c r="I41" s="82"/>
      <c r="J41" s="82">
        <v>1</v>
      </c>
      <c r="K41" s="82"/>
      <c r="L41" s="82"/>
      <c r="M41" s="82"/>
      <c r="N41" s="82"/>
      <c r="O41" s="82"/>
      <c r="P41" s="82">
        <v>1</v>
      </c>
      <c r="Q41" s="82"/>
      <c r="R41" s="82"/>
      <c r="S41" s="82"/>
      <c r="T41" s="82"/>
      <c r="U41" s="82"/>
      <c r="V41" s="82"/>
      <c r="W41" s="82"/>
      <c r="X41" s="136">
        <f t="shared" si="4"/>
        <v>2</v>
      </c>
      <c r="Y41" s="86">
        <f t="shared" si="5"/>
        <v>5.8</v>
      </c>
    </row>
    <row r="42" spans="1:25">
      <c r="A42" s="82" t="s">
        <v>192</v>
      </c>
      <c r="B42" s="87" t="s">
        <v>78</v>
      </c>
      <c r="C42" s="82">
        <v>1</v>
      </c>
      <c r="D42" s="82"/>
      <c r="E42" s="82">
        <v>1</v>
      </c>
      <c r="F42" s="82">
        <v>1</v>
      </c>
      <c r="G42" s="82"/>
      <c r="H42" s="82"/>
      <c r="I42" s="82"/>
      <c r="J42" s="82">
        <v>1</v>
      </c>
      <c r="K42" s="82"/>
      <c r="L42" s="82"/>
      <c r="M42" s="82"/>
      <c r="N42" s="82"/>
      <c r="O42" s="82"/>
      <c r="P42" s="82"/>
      <c r="Q42" s="82">
        <v>1</v>
      </c>
      <c r="R42" s="82">
        <v>1</v>
      </c>
      <c r="S42" s="82">
        <v>1</v>
      </c>
      <c r="T42" s="82"/>
      <c r="U42" s="82">
        <v>2</v>
      </c>
      <c r="V42" s="82">
        <v>1</v>
      </c>
      <c r="W42" s="82">
        <v>1</v>
      </c>
      <c r="X42" s="136">
        <f t="shared" si="4"/>
        <v>11</v>
      </c>
      <c r="Y42" s="86">
        <f t="shared" si="5"/>
        <v>33.5</v>
      </c>
    </row>
    <row r="43" spans="1:25">
      <c r="A43" s="82" t="s">
        <v>45</v>
      </c>
      <c r="B43" s="87"/>
      <c r="C43" s="82"/>
      <c r="D43" s="82"/>
      <c r="E43" s="82"/>
      <c r="F43" s="82"/>
      <c r="G43" s="82"/>
      <c r="H43" s="82"/>
      <c r="I43" s="82"/>
      <c r="J43" s="82">
        <v>1</v>
      </c>
      <c r="K43" s="82"/>
      <c r="L43" s="82"/>
      <c r="M43" s="82"/>
      <c r="N43" s="82"/>
      <c r="O43" s="82"/>
      <c r="P43" s="82">
        <v>2</v>
      </c>
      <c r="Q43" s="82"/>
      <c r="R43" s="82">
        <v>1</v>
      </c>
      <c r="S43" s="82"/>
      <c r="T43" s="82"/>
      <c r="U43" s="82"/>
      <c r="V43" s="82"/>
      <c r="W43" s="82">
        <v>1</v>
      </c>
      <c r="X43" s="136">
        <f t="shared" si="4"/>
        <v>5</v>
      </c>
      <c r="Y43" s="86">
        <f t="shared" si="5"/>
        <v>14.5</v>
      </c>
    </row>
    <row r="44" spans="1:25">
      <c r="A44" s="82" t="s">
        <v>103</v>
      </c>
      <c r="B44" s="87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136">
        <f t="shared" si="4"/>
        <v>0</v>
      </c>
      <c r="Y44" s="86">
        <f t="shared" si="5"/>
        <v>0</v>
      </c>
    </row>
    <row r="45" spans="1:25">
      <c r="A45" s="82" t="s">
        <v>275</v>
      </c>
      <c r="B45" s="87"/>
      <c r="C45" s="82"/>
      <c r="D45" s="82"/>
      <c r="E45" s="82"/>
      <c r="F45" s="82"/>
      <c r="G45" s="82"/>
      <c r="H45" s="82"/>
      <c r="I45" s="82"/>
      <c r="J45" s="82">
        <v>1</v>
      </c>
      <c r="K45" s="82"/>
      <c r="L45" s="82"/>
      <c r="M45" s="82"/>
      <c r="N45" s="82"/>
      <c r="O45" s="82"/>
      <c r="P45" s="82">
        <v>1</v>
      </c>
      <c r="Q45" s="82"/>
      <c r="R45" s="82">
        <v>1</v>
      </c>
      <c r="S45" s="82"/>
      <c r="T45" s="82"/>
      <c r="U45" s="82"/>
      <c r="V45" s="82"/>
      <c r="W45" s="82">
        <v>1</v>
      </c>
      <c r="X45" s="136">
        <f t="shared" si="4"/>
        <v>4</v>
      </c>
      <c r="Y45" s="86">
        <f t="shared" si="5"/>
        <v>11.6</v>
      </c>
    </row>
    <row r="46" spans="1:25">
      <c r="A46" s="82" t="s">
        <v>51</v>
      </c>
      <c r="B46" s="87"/>
      <c r="C46" s="82"/>
      <c r="D46" s="82"/>
      <c r="E46" s="82"/>
      <c r="F46" s="82"/>
      <c r="G46" s="82"/>
      <c r="H46" s="82"/>
      <c r="I46" s="82"/>
      <c r="J46" s="82">
        <v>4</v>
      </c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136">
        <f t="shared" si="4"/>
        <v>4</v>
      </c>
      <c r="Y46" s="86">
        <f t="shared" si="5"/>
        <v>11.6</v>
      </c>
    </row>
    <row r="47" spans="1:25">
      <c r="A47" s="82" t="s">
        <v>104</v>
      </c>
      <c r="B47" s="87"/>
      <c r="C47" s="82"/>
      <c r="D47" s="82">
        <v>1</v>
      </c>
      <c r="E47" s="82"/>
      <c r="F47" s="82">
        <v>1</v>
      </c>
      <c r="G47" s="82"/>
      <c r="H47" s="82"/>
      <c r="I47" s="82">
        <v>2</v>
      </c>
      <c r="J47" s="82">
        <v>1</v>
      </c>
      <c r="K47" s="82"/>
      <c r="L47" s="82"/>
      <c r="M47" s="82"/>
      <c r="N47" s="82"/>
      <c r="O47" s="82"/>
      <c r="P47" s="82">
        <v>1</v>
      </c>
      <c r="Q47" s="82"/>
      <c r="R47" s="82"/>
      <c r="S47" s="82"/>
      <c r="T47" s="82"/>
      <c r="U47" s="82"/>
      <c r="V47" s="82">
        <v>1</v>
      </c>
      <c r="W47" s="82"/>
      <c r="X47" s="136">
        <f t="shared" si="4"/>
        <v>7</v>
      </c>
      <c r="Y47" s="86">
        <f t="shared" si="5"/>
        <v>20.299999999999997</v>
      </c>
    </row>
    <row r="48" spans="1:25">
      <c r="A48" s="82" t="s">
        <v>276</v>
      </c>
      <c r="B48" s="87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136">
        <f t="shared" si="4"/>
        <v>0</v>
      </c>
      <c r="Y48" s="86">
        <f t="shared" si="5"/>
        <v>0</v>
      </c>
    </row>
    <row r="49" spans="1:25">
      <c r="A49" s="82" t="s">
        <v>67</v>
      </c>
      <c r="B49" s="87"/>
      <c r="C49" s="82"/>
      <c r="D49" s="82"/>
      <c r="E49" s="82"/>
      <c r="F49" s="82"/>
      <c r="G49" s="82"/>
      <c r="H49" s="82"/>
      <c r="I49" s="82"/>
      <c r="J49" s="82">
        <v>1</v>
      </c>
      <c r="K49" s="82"/>
      <c r="L49" s="82"/>
      <c r="M49" s="82"/>
      <c r="N49" s="82"/>
      <c r="O49" s="82"/>
      <c r="P49" s="82">
        <v>1</v>
      </c>
      <c r="Q49" s="82"/>
      <c r="R49" s="82">
        <v>1</v>
      </c>
      <c r="S49" s="82"/>
      <c r="T49" s="82"/>
      <c r="U49" s="82"/>
      <c r="V49" s="82"/>
      <c r="W49" s="82">
        <v>1</v>
      </c>
      <c r="X49" s="136">
        <f t="shared" si="4"/>
        <v>4</v>
      </c>
      <c r="Y49" s="86">
        <f t="shared" si="5"/>
        <v>11.6</v>
      </c>
    </row>
    <row r="50" spans="1:25">
      <c r="A50" s="82" t="s">
        <v>277</v>
      </c>
      <c r="B50" s="87"/>
      <c r="C50" s="82"/>
      <c r="D50" s="82"/>
      <c r="E50" s="82"/>
      <c r="F50" s="82"/>
      <c r="G50" s="82"/>
      <c r="H50" s="82"/>
      <c r="I50" s="82"/>
      <c r="J50" s="82">
        <v>1</v>
      </c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136">
        <f t="shared" si="4"/>
        <v>1</v>
      </c>
      <c r="Y50" s="86">
        <f t="shared" si="5"/>
        <v>2.9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D58"/>
  <sheetViews>
    <sheetView showGridLines="0" showZeros="0" topLeftCell="L1" zoomScale="85" zoomScaleNormal="85" workbookViewId="0">
      <pane ySplit="7" topLeftCell="A8" activePane="bottomLeft" state="frozen"/>
      <selection activeCell="J1" sqref="J1"/>
      <selection pane="bottomLeft" activeCell="W23" sqref="W23"/>
    </sheetView>
  </sheetViews>
  <sheetFormatPr defaultRowHeight="14.25"/>
  <cols>
    <col min="1" max="1" width="17.5" bestFit="1" customWidth="1"/>
    <col min="2" max="2" width="2.75" style="83" customWidth="1"/>
    <col min="3" max="3" width="10.125" bestFit="1" customWidth="1"/>
    <col min="4" max="4" width="10.875" bestFit="1" customWidth="1"/>
    <col min="5" max="5" width="15.125" bestFit="1" customWidth="1"/>
    <col min="6" max="6" width="11.625" bestFit="1" customWidth="1"/>
    <col min="7" max="7" width="13.375" bestFit="1" customWidth="1"/>
    <col min="8" max="9" width="13.25" bestFit="1" customWidth="1"/>
    <col min="10" max="10" width="10.125" bestFit="1" customWidth="1"/>
    <col min="11" max="11" width="16" bestFit="1" customWidth="1"/>
    <col min="12" max="12" width="19.75" bestFit="1" customWidth="1"/>
    <col min="13" max="13" width="10.375" bestFit="1" customWidth="1"/>
    <col min="14" max="14" width="9.625" bestFit="1" customWidth="1"/>
    <col min="15" max="15" width="10" bestFit="1" customWidth="1"/>
    <col min="16" max="16" width="10.125" bestFit="1" customWidth="1"/>
    <col min="17" max="17" width="15.125" bestFit="1" customWidth="1"/>
    <col min="18" max="18" width="18.125" bestFit="1" customWidth="1"/>
    <col min="19" max="19" width="18.125" style="136" customWidth="1"/>
    <col min="20" max="20" width="12.375" bestFit="1" customWidth="1"/>
    <col min="21" max="21" width="14.125" bestFit="1" customWidth="1"/>
    <col min="22" max="22" width="9.125" bestFit="1" customWidth="1"/>
    <col min="23" max="23" width="11.5" bestFit="1" customWidth="1"/>
    <col min="25" max="25" width="11.75" bestFit="1" customWidth="1"/>
    <col min="26" max="26" width="11.5" bestFit="1" customWidth="1"/>
    <col min="27" max="27" width="4.875" style="94" customWidth="1"/>
    <col min="28" max="28" width="14" bestFit="1" customWidth="1"/>
    <col min="29" max="29" width="10.25" bestFit="1" customWidth="1"/>
    <col min="30" max="30" width="14" customWidth="1"/>
  </cols>
  <sheetData>
    <row r="1" spans="1:30" s="84" customFormat="1">
      <c r="B1" s="92" t="s">
        <v>278</v>
      </c>
      <c r="C1" s="84">
        <v>5.0999999999999996</v>
      </c>
      <c r="D1" s="84">
        <v>3.5</v>
      </c>
      <c r="E1" s="84">
        <v>3.5</v>
      </c>
      <c r="F1" s="84">
        <v>3.5</v>
      </c>
      <c r="G1" s="84">
        <v>3.5</v>
      </c>
      <c r="H1" s="84">
        <v>3.5</v>
      </c>
      <c r="I1" s="84">
        <v>3.5</v>
      </c>
      <c r="J1" s="84">
        <v>3.5</v>
      </c>
      <c r="K1" s="84">
        <v>3.5</v>
      </c>
      <c r="L1" s="84">
        <v>3.5</v>
      </c>
      <c r="M1" s="84">
        <v>3.5</v>
      </c>
      <c r="N1" s="84">
        <v>3.5</v>
      </c>
      <c r="O1" s="84">
        <v>3.5</v>
      </c>
      <c r="P1" s="84">
        <v>3.5</v>
      </c>
      <c r="Q1" s="84">
        <v>3.5</v>
      </c>
      <c r="R1" s="84">
        <v>3.5</v>
      </c>
      <c r="S1" s="84">
        <v>3.5</v>
      </c>
      <c r="T1" s="84">
        <v>3.5</v>
      </c>
      <c r="U1" s="84">
        <v>3.5</v>
      </c>
      <c r="V1" s="84">
        <v>3.5</v>
      </c>
      <c r="W1" s="84">
        <v>3.5</v>
      </c>
      <c r="X1" s="93"/>
    </row>
    <row r="2" spans="1:30">
      <c r="A2" s="136"/>
      <c r="C2" s="84">
        <v>4.5</v>
      </c>
      <c r="D2" s="84">
        <v>2.9</v>
      </c>
      <c r="E2" s="84">
        <v>2.9</v>
      </c>
      <c r="F2" s="84">
        <v>2.9</v>
      </c>
      <c r="G2" s="84">
        <v>2.9</v>
      </c>
      <c r="H2" s="84">
        <v>2.9</v>
      </c>
      <c r="I2" s="84">
        <v>2.9</v>
      </c>
      <c r="J2" s="84">
        <v>2.9</v>
      </c>
      <c r="K2" s="84">
        <v>2.9</v>
      </c>
      <c r="L2" s="84">
        <v>2.9</v>
      </c>
      <c r="M2" s="84">
        <v>2.9</v>
      </c>
      <c r="N2" s="84">
        <v>2.9</v>
      </c>
      <c r="O2" s="84">
        <v>2.9</v>
      </c>
      <c r="P2" s="84">
        <v>2.9</v>
      </c>
      <c r="Q2" s="84">
        <v>2.9</v>
      </c>
      <c r="R2" s="84">
        <v>2.9</v>
      </c>
      <c r="S2" s="84">
        <v>2.9</v>
      </c>
      <c r="T2" s="84">
        <v>2.9</v>
      </c>
      <c r="U2" s="84">
        <v>2.9</v>
      </c>
      <c r="V2" s="84">
        <v>2.9</v>
      </c>
      <c r="W2" s="84">
        <v>2.9</v>
      </c>
      <c r="X2" s="136"/>
      <c r="Y2" s="136"/>
      <c r="Z2" s="136"/>
      <c r="AA2" s="136"/>
      <c r="AB2" s="136"/>
      <c r="AC2" s="136"/>
      <c r="AD2" s="136"/>
    </row>
    <row r="3" spans="1:30">
      <c r="A3" s="138" t="s">
        <v>279</v>
      </c>
      <c r="C3" s="94">
        <f t="shared" ref="C3:W3" si="0">SUMIF($AA:$AA,"OK",C:C)</f>
        <v>4</v>
      </c>
      <c r="D3" s="94">
        <f t="shared" si="0"/>
        <v>4</v>
      </c>
      <c r="E3" s="94">
        <f t="shared" si="0"/>
        <v>4</v>
      </c>
      <c r="F3" s="94">
        <f t="shared" si="0"/>
        <v>12</v>
      </c>
      <c r="G3" s="94">
        <f t="shared" si="0"/>
        <v>0</v>
      </c>
      <c r="H3" s="94">
        <f t="shared" si="0"/>
        <v>0</v>
      </c>
      <c r="I3" s="94">
        <f t="shared" si="0"/>
        <v>8</v>
      </c>
      <c r="J3" s="94">
        <f t="shared" si="0"/>
        <v>36</v>
      </c>
      <c r="K3" s="94">
        <f t="shared" si="0"/>
        <v>0</v>
      </c>
      <c r="L3" s="94">
        <f t="shared" si="0"/>
        <v>0</v>
      </c>
      <c r="M3" s="94">
        <f t="shared" si="0"/>
        <v>0</v>
      </c>
      <c r="N3" s="94">
        <f t="shared" si="0"/>
        <v>0</v>
      </c>
      <c r="O3" s="94">
        <f t="shared" si="0"/>
        <v>0</v>
      </c>
      <c r="P3" s="94">
        <f t="shared" si="0"/>
        <v>24</v>
      </c>
      <c r="Q3" s="94">
        <f t="shared" si="0"/>
        <v>8</v>
      </c>
      <c r="R3" s="94">
        <f t="shared" si="0"/>
        <v>12</v>
      </c>
      <c r="S3" s="94">
        <f t="shared" si="0"/>
        <v>4</v>
      </c>
      <c r="T3" s="94">
        <f t="shared" si="0"/>
        <v>0</v>
      </c>
      <c r="U3" s="94">
        <f t="shared" si="0"/>
        <v>28</v>
      </c>
      <c r="V3" s="94">
        <f t="shared" si="0"/>
        <v>8</v>
      </c>
      <c r="W3" s="94">
        <f t="shared" si="0"/>
        <v>24</v>
      </c>
      <c r="X3" s="136"/>
      <c r="Y3" s="136"/>
      <c r="Z3" s="136"/>
      <c r="AA3" s="136"/>
      <c r="AB3" s="136"/>
      <c r="AC3" s="136"/>
      <c r="AD3" s="136"/>
    </row>
    <row r="4" spans="1:30">
      <c r="A4" s="138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136"/>
      <c r="Y4" s="136"/>
      <c r="Z4" s="136"/>
      <c r="AA4" s="136"/>
      <c r="AB4" s="136"/>
      <c r="AC4" s="136"/>
      <c r="AD4" s="136"/>
    </row>
    <row r="5" spans="1:30" ht="15">
      <c r="A5" s="85" t="s">
        <v>280</v>
      </c>
      <c r="C5" s="86">
        <f>C3*C2</f>
        <v>18</v>
      </c>
      <c r="D5" s="86">
        <f t="shared" ref="D5:W5" si="1">D3*D2</f>
        <v>11.6</v>
      </c>
      <c r="E5" s="86">
        <f t="shared" si="1"/>
        <v>11.6</v>
      </c>
      <c r="F5" s="86">
        <f t="shared" si="1"/>
        <v>34.799999999999997</v>
      </c>
      <c r="G5" s="86">
        <f t="shared" si="1"/>
        <v>0</v>
      </c>
      <c r="H5" s="86">
        <f t="shared" si="1"/>
        <v>0</v>
      </c>
      <c r="I5" s="86">
        <f t="shared" si="1"/>
        <v>23.2</v>
      </c>
      <c r="J5" s="86">
        <f t="shared" si="1"/>
        <v>104.39999999999999</v>
      </c>
      <c r="K5" s="86">
        <f t="shared" si="1"/>
        <v>0</v>
      </c>
      <c r="L5" s="86">
        <f t="shared" si="1"/>
        <v>0</v>
      </c>
      <c r="M5" s="86">
        <f t="shared" si="1"/>
        <v>0</v>
      </c>
      <c r="N5" s="86">
        <f t="shared" si="1"/>
        <v>0</v>
      </c>
      <c r="O5" s="86">
        <f t="shared" si="1"/>
        <v>0</v>
      </c>
      <c r="P5" s="86">
        <f t="shared" si="1"/>
        <v>69.599999999999994</v>
      </c>
      <c r="Q5" s="86">
        <f t="shared" si="1"/>
        <v>23.2</v>
      </c>
      <c r="R5" s="86">
        <f t="shared" si="1"/>
        <v>34.799999999999997</v>
      </c>
      <c r="S5" s="86">
        <f t="shared" ref="S5" si="2">S3*S2</f>
        <v>11.6</v>
      </c>
      <c r="T5" s="86">
        <f t="shared" si="1"/>
        <v>0</v>
      </c>
      <c r="U5" s="86">
        <f t="shared" si="1"/>
        <v>81.2</v>
      </c>
      <c r="V5" s="86">
        <f t="shared" si="1"/>
        <v>23.2</v>
      </c>
      <c r="W5" s="86">
        <f t="shared" si="1"/>
        <v>69.599999999999994</v>
      </c>
      <c r="X5" s="136"/>
      <c r="Y5" s="136"/>
      <c r="Z5" s="136"/>
      <c r="AA5" s="136"/>
      <c r="AB5" s="136"/>
      <c r="AC5" s="136"/>
      <c r="AD5" s="136"/>
    </row>
    <row r="6" spans="1:30">
      <c r="A6" s="136"/>
      <c r="C6" s="84">
        <v>1</v>
      </c>
      <c r="D6" s="84">
        <v>2</v>
      </c>
      <c r="E6" s="84">
        <v>3</v>
      </c>
      <c r="F6" s="84">
        <v>4</v>
      </c>
      <c r="G6" s="84">
        <v>5</v>
      </c>
      <c r="H6" s="84">
        <v>6</v>
      </c>
      <c r="I6" s="84">
        <v>7</v>
      </c>
      <c r="J6" s="84">
        <v>8</v>
      </c>
      <c r="K6" s="84">
        <v>9</v>
      </c>
      <c r="L6" s="84">
        <v>10</v>
      </c>
      <c r="M6" s="84">
        <v>11</v>
      </c>
      <c r="N6" s="84">
        <v>12</v>
      </c>
      <c r="O6" s="84">
        <v>13</v>
      </c>
      <c r="P6" s="84">
        <v>14</v>
      </c>
      <c r="Q6" s="84">
        <v>15</v>
      </c>
      <c r="R6" s="84">
        <v>16</v>
      </c>
      <c r="S6" s="84">
        <v>17</v>
      </c>
      <c r="T6" s="84">
        <v>18</v>
      </c>
      <c r="U6" s="84">
        <v>19</v>
      </c>
      <c r="V6" s="84">
        <v>20</v>
      </c>
      <c r="W6" s="84">
        <v>21</v>
      </c>
      <c r="X6" s="136"/>
      <c r="Y6" s="136"/>
      <c r="Z6" s="136"/>
      <c r="AA6" s="136"/>
      <c r="AB6" s="136"/>
      <c r="AC6" s="136"/>
      <c r="AD6" s="136"/>
    </row>
    <row r="7" spans="1:30" ht="15">
      <c r="A7" s="136"/>
      <c r="C7" s="85" t="s">
        <v>241</v>
      </c>
      <c r="D7" s="85" t="s">
        <v>242</v>
      </c>
      <c r="E7" s="85" t="s">
        <v>243</v>
      </c>
      <c r="F7" s="85" t="s">
        <v>244</v>
      </c>
      <c r="G7" s="85" t="s">
        <v>245</v>
      </c>
      <c r="H7" s="85" t="s">
        <v>246</v>
      </c>
      <c r="I7" s="85" t="s">
        <v>247</v>
      </c>
      <c r="J7" s="85" t="s">
        <v>248</v>
      </c>
      <c r="K7" s="85" t="s">
        <v>249</v>
      </c>
      <c r="L7" s="85" t="s">
        <v>250</v>
      </c>
      <c r="M7" s="85" t="s">
        <v>251</v>
      </c>
      <c r="N7" s="85" t="s">
        <v>252</v>
      </c>
      <c r="O7" s="85" t="s">
        <v>253</v>
      </c>
      <c r="P7" s="85" t="s">
        <v>254</v>
      </c>
      <c r="Q7" s="85" t="s">
        <v>281</v>
      </c>
      <c r="R7" s="85" t="s">
        <v>256</v>
      </c>
      <c r="S7" s="85" t="s">
        <v>555</v>
      </c>
      <c r="T7" s="85" t="s">
        <v>257</v>
      </c>
      <c r="U7" s="85" t="s">
        <v>258</v>
      </c>
      <c r="V7" s="85" t="s">
        <v>259</v>
      </c>
      <c r="W7" s="85" t="s">
        <v>260</v>
      </c>
      <c r="X7" s="85" t="s">
        <v>261</v>
      </c>
      <c r="Y7" s="85" t="s">
        <v>282</v>
      </c>
      <c r="Z7" s="85" t="s">
        <v>283</v>
      </c>
      <c r="AA7" s="95"/>
      <c r="AB7" s="136"/>
      <c r="AC7" s="136"/>
      <c r="AD7" s="136"/>
    </row>
    <row r="8" spans="1:30" ht="15">
      <c r="A8" s="82" t="s">
        <v>264</v>
      </c>
      <c r="B8" s="87"/>
      <c r="C8" s="88">
        <f>IFERROR(INDEX(Velas_máscara!$C$8:$W$52,MATCH(Velas!$A8,Velas_máscara!$A$8:$A$52,0),MATCH(Velas!C$7,Velas_máscara!$C$7:$W$7,0))*qtdsemana,"")</f>
        <v>0</v>
      </c>
      <c r="D8" s="88">
        <f>IFERROR(INDEX(Velas_máscara!$C$8:$W$52,MATCH(Velas!$A8,Velas_máscara!$A$8:$A$52,0),MATCH(Velas!D$7,Velas_máscara!$C$7:$W$7,0))*qtdsemana,"")</f>
        <v>0</v>
      </c>
      <c r="E8" s="88">
        <f>IFERROR(INDEX(Velas_máscara!$C$8:$W$52,MATCH(Velas!$A8,Velas_máscara!$A$8:$A$52,0),MATCH(Velas!E$7,Velas_máscara!$C$7:$W$7,0))*qtdsemana,"")</f>
        <v>0</v>
      </c>
      <c r="F8" s="88">
        <f>IFERROR(INDEX(Velas_máscara!$C$8:$W$52,MATCH(Velas!$A8,Velas_máscara!$A$8:$A$52,0),MATCH(Velas!F$7,Velas_máscara!$C$7:$W$7,0))*qtdsemana,"")</f>
        <v>0</v>
      </c>
      <c r="G8" s="88">
        <f>IFERROR(INDEX(Velas_máscara!$C$8:$W$52,MATCH(Velas!$A8,Velas_máscara!$A$8:$A$52,0),MATCH(Velas!G$7,Velas_máscara!$C$7:$W$7,0))*qtdsemana,"")</f>
        <v>0</v>
      </c>
      <c r="H8" s="88">
        <f>IFERROR(INDEX(Velas_máscara!$C$8:$W$52,MATCH(Velas!$A8,Velas_máscara!$A$8:$A$52,0),MATCH(Velas!H$7,Velas_máscara!$C$7:$W$7,0))*qtdsemana,"")</f>
        <v>0</v>
      </c>
      <c r="I8" s="88">
        <f>IFERROR(INDEX(Velas_máscara!$C$8:$W$52,MATCH(Velas!$A8,Velas_máscara!$A$8:$A$52,0),MATCH(Velas!I$7,Velas_máscara!$C$7:$W$7,0))*qtdsemana,"")</f>
        <v>0</v>
      </c>
      <c r="J8" s="88">
        <f>IFERROR(INDEX(Velas_máscara!$C$8:$W$52,MATCH(Velas!$A8,Velas_máscara!$A$8:$A$52,0),MATCH(Velas!J$7,Velas_máscara!$C$7:$W$7,0))*qtdsemana,"")</f>
        <v>0</v>
      </c>
      <c r="K8" s="88">
        <f>IFERROR(INDEX(Velas_máscara!$C$8:$W$52,MATCH(Velas!$A8,Velas_máscara!$A$8:$A$52,0),MATCH(Velas!K$7,Velas_máscara!$C$7:$W$7,0))*qtdsemana,"")</f>
        <v>0</v>
      </c>
      <c r="L8" s="88">
        <f>IFERROR(INDEX(Velas_máscara!$C$8:$W$52,MATCH(Velas!$A8,Velas_máscara!$A$8:$A$52,0),MATCH(Velas!L$7,Velas_máscara!$C$7:$W$7,0))*qtdsemana,"")</f>
        <v>0</v>
      </c>
      <c r="M8" s="88">
        <f>IFERROR(INDEX(Velas_máscara!$C$8:$W$52,MATCH(Velas!$A8,Velas_máscara!$A$8:$A$52,0),MATCH(Velas!M$7,Velas_máscara!$C$7:$W$7,0))*qtdsemana,"")</f>
        <v>0</v>
      </c>
      <c r="N8" s="88">
        <f>IFERROR(INDEX(Velas_máscara!$C$8:$W$52,MATCH(Velas!$A8,Velas_máscara!$A$8:$A$52,0),MATCH(Velas!N$7,Velas_máscara!$C$7:$W$7,0))*qtdsemana,"")</f>
        <v>0</v>
      </c>
      <c r="O8" s="88">
        <f>IFERROR(INDEX(Velas_máscara!$C$8:$W$52,MATCH(Velas!$A8,Velas_máscara!$A$8:$A$52,0),MATCH(Velas!O$7,Velas_máscara!$C$7:$W$7,0))*qtdsemana,"")</f>
        <v>0</v>
      </c>
      <c r="P8" s="88">
        <f>IFERROR(INDEX(Velas_máscara!$C$8:$W$52,MATCH(Velas!$A8,Velas_máscara!$A$8:$A$52,0),MATCH(Velas!P$7,Velas_máscara!$C$7:$W$7,0))*qtdsemana,"")</f>
        <v>0</v>
      </c>
      <c r="Q8" s="88">
        <f>IFERROR(INDEX(Velas_máscara!$C$8:$W$52,MATCH(Velas!$A8,Velas_máscara!$A$8:$A$52,0),MATCH(Velas!Q$7,Velas_máscara!$C$7:$W$7,0))*qtdsemana,"")</f>
        <v>0</v>
      </c>
      <c r="R8" s="88">
        <f>IFERROR(INDEX(Velas_máscara!$C$8:$W$52,MATCH(Velas!$A8,Velas_máscara!$A$8:$A$52,0),MATCH(Velas!R$7,Velas_máscara!$C$7:$W$7,0))*qtdsemana,"")</f>
        <v>0</v>
      </c>
      <c r="S8" s="88">
        <f>IFERROR(INDEX(Velas_máscara!$C$8:$W$52,MATCH(Velas!$A8,Velas_máscara!$A$8:$A$52,0),MATCH(Velas!S$7,Velas_máscara!$C$7:$W$7,0))*qtdsemana,"")</f>
        <v>0</v>
      </c>
      <c r="T8" s="88">
        <f>IFERROR(INDEX(Velas_máscara!$C$8:$W$52,MATCH(Velas!$A8,Velas_máscara!$A$8:$A$52,0),MATCH(Velas!T$7,Velas_máscara!$C$7:$W$7,0))*qtdsemana,"")</f>
        <v>0</v>
      </c>
      <c r="U8" s="88">
        <f>IFERROR(INDEX(Velas_máscara!$C$8:$W$52,MATCH(Velas!$A8,Velas_máscara!$A$8:$A$52,0),MATCH(Velas!U$7,Velas_máscara!$C$7:$W$7,0))*qtdsemana,"")</f>
        <v>0</v>
      </c>
      <c r="V8" s="88">
        <f>IFERROR(INDEX(Velas_máscara!$C$8:$W$52,MATCH(Velas!$A8,Velas_máscara!$A$8:$A$52,0),MATCH(Velas!V$7,Velas_máscara!$C$7:$W$7,0))*qtdsemana,"")</f>
        <v>0</v>
      </c>
      <c r="W8" s="88">
        <f>IFERROR(INDEX(Velas_máscara!$C$8:$W$52,MATCH(Velas!$A8,Velas_máscara!$A$8:$A$52,0),MATCH(Velas!W$7,Velas_máscara!$C$7:$W$7,0))*qtdsemana,"")</f>
        <v>0</v>
      </c>
      <c r="X8" s="136">
        <f t="shared" ref="X8:X43" si="3">SUBTOTAL(9,C8:W8)</f>
        <v>0</v>
      </c>
      <c r="Y8" s="86">
        <f t="shared" ref="Y8:Y50" si="4">SUMPRODUCT(C8:W8,$C$2:$W$2)</f>
        <v>0</v>
      </c>
      <c r="Z8" s="86">
        <f>SUMPRODUCT(C8:W8,$C$1:$W$1)</f>
        <v>0</v>
      </c>
      <c r="AB8" s="85" t="s">
        <v>262</v>
      </c>
      <c r="AC8" s="136"/>
      <c r="AD8" s="85" t="s">
        <v>263</v>
      </c>
    </row>
    <row r="9" spans="1:30" ht="15">
      <c r="A9" s="82" t="s">
        <v>265</v>
      </c>
      <c r="B9" s="87"/>
      <c r="C9" s="88">
        <f>IFERROR(INDEX(Velas_máscara!$C$8:$W$52,MATCH(Velas!$A9,Velas_máscara!$A$8:$A$52,0),MATCH(Velas!C$7,Velas_máscara!$C$7:$W$7,0))*qtdsemana,"")</f>
        <v>0</v>
      </c>
      <c r="D9" s="88">
        <f>IFERROR(INDEX(Velas_máscara!$C$8:$W$52,MATCH(Velas!$A9,Velas_máscara!$A$8:$A$52,0),MATCH(Velas!D$7,Velas_máscara!$C$7:$W$7,0))*qtdsemana,"")</f>
        <v>0</v>
      </c>
      <c r="E9" s="88">
        <f>IFERROR(INDEX(Velas_máscara!$C$8:$W$52,MATCH(Velas!$A9,Velas_máscara!$A$8:$A$52,0),MATCH(Velas!E$7,Velas_máscara!$C$7:$W$7,0))*qtdsemana,"")</f>
        <v>0</v>
      </c>
      <c r="F9" s="88">
        <f>IFERROR(INDEX(Velas_máscara!$C$8:$W$52,MATCH(Velas!$A9,Velas_máscara!$A$8:$A$52,0),MATCH(Velas!F$7,Velas_máscara!$C$7:$W$7,0))*qtdsemana,"")</f>
        <v>0</v>
      </c>
      <c r="G9" s="88">
        <f>IFERROR(INDEX(Velas_máscara!$C$8:$W$52,MATCH(Velas!$A9,Velas_máscara!$A$8:$A$52,0),MATCH(Velas!G$7,Velas_máscara!$C$7:$W$7,0))*qtdsemana,"")</f>
        <v>0</v>
      </c>
      <c r="H9" s="88">
        <f>IFERROR(INDEX(Velas_máscara!$C$8:$W$52,MATCH(Velas!$A9,Velas_máscara!$A$8:$A$52,0),MATCH(Velas!H$7,Velas_máscara!$C$7:$W$7,0))*qtdsemana,"")</f>
        <v>0</v>
      </c>
      <c r="I9" s="88">
        <f>IFERROR(INDEX(Velas_máscara!$C$8:$W$52,MATCH(Velas!$A9,Velas_máscara!$A$8:$A$52,0),MATCH(Velas!I$7,Velas_máscara!$C$7:$W$7,0))*qtdsemana,"")</f>
        <v>0</v>
      </c>
      <c r="J9" s="88">
        <f>IFERROR(INDEX(Velas_máscara!$C$8:$W$52,MATCH(Velas!$A9,Velas_máscara!$A$8:$A$52,0),MATCH(Velas!J$7,Velas_máscara!$C$7:$W$7,0))*qtdsemana,"")</f>
        <v>0</v>
      </c>
      <c r="K9" s="88">
        <f>IFERROR(INDEX(Velas_máscara!$C$8:$W$52,MATCH(Velas!$A9,Velas_máscara!$A$8:$A$52,0),MATCH(Velas!K$7,Velas_máscara!$C$7:$W$7,0))*qtdsemana,"")</f>
        <v>0</v>
      </c>
      <c r="L9" s="88">
        <f>IFERROR(INDEX(Velas_máscara!$C$8:$W$52,MATCH(Velas!$A9,Velas_máscara!$A$8:$A$52,0),MATCH(Velas!L$7,Velas_máscara!$C$7:$W$7,0))*qtdsemana,"")</f>
        <v>0</v>
      </c>
      <c r="M9" s="88">
        <f>IFERROR(INDEX(Velas_máscara!$C$8:$W$52,MATCH(Velas!$A9,Velas_máscara!$A$8:$A$52,0),MATCH(Velas!M$7,Velas_máscara!$C$7:$W$7,0))*qtdsemana,"")</f>
        <v>0</v>
      </c>
      <c r="N9" s="88">
        <f>IFERROR(INDEX(Velas_máscara!$C$8:$W$52,MATCH(Velas!$A9,Velas_máscara!$A$8:$A$52,0),MATCH(Velas!N$7,Velas_máscara!$C$7:$W$7,0))*qtdsemana,"")</f>
        <v>0</v>
      </c>
      <c r="O9" s="88">
        <f>IFERROR(INDEX(Velas_máscara!$C$8:$W$52,MATCH(Velas!$A9,Velas_máscara!$A$8:$A$52,0),MATCH(Velas!O$7,Velas_máscara!$C$7:$W$7,0))*qtdsemana,"")</f>
        <v>0</v>
      </c>
      <c r="P9" s="88">
        <f>IFERROR(INDEX(Velas_máscara!$C$8:$W$52,MATCH(Velas!$A9,Velas_máscara!$A$8:$A$52,0),MATCH(Velas!P$7,Velas_máscara!$C$7:$W$7,0))*qtdsemana,"")</f>
        <v>0</v>
      </c>
      <c r="Q9" s="88">
        <f>IFERROR(INDEX(Velas_máscara!$C$8:$W$52,MATCH(Velas!$A9,Velas_máscara!$A$8:$A$52,0),MATCH(Velas!Q$7,Velas_máscara!$C$7:$W$7,0))*qtdsemana,"")</f>
        <v>0</v>
      </c>
      <c r="R9" s="88">
        <f>IFERROR(INDEX(Velas_máscara!$C$8:$W$52,MATCH(Velas!$A9,Velas_máscara!$A$8:$A$52,0),MATCH(Velas!R$7,Velas_máscara!$C$7:$W$7,0))*qtdsemana,"")</f>
        <v>0</v>
      </c>
      <c r="S9" s="88">
        <f>IFERROR(INDEX(Velas_máscara!$C$8:$W$52,MATCH(Velas!$A9,Velas_máscara!$A$8:$A$52,0),MATCH(Velas!S$7,Velas_máscara!$C$7:$W$7,0))*qtdsemana,"")</f>
        <v>0</v>
      </c>
      <c r="T9" s="88">
        <f>IFERROR(INDEX(Velas_máscara!$C$8:$W$52,MATCH(Velas!$A9,Velas_máscara!$A$8:$A$52,0),MATCH(Velas!T$7,Velas_máscara!$C$7:$W$7,0))*qtdsemana,"")</f>
        <v>0</v>
      </c>
      <c r="U9" s="88">
        <f>IFERROR(INDEX(Velas_máscara!$C$8:$W$52,MATCH(Velas!$A9,Velas_máscara!$A$8:$A$52,0),MATCH(Velas!U$7,Velas_máscara!$C$7:$W$7,0))*qtdsemana,"")</f>
        <v>0</v>
      </c>
      <c r="V9" s="88">
        <f>IFERROR(INDEX(Velas_máscara!$C$8:$W$52,MATCH(Velas!$A9,Velas_máscara!$A$8:$A$52,0),MATCH(Velas!V$7,Velas_máscara!$C$7:$W$7,0))*qtdsemana,"")</f>
        <v>0</v>
      </c>
      <c r="W9" s="88">
        <f>IFERROR(INDEX(Velas_máscara!$C$8:$W$52,MATCH(Velas!$A9,Velas_máscara!$A$8:$A$52,0),MATCH(Velas!W$7,Velas_máscara!$C$7:$W$7,0))*qtdsemana,"")</f>
        <v>0</v>
      </c>
      <c r="X9" s="136">
        <f t="shared" si="3"/>
        <v>0</v>
      </c>
      <c r="Y9" s="86">
        <f t="shared" si="4"/>
        <v>0</v>
      </c>
      <c r="Z9" s="86">
        <f t="shared" ref="Z9:Z51" si="5">SUMPRODUCT(C9:W9,$C$1:$W$1)</f>
        <v>0</v>
      </c>
      <c r="AB9" s="89">
        <f>Z51</f>
        <v>0</v>
      </c>
      <c r="AC9" s="136"/>
      <c r="AD9" s="89">
        <v>1000</v>
      </c>
    </row>
    <row r="10" spans="1:30">
      <c r="A10" s="82" t="s">
        <v>34</v>
      </c>
      <c r="B10" s="87"/>
      <c r="C10" s="88">
        <f>IFERROR(INDEX(Velas_máscara!$C$8:$W$52,MATCH(Velas!$A10,Velas_máscara!$A$8:$A$52,0),MATCH(Velas!C$7,Velas_máscara!$C$7:$W$7,0))*qtdsemana,"")</f>
        <v>0</v>
      </c>
      <c r="D10" s="88">
        <f>IFERROR(INDEX(Velas_máscara!$C$8:$W$52,MATCH(Velas!$A10,Velas_máscara!$A$8:$A$52,0),MATCH(Velas!D$7,Velas_máscara!$C$7:$W$7,0))*qtdsemana,"")</f>
        <v>0</v>
      </c>
      <c r="E10" s="88">
        <f>IFERROR(INDEX(Velas_máscara!$C$8:$W$52,MATCH(Velas!$A10,Velas_máscara!$A$8:$A$52,0),MATCH(Velas!E$7,Velas_máscara!$C$7:$W$7,0))*qtdsemana,"")</f>
        <v>0</v>
      </c>
      <c r="F10" s="88">
        <f>IFERROR(INDEX(Velas_máscara!$C$8:$W$52,MATCH(Velas!$A10,Velas_máscara!$A$8:$A$52,0),MATCH(Velas!F$7,Velas_máscara!$C$7:$W$7,0))*qtdsemana,"")</f>
        <v>0</v>
      </c>
      <c r="G10" s="88">
        <f>IFERROR(INDEX(Velas_máscara!$C$8:$W$52,MATCH(Velas!$A10,Velas_máscara!$A$8:$A$52,0),MATCH(Velas!G$7,Velas_máscara!$C$7:$W$7,0))*qtdsemana,"")</f>
        <v>0</v>
      </c>
      <c r="H10" s="88">
        <f>IFERROR(INDEX(Velas_máscara!$C$8:$W$52,MATCH(Velas!$A10,Velas_máscara!$A$8:$A$52,0),MATCH(Velas!H$7,Velas_máscara!$C$7:$W$7,0))*qtdsemana,"")</f>
        <v>0</v>
      </c>
      <c r="I10" s="88">
        <f>IFERROR(INDEX(Velas_máscara!$C$8:$W$52,MATCH(Velas!$A10,Velas_máscara!$A$8:$A$52,0),MATCH(Velas!I$7,Velas_máscara!$C$7:$W$7,0))*qtdsemana,"")</f>
        <v>0</v>
      </c>
      <c r="J10" s="88">
        <f>IFERROR(INDEX(Velas_máscara!$C$8:$W$52,MATCH(Velas!$A10,Velas_máscara!$A$8:$A$52,0),MATCH(Velas!J$7,Velas_máscara!$C$7:$W$7,0))*qtdsemana,"")</f>
        <v>4</v>
      </c>
      <c r="K10" s="88">
        <f>IFERROR(INDEX(Velas_máscara!$C$8:$W$52,MATCH(Velas!$A10,Velas_máscara!$A$8:$A$52,0),MATCH(Velas!K$7,Velas_máscara!$C$7:$W$7,0))*qtdsemana,"")</f>
        <v>0</v>
      </c>
      <c r="L10" s="88">
        <f>IFERROR(INDEX(Velas_máscara!$C$8:$W$52,MATCH(Velas!$A10,Velas_máscara!$A$8:$A$52,0),MATCH(Velas!L$7,Velas_máscara!$C$7:$W$7,0))*qtdsemana,"")</f>
        <v>0</v>
      </c>
      <c r="M10" s="88">
        <f>IFERROR(INDEX(Velas_máscara!$C$8:$W$52,MATCH(Velas!$A10,Velas_máscara!$A$8:$A$52,0),MATCH(Velas!M$7,Velas_máscara!$C$7:$W$7,0))*qtdsemana,"")</f>
        <v>0</v>
      </c>
      <c r="N10" s="88">
        <f>IFERROR(INDEX(Velas_máscara!$C$8:$W$52,MATCH(Velas!$A10,Velas_máscara!$A$8:$A$52,0),MATCH(Velas!N$7,Velas_máscara!$C$7:$W$7,0))*qtdsemana,"")</f>
        <v>0</v>
      </c>
      <c r="O10" s="88">
        <f>IFERROR(INDEX(Velas_máscara!$C$8:$W$52,MATCH(Velas!$A10,Velas_máscara!$A$8:$A$52,0),MATCH(Velas!O$7,Velas_máscara!$C$7:$W$7,0))*qtdsemana,"")</f>
        <v>0</v>
      </c>
      <c r="P10" s="88">
        <f>IFERROR(INDEX(Velas_máscara!$C$8:$W$52,MATCH(Velas!$A10,Velas_máscara!$A$8:$A$52,0),MATCH(Velas!P$7,Velas_máscara!$C$7:$W$7,0))*qtdsemana,"")</f>
        <v>4</v>
      </c>
      <c r="Q10" s="88">
        <f>IFERROR(INDEX(Velas_máscara!$C$8:$W$52,MATCH(Velas!$A10,Velas_máscara!$A$8:$A$52,0),MATCH(Velas!Q$7,Velas_máscara!$C$7:$W$7,0))*qtdsemana,"")</f>
        <v>0</v>
      </c>
      <c r="R10" s="88">
        <f>IFERROR(INDEX(Velas_máscara!$C$8:$W$52,MATCH(Velas!$A10,Velas_máscara!$A$8:$A$52,0),MATCH(Velas!R$7,Velas_máscara!$C$7:$W$7,0))*qtdsemana,"")</f>
        <v>4</v>
      </c>
      <c r="S10" s="88">
        <f>IFERROR(INDEX(Velas_máscara!$C$8:$W$52,MATCH(Velas!$A10,Velas_máscara!$A$8:$A$52,0),MATCH(Velas!S$7,Velas_máscara!$C$7:$W$7,0))*qtdsemana,"")</f>
        <v>0</v>
      </c>
      <c r="T10" s="88">
        <f>IFERROR(INDEX(Velas_máscara!$C$8:$W$52,MATCH(Velas!$A10,Velas_máscara!$A$8:$A$52,0),MATCH(Velas!T$7,Velas_máscara!$C$7:$W$7,0))*qtdsemana,"")</f>
        <v>0</v>
      </c>
      <c r="U10" s="88">
        <f>IFERROR(INDEX(Velas_máscara!$C$8:$W$52,MATCH(Velas!$A10,Velas_máscara!$A$8:$A$52,0),MATCH(Velas!U$7,Velas_máscara!$C$7:$W$7,0))*qtdsemana,"")</f>
        <v>0</v>
      </c>
      <c r="V10" s="88">
        <f>IFERROR(INDEX(Velas_máscara!$C$8:$W$52,MATCH(Velas!$A10,Velas_máscara!$A$8:$A$52,0),MATCH(Velas!V$7,Velas_máscara!$C$7:$W$7,0))*qtdsemana,"")</f>
        <v>0</v>
      </c>
      <c r="W10" s="88">
        <f>IFERROR(INDEX(Velas_máscara!$C$8:$W$52,MATCH(Velas!$A10,Velas_máscara!$A$8:$A$52,0),MATCH(Velas!W$7,Velas_máscara!$C$7:$W$7,0))*qtdsemana,"")</f>
        <v>4</v>
      </c>
      <c r="X10" s="136">
        <f t="shared" si="3"/>
        <v>16</v>
      </c>
      <c r="Y10" s="86">
        <f t="shared" si="4"/>
        <v>46.4</v>
      </c>
      <c r="Z10" s="86">
        <f t="shared" si="5"/>
        <v>56</v>
      </c>
      <c r="AB10" s="136"/>
      <c r="AC10" s="136"/>
      <c r="AD10" s="136"/>
    </row>
    <row r="11" spans="1:30" ht="15">
      <c r="A11" s="82" t="s">
        <v>53</v>
      </c>
      <c r="B11" s="87"/>
      <c r="C11" s="88">
        <f>IFERROR(INDEX(Velas_máscara!$C$8:$W$52,MATCH(Velas!$A11,Velas_máscara!$A$8:$A$52,0),MATCH(Velas!C$7,Velas_máscara!$C$7:$W$7,0))*qtdsemana,"")</f>
        <v>0</v>
      </c>
      <c r="D11" s="88">
        <f>IFERROR(INDEX(Velas_máscara!$C$8:$W$52,MATCH(Velas!$A11,Velas_máscara!$A$8:$A$52,0),MATCH(Velas!D$7,Velas_máscara!$C$7:$W$7,0))*qtdsemana,"")</f>
        <v>0</v>
      </c>
      <c r="E11" s="88">
        <f>IFERROR(INDEX(Velas_máscara!$C$8:$W$52,MATCH(Velas!$A11,Velas_máscara!$A$8:$A$52,0),MATCH(Velas!E$7,Velas_máscara!$C$7:$W$7,0))*qtdsemana,"")</f>
        <v>0</v>
      </c>
      <c r="F11" s="88">
        <f>IFERROR(INDEX(Velas_máscara!$C$8:$W$52,MATCH(Velas!$A11,Velas_máscara!$A$8:$A$52,0),MATCH(Velas!F$7,Velas_máscara!$C$7:$W$7,0))*qtdsemana,"")</f>
        <v>0</v>
      </c>
      <c r="G11" s="88">
        <f>IFERROR(INDEX(Velas_máscara!$C$8:$W$52,MATCH(Velas!$A11,Velas_máscara!$A$8:$A$52,0),MATCH(Velas!G$7,Velas_máscara!$C$7:$W$7,0))*qtdsemana,"")</f>
        <v>0</v>
      </c>
      <c r="H11" s="88">
        <f>IFERROR(INDEX(Velas_máscara!$C$8:$W$52,MATCH(Velas!$A11,Velas_máscara!$A$8:$A$52,0),MATCH(Velas!H$7,Velas_máscara!$C$7:$W$7,0))*qtdsemana,"")</f>
        <v>0</v>
      </c>
      <c r="I11" s="88">
        <f>IFERROR(INDEX(Velas_máscara!$C$8:$W$52,MATCH(Velas!$A11,Velas_máscara!$A$8:$A$52,0),MATCH(Velas!I$7,Velas_máscara!$C$7:$W$7,0))*qtdsemana,"")</f>
        <v>0</v>
      </c>
      <c r="J11" s="88">
        <f>IFERROR(INDEX(Velas_máscara!$C$8:$W$52,MATCH(Velas!$A11,Velas_máscara!$A$8:$A$52,0),MATCH(Velas!J$7,Velas_máscara!$C$7:$W$7,0))*qtdsemana,"")</f>
        <v>0</v>
      </c>
      <c r="K11" s="88">
        <f>IFERROR(INDEX(Velas_máscara!$C$8:$W$52,MATCH(Velas!$A11,Velas_máscara!$A$8:$A$52,0),MATCH(Velas!K$7,Velas_máscara!$C$7:$W$7,0))*qtdsemana,"")</f>
        <v>0</v>
      </c>
      <c r="L11" s="88">
        <f>IFERROR(INDEX(Velas_máscara!$C$8:$W$52,MATCH(Velas!$A11,Velas_máscara!$A$8:$A$52,0),MATCH(Velas!L$7,Velas_máscara!$C$7:$W$7,0))*qtdsemana,"")</f>
        <v>0</v>
      </c>
      <c r="M11" s="88">
        <f>IFERROR(INDEX(Velas_máscara!$C$8:$W$52,MATCH(Velas!$A11,Velas_máscara!$A$8:$A$52,0),MATCH(Velas!M$7,Velas_máscara!$C$7:$W$7,0))*qtdsemana,"")</f>
        <v>0</v>
      </c>
      <c r="N11" s="88">
        <f>IFERROR(INDEX(Velas_máscara!$C$8:$W$52,MATCH(Velas!$A11,Velas_máscara!$A$8:$A$52,0),MATCH(Velas!N$7,Velas_máscara!$C$7:$W$7,0))*qtdsemana,"")</f>
        <v>0</v>
      </c>
      <c r="O11" s="88">
        <f>IFERROR(INDEX(Velas_máscara!$C$8:$W$52,MATCH(Velas!$A11,Velas_máscara!$A$8:$A$52,0),MATCH(Velas!O$7,Velas_máscara!$C$7:$W$7,0))*qtdsemana,"")</f>
        <v>0</v>
      </c>
      <c r="P11" s="88">
        <f>IFERROR(INDEX(Velas_máscara!$C$8:$W$52,MATCH(Velas!$A11,Velas_máscara!$A$8:$A$52,0),MATCH(Velas!P$7,Velas_máscara!$C$7:$W$7,0))*qtdsemana,"")</f>
        <v>0</v>
      </c>
      <c r="Q11" s="88">
        <f>IFERROR(INDEX(Velas_máscara!$C$8:$W$52,MATCH(Velas!$A11,Velas_máscara!$A$8:$A$52,0),MATCH(Velas!Q$7,Velas_máscara!$C$7:$W$7,0))*qtdsemana,"")</f>
        <v>0</v>
      </c>
      <c r="R11" s="88">
        <f>IFERROR(INDEX(Velas_máscara!$C$8:$W$52,MATCH(Velas!$A11,Velas_máscara!$A$8:$A$52,0),MATCH(Velas!R$7,Velas_máscara!$C$7:$W$7,0))*qtdsemana,"")</f>
        <v>0</v>
      </c>
      <c r="S11" s="88">
        <f>IFERROR(INDEX(Velas_máscara!$C$8:$W$52,MATCH(Velas!$A11,Velas_máscara!$A$8:$A$52,0),MATCH(Velas!S$7,Velas_máscara!$C$7:$W$7,0))*qtdsemana,"")</f>
        <v>0</v>
      </c>
      <c r="T11" s="88">
        <f>IFERROR(INDEX(Velas_máscara!$C$8:$W$52,MATCH(Velas!$A11,Velas_máscara!$A$8:$A$52,0),MATCH(Velas!T$7,Velas_máscara!$C$7:$W$7,0))*qtdsemana,"")</f>
        <v>0</v>
      </c>
      <c r="U11" s="88">
        <f>IFERROR(INDEX(Velas_máscara!$C$8:$W$52,MATCH(Velas!$A11,Velas_máscara!$A$8:$A$52,0),MATCH(Velas!U$7,Velas_máscara!$C$7:$W$7,0))*qtdsemana,"")</f>
        <v>0</v>
      </c>
      <c r="V11" s="88">
        <f>IFERROR(INDEX(Velas_máscara!$C$8:$W$52,MATCH(Velas!$A11,Velas_máscara!$A$8:$A$52,0),MATCH(Velas!V$7,Velas_máscara!$C$7:$W$7,0))*qtdsemana,"")</f>
        <v>0</v>
      </c>
      <c r="W11" s="88">
        <f>IFERROR(INDEX(Velas_máscara!$C$8:$W$52,MATCH(Velas!$A11,Velas_máscara!$A$8:$A$52,0),MATCH(Velas!W$7,Velas_máscara!$C$7:$W$7,0))*qtdsemana,"")</f>
        <v>0</v>
      </c>
      <c r="X11" s="136">
        <f t="shared" si="3"/>
        <v>0</v>
      </c>
      <c r="Y11" s="86">
        <f t="shared" si="4"/>
        <v>0</v>
      </c>
      <c r="Z11" s="86">
        <f t="shared" si="5"/>
        <v>0</v>
      </c>
      <c r="AB11" s="136"/>
      <c r="AC11" s="90" t="s">
        <v>26</v>
      </c>
      <c r="AD11" s="136"/>
    </row>
    <row r="12" spans="1:30" ht="15">
      <c r="A12" s="82" t="s">
        <v>266</v>
      </c>
      <c r="B12" s="82"/>
      <c r="C12" s="88">
        <f>IFERROR(INDEX(Velas_máscara!$C$8:$W$52,MATCH(Velas!$A12,Velas_máscara!$A$8:$A$52,0),MATCH(Velas!C$7,Velas_máscara!$C$7:$W$7,0))*qtdsemana,"")</f>
        <v>0</v>
      </c>
      <c r="D12" s="88">
        <f>IFERROR(INDEX(Velas_máscara!$C$8:$W$52,MATCH(Velas!$A12,Velas_máscara!$A$8:$A$52,0),MATCH(Velas!D$7,Velas_máscara!$C$7:$W$7,0))*qtdsemana,"")</f>
        <v>0</v>
      </c>
      <c r="E12" s="88">
        <f>IFERROR(INDEX(Velas_máscara!$C$8:$W$52,MATCH(Velas!$A12,Velas_máscara!$A$8:$A$52,0),MATCH(Velas!E$7,Velas_máscara!$C$7:$W$7,0))*qtdsemana,"")</f>
        <v>0</v>
      </c>
      <c r="F12" s="88">
        <f>IFERROR(INDEX(Velas_máscara!$C$8:$W$52,MATCH(Velas!$A12,Velas_máscara!$A$8:$A$52,0),MATCH(Velas!F$7,Velas_máscara!$C$7:$W$7,0))*qtdsemana,"")</f>
        <v>0</v>
      </c>
      <c r="G12" s="88">
        <f>IFERROR(INDEX(Velas_máscara!$C$8:$W$52,MATCH(Velas!$A12,Velas_máscara!$A$8:$A$52,0),MATCH(Velas!G$7,Velas_máscara!$C$7:$W$7,0))*qtdsemana,"")</f>
        <v>0</v>
      </c>
      <c r="H12" s="88">
        <f>IFERROR(INDEX(Velas_máscara!$C$8:$W$52,MATCH(Velas!$A12,Velas_máscara!$A$8:$A$52,0),MATCH(Velas!H$7,Velas_máscara!$C$7:$W$7,0))*qtdsemana,"")</f>
        <v>0</v>
      </c>
      <c r="I12" s="88">
        <f>IFERROR(INDEX(Velas_máscara!$C$8:$W$52,MATCH(Velas!$A12,Velas_máscara!$A$8:$A$52,0),MATCH(Velas!I$7,Velas_máscara!$C$7:$W$7,0))*qtdsemana,"")</f>
        <v>0</v>
      </c>
      <c r="J12" s="88">
        <f>IFERROR(INDEX(Velas_máscara!$C$8:$W$52,MATCH(Velas!$A12,Velas_máscara!$A$8:$A$52,0),MATCH(Velas!J$7,Velas_máscara!$C$7:$W$7,0))*qtdsemana,"")</f>
        <v>8</v>
      </c>
      <c r="K12" s="88">
        <f>IFERROR(INDEX(Velas_máscara!$C$8:$W$52,MATCH(Velas!$A12,Velas_máscara!$A$8:$A$52,0),MATCH(Velas!K$7,Velas_máscara!$C$7:$W$7,0))*qtdsemana,"")</f>
        <v>0</v>
      </c>
      <c r="L12" s="88">
        <f>IFERROR(INDEX(Velas_máscara!$C$8:$W$52,MATCH(Velas!$A12,Velas_máscara!$A$8:$A$52,0),MATCH(Velas!L$7,Velas_máscara!$C$7:$W$7,0))*qtdsemana,"")</f>
        <v>0</v>
      </c>
      <c r="M12" s="88">
        <f>IFERROR(INDEX(Velas_máscara!$C$8:$W$52,MATCH(Velas!$A12,Velas_máscara!$A$8:$A$52,0),MATCH(Velas!M$7,Velas_máscara!$C$7:$W$7,0))*qtdsemana,"")</f>
        <v>0</v>
      </c>
      <c r="N12" s="88">
        <f>IFERROR(INDEX(Velas_máscara!$C$8:$W$52,MATCH(Velas!$A12,Velas_máscara!$A$8:$A$52,0),MATCH(Velas!N$7,Velas_máscara!$C$7:$W$7,0))*qtdsemana,"")</f>
        <v>0</v>
      </c>
      <c r="O12" s="88">
        <f>IFERROR(INDEX(Velas_máscara!$C$8:$W$52,MATCH(Velas!$A12,Velas_máscara!$A$8:$A$52,0),MATCH(Velas!O$7,Velas_máscara!$C$7:$W$7,0))*qtdsemana,"")</f>
        <v>0</v>
      </c>
      <c r="P12" s="88">
        <f>IFERROR(INDEX(Velas_máscara!$C$8:$W$52,MATCH(Velas!$A12,Velas_máscara!$A$8:$A$52,0),MATCH(Velas!P$7,Velas_máscara!$C$7:$W$7,0))*qtdsemana,"")</f>
        <v>0</v>
      </c>
      <c r="Q12" s="88">
        <f>IFERROR(INDEX(Velas_máscara!$C$8:$W$52,MATCH(Velas!$A12,Velas_máscara!$A$8:$A$52,0),MATCH(Velas!Q$7,Velas_máscara!$C$7:$W$7,0))*qtdsemana,"")</f>
        <v>0</v>
      </c>
      <c r="R12" s="88">
        <f>IFERROR(INDEX(Velas_máscara!$C$8:$W$52,MATCH(Velas!$A12,Velas_máscara!$A$8:$A$52,0),MATCH(Velas!R$7,Velas_máscara!$C$7:$W$7,0))*qtdsemana,"")</f>
        <v>0</v>
      </c>
      <c r="S12" s="88">
        <f>IFERROR(INDEX(Velas_máscara!$C$8:$W$52,MATCH(Velas!$A12,Velas_máscara!$A$8:$A$52,0),MATCH(Velas!S$7,Velas_máscara!$C$7:$W$7,0))*qtdsemana,"")</f>
        <v>0</v>
      </c>
      <c r="T12" s="88">
        <f>IFERROR(INDEX(Velas_máscara!$C$8:$W$52,MATCH(Velas!$A12,Velas_máscara!$A$8:$A$52,0),MATCH(Velas!T$7,Velas_máscara!$C$7:$W$7,0))*qtdsemana,"")</f>
        <v>0</v>
      </c>
      <c r="U12" s="88">
        <f>IFERROR(INDEX(Velas_máscara!$C$8:$W$52,MATCH(Velas!$A12,Velas_máscara!$A$8:$A$52,0),MATCH(Velas!U$7,Velas_máscara!$C$7:$W$7,0))*qtdsemana,"")</f>
        <v>0</v>
      </c>
      <c r="V12" s="88">
        <f>IFERROR(INDEX(Velas_máscara!$C$8:$W$52,MATCH(Velas!$A12,Velas_máscara!$A$8:$A$52,0),MATCH(Velas!V$7,Velas_máscara!$C$7:$W$7,0))*qtdsemana,"")</f>
        <v>0</v>
      </c>
      <c r="W12" s="88">
        <f>IFERROR(INDEX(Velas_máscara!$C$8:$W$52,MATCH(Velas!$A12,Velas_máscara!$A$8:$A$52,0),MATCH(Velas!W$7,Velas_máscara!$C$7:$W$7,0))*qtdsemana,"")</f>
        <v>0</v>
      </c>
      <c r="X12" s="136">
        <f t="shared" si="3"/>
        <v>8</v>
      </c>
      <c r="Y12" s="86">
        <f t="shared" si="4"/>
        <v>23.2</v>
      </c>
      <c r="Z12" s="86">
        <f t="shared" si="5"/>
        <v>28</v>
      </c>
      <c r="AA12" s="94" t="s">
        <v>284</v>
      </c>
      <c r="AB12" s="136"/>
      <c r="AC12" s="96">
        <f>AD9-AB9</f>
        <v>1000</v>
      </c>
      <c r="AD12" s="136"/>
    </row>
    <row r="13" spans="1:30" s="94" customFormat="1">
      <c r="A13" s="97" t="s">
        <v>97</v>
      </c>
      <c r="B13" s="97"/>
      <c r="C13" s="98">
        <f>IFERROR(INDEX(Velas_máscara!$C$8:$W$52,MATCH(Velas!$A13,Velas_máscara!$A$8:$A$52,0),MATCH(Velas!C$7,Velas_máscara!$C$7:$W$7,0))*qtdsemana,"")</f>
        <v>0</v>
      </c>
      <c r="D13" s="98">
        <f>IFERROR(INDEX(Velas_máscara!$C$8:$W$52,MATCH(Velas!$A13,Velas_máscara!$A$8:$A$52,0),MATCH(Velas!D$7,Velas_máscara!$C$7:$W$7,0))*qtdsemana,"")</f>
        <v>0</v>
      </c>
      <c r="E13" s="98">
        <f>IFERROR(INDEX(Velas_máscara!$C$8:$W$52,MATCH(Velas!$A13,Velas_máscara!$A$8:$A$52,0),MATCH(Velas!E$7,Velas_máscara!$C$7:$W$7,0))*qtdsemana,"")</f>
        <v>0</v>
      </c>
      <c r="F13" s="98">
        <f>IFERROR(INDEX(Velas_máscara!$C$8:$W$52,MATCH(Velas!$A13,Velas_máscara!$A$8:$A$52,0),MATCH(Velas!F$7,Velas_máscara!$C$7:$W$7,0))*qtdsemana,"")</f>
        <v>0</v>
      </c>
      <c r="G13" s="98">
        <f>IFERROR(INDEX(Velas_máscara!$C$8:$W$52,MATCH(Velas!$A13,Velas_máscara!$A$8:$A$52,0),MATCH(Velas!G$7,Velas_máscara!$C$7:$W$7,0))*qtdsemana,"")</f>
        <v>0</v>
      </c>
      <c r="H13" s="98">
        <f>IFERROR(INDEX(Velas_máscara!$C$8:$W$52,MATCH(Velas!$A13,Velas_máscara!$A$8:$A$52,0),MATCH(Velas!H$7,Velas_máscara!$C$7:$W$7,0))*qtdsemana,"")</f>
        <v>0</v>
      </c>
      <c r="I13" s="98">
        <f>IFERROR(INDEX(Velas_máscara!$C$8:$W$52,MATCH(Velas!$A13,Velas_máscara!$A$8:$A$52,0),MATCH(Velas!I$7,Velas_máscara!$C$7:$W$7,0))*qtdsemana,"")</f>
        <v>0</v>
      </c>
      <c r="J13" s="98">
        <f>IFERROR(INDEX(Velas_máscara!$C$8:$W$52,MATCH(Velas!$A13,Velas_máscara!$A$8:$A$52,0),MATCH(Velas!J$7,Velas_máscara!$C$7:$W$7,0))*qtdsemana,"")</f>
        <v>0</v>
      </c>
      <c r="K13" s="98">
        <f>IFERROR(INDEX(Velas_máscara!$C$8:$W$52,MATCH(Velas!$A13,Velas_máscara!$A$8:$A$52,0),MATCH(Velas!K$7,Velas_máscara!$C$7:$W$7,0))*qtdsemana,"")</f>
        <v>0</v>
      </c>
      <c r="L13" s="98">
        <f>IFERROR(INDEX(Velas_máscara!$C$8:$W$52,MATCH(Velas!$A13,Velas_máscara!$A$8:$A$52,0),MATCH(Velas!L$7,Velas_máscara!$C$7:$W$7,0))*qtdsemana,"")</f>
        <v>0</v>
      </c>
      <c r="M13" s="98">
        <f>IFERROR(INDEX(Velas_máscara!$C$8:$W$52,MATCH(Velas!$A13,Velas_máscara!$A$8:$A$52,0),MATCH(Velas!M$7,Velas_máscara!$C$7:$W$7,0))*qtdsemana,"")</f>
        <v>0</v>
      </c>
      <c r="N13" s="98">
        <f>IFERROR(INDEX(Velas_máscara!$C$8:$W$52,MATCH(Velas!$A13,Velas_máscara!$A$8:$A$52,0),MATCH(Velas!N$7,Velas_máscara!$C$7:$W$7,0))*qtdsemana,"")</f>
        <v>0</v>
      </c>
      <c r="O13" s="98">
        <f>IFERROR(INDEX(Velas_máscara!$C$8:$W$52,MATCH(Velas!$A13,Velas_máscara!$A$8:$A$52,0),MATCH(Velas!O$7,Velas_máscara!$C$7:$W$7,0))*qtdsemana,"")</f>
        <v>0</v>
      </c>
      <c r="P13" s="98">
        <f>IFERROR(INDEX(Velas_máscara!$C$8:$W$52,MATCH(Velas!$A13,Velas_máscara!$A$8:$A$52,0),MATCH(Velas!P$7,Velas_máscara!$C$7:$W$7,0))*qtdsemana,"")</f>
        <v>0</v>
      </c>
      <c r="Q13" s="98">
        <f>IFERROR(INDEX(Velas_máscara!$C$8:$W$52,MATCH(Velas!$A13,Velas_máscara!$A$8:$A$52,0),MATCH(Velas!Q$7,Velas_máscara!$C$7:$W$7,0))*qtdsemana,"")</f>
        <v>0</v>
      </c>
      <c r="R13" s="98">
        <f>IFERROR(INDEX(Velas_máscara!$C$8:$W$52,MATCH(Velas!$A13,Velas_máscara!$A$8:$A$52,0),MATCH(Velas!R$7,Velas_máscara!$C$7:$W$7,0))*qtdsemana,"")</f>
        <v>0</v>
      </c>
      <c r="S13" s="88">
        <f>IFERROR(INDEX(Velas_máscara!$C$8:$W$52,MATCH(Velas!$A13,Velas_máscara!$A$8:$A$52,0),MATCH(Velas!S$7,Velas_máscara!$C$7:$W$7,0))*qtdsemana,"")</f>
        <v>0</v>
      </c>
      <c r="T13" s="98">
        <f>IFERROR(INDEX(Velas_máscara!$C$8:$W$52,MATCH(Velas!$A13,Velas_máscara!$A$8:$A$52,0),MATCH(Velas!T$7,Velas_máscara!$C$7:$W$7,0))*qtdsemana,"")</f>
        <v>0</v>
      </c>
      <c r="U13" s="98">
        <f>IFERROR(INDEX(Velas_máscara!$C$8:$W$52,MATCH(Velas!$A13,Velas_máscara!$A$8:$A$52,0),MATCH(Velas!U$7,Velas_máscara!$C$7:$W$7,0))*qtdsemana,"")</f>
        <v>0</v>
      </c>
      <c r="V13" s="98">
        <f>IFERROR(INDEX(Velas_máscara!$C$8:$W$52,MATCH(Velas!$A13,Velas_máscara!$A$8:$A$52,0),MATCH(Velas!V$7,Velas_máscara!$C$7:$W$7,0))*qtdsemana,"")</f>
        <v>0</v>
      </c>
      <c r="W13" s="98">
        <f>IFERROR(INDEX(Velas_máscara!$C$8:$W$52,MATCH(Velas!$A13,Velas_máscara!$A$8:$A$52,0),MATCH(Velas!W$7,Velas_máscara!$C$7:$W$7,0))*qtdsemana,"")</f>
        <v>0</v>
      </c>
      <c r="X13" s="94">
        <f t="shared" si="3"/>
        <v>0</v>
      </c>
      <c r="Y13" s="139">
        <f t="shared" si="4"/>
        <v>0</v>
      </c>
      <c r="Z13" s="86">
        <f t="shared" si="5"/>
        <v>0</v>
      </c>
    </row>
    <row r="14" spans="1:30" s="94" customFormat="1">
      <c r="A14" s="97" t="s">
        <v>267</v>
      </c>
      <c r="B14" s="97"/>
      <c r="C14" s="98">
        <f>IFERROR(INDEX(Velas_máscara!$C$8:$W$52,MATCH(Velas!$A14,Velas_máscara!$A$8:$A$52,0),MATCH(Velas!C$7,Velas_máscara!$C$7:$W$7,0))*qtdsemana,"")</f>
        <v>0</v>
      </c>
      <c r="D14" s="98">
        <f>IFERROR(INDEX(Velas_máscara!$C$8:$W$52,MATCH(Velas!$A14,Velas_máscara!$A$8:$A$52,0),MATCH(Velas!D$7,Velas_máscara!$C$7:$W$7,0))*qtdsemana,"")</f>
        <v>0</v>
      </c>
      <c r="E14" s="98">
        <f>IFERROR(INDEX(Velas_máscara!$C$8:$W$52,MATCH(Velas!$A14,Velas_máscara!$A$8:$A$52,0),MATCH(Velas!E$7,Velas_máscara!$C$7:$W$7,0))*qtdsemana,"")</f>
        <v>0</v>
      </c>
      <c r="F14" s="98">
        <f>IFERROR(INDEX(Velas_máscara!$C$8:$W$52,MATCH(Velas!$A14,Velas_máscara!$A$8:$A$52,0),MATCH(Velas!F$7,Velas_máscara!$C$7:$W$7,0))*qtdsemana,"")</f>
        <v>0</v>
      </c>
      <c r="G14" s="98">
        <f>IFERROR(INDEX(Velas_máscara!$C$8:$W$52,MATCH(Velas!$A14,Velas_máscara!$A$8:$A$52,0),MATCH(Velas!G$7,Velas_máscara!$C$7:$W$7,0))*qtdsemana,"")</f>
        <v>0</v>
      </c>
      <c r="H14" s="98">
        <f>IFERROR(INDEX(Velas_máscara!$C$8:$W$52,MATCH(Velas!$A14,Velas_máscara!$A$8:$A$52,0),MATCH(Velas!H$7,Velas_máscara!$C$7:$W$7,0))*qtdsemana,"")</f>
        <v>0</v>
      </c>
      <c r="I14" s="98">
        <f>IFERROR(INDEX(Velas_máscara!$C$8:$W$52,MATCH(Velas!$A14,Velas_máscara!$A$8:$A$52,0),MATCH(Velas!I$7,Velas_máscara!$C$7:$W$7,0))*qtdsemana,"")</f>
        <v>0</v>
      </c>
      <c r="J14" s="98">
        <f>IFERROR(INDEX(Velas_máscara!$C$8:$W$52,MATCH(Velas!$A14,Velas_máscara!$A$8:$A$52,0),MATCH(Velas!J$7,Velas_máscara!$C$7:$W$7,0))*qtdsemana,"")</f>
        <v>0</v>
      </c>
      <c r="K14" s="98">
        <f>IFERROR(INDEX(Velas_máscara!$C$8:$W$52,MATCH(Velas!$A14,Velas_máscara!$A$8:$A$52,0),MATCH(Velas!K$7,Velas_máscara!$C$7:$W$7,0))*qtdsemana,"")</f>
        <v>0</v>
      </c>
      <c r="L14" s="98">
        <f>IFERROR(INDEX(Velas_máscara!$C$8:$W$52,MATCH(Velas!$A14,Velas_máscara!$A$8:$A$52,0),MATCH(Velas!L$7,Velas_máscara!$C$7:$W$7,0))*qtdsemana,"")</f>
        <v>0</v>
      </c>
      <c r="M14" s="98">
        <f>IFERROR(INDEX(Velas_máscara!$C$8:$W$52,MATCH(Velas!$A14,Velas_máscara!$A$8:$A$52,0),MATCH(Velas!M$7,Velas_máscara!$C$7:$W$7,0))*qtdsemana,"")</f>
        <v>0</v>
      </c>
      <c r="N14" s="98">
        <f>IFERROR(INDEX(Velas_máscara!$C$8:$W$52,MATCH(Velas!$A14,Velas_máscara!$A$8:$A$52,0),MATCH(Velas!N$7,Velas_máscara!$C$7:$W$7,0))*qtdsemana,"")</f>
        <v>0</v>
      </c>
      <c r="O14" s="98">
        <f>IFERROR(INDEX(Velas_máscara!$C$8:$W$52,MATCH(Velas!$A14,Velas_máscara!$A$8:$A$52,0),MATCH(Velas!O$7,Velas_máscara!$C$7:$W$7,0))*qtdsemana,"")</f>
        <v>0</v>
      </c>
      <c r="P14" s="98">
        <f>IFERROR(INDEX(Velas_máscara!$C$8:$W$52,MATCH(Velas!$A14,Velas_máscara!$A$8:$A$52,0),MATCH(Velas!P$7,Velas_máscara!$C$7:$W$7,0))*qtdsemana,"")</f>
        <v>0</v>
      </c>
      <c r="Q14" s="98">
        <f>IFERROR(INDEX(Velas_máscara!$C$8:$W$52,MATCH(Velas!$A14,Velas_máscara!$A$8:$A$52,0),MATCH(Velas!Q$7,Velas_máscara!$C$7:$W$7,0))*qtdsemana,"")</f>
        <v>0</v>
      </c>
      <c r="R14" s="98">
        <f>IFERROR(INDEX(Velas_máscara!$C$8:$W$52,MATCH(Velas!$A14,Velas_máscara!$A$8:$A$52,0),MATCH(Velas!R$7,Velas_máscara!$C$7:$W$7,0))*qtdsemana,"")</f>
        <v>0</v>
      </c>
      <c r="S14" s="88">
        <f>IFERROR(INDEX(Velas_máscara!$C$8:$W$52,MATCH(Velas!$A14,Velas_máscara!$A$8:$A$52,0),MATCH(Velas!S$7,Velas_máscara!$C$7:$W$7,0))*qtdsemana,"")</f>
        <v>0</v>
      </c>
      <c r="T14" s="98">
        <f>IFERROR(INDEX(Velas_máscara!$C$8:$W$52,MATCH(Velas!$A14,Velas_máscara!$A$8:$A$52,0),MATCH(Velas!T$7,Velas_máscara!$C$7:$W$7,0))*qtdsemana,"")</f>
        <v>0</v>
      </c>
      <c r="U14" s="98">
        <f>IFERROR(INDEX(Velas_máscara!$C$8:$W$52,MATCH(Velas!$A14,Velas_máscara!$A$8:$A$52,0),MATCH(Velas!U$7,Velas_máscara!$C$7:$W$7,0))*qtdsemana,"")</f>
        <v>0</v>
      </c>
      <c r="V14" s="98">
        <f>IFERROR(INDEX(Velas_máscara!$C$8:$W$52,MATCH(Velas!$A14,Velas_máscara!$A$8:$A$52,0),MATCH(Velas!V$7,Velas_máscara!$C$7:$W$7,0))*qtdsemana,"")</f>
        <v>0</v>
      </c>
      <c r="W14" s="98">
        <f>IFERROR(INDEX(Velas_máscara!$C$8:$W$52,MATCH(Velas!$A14,Velas_máscara!$A$8:$A$52,0),MATCH(Velas!W$7,Velas_máscara!$C$7:$W$7,0))*qtdsemana,"")</f>
        <v>0</v>
      </c>
      <c r="X14" s="94">
        <f t="shared" si="3"/>
        <v>0</v>
      </c>
      <c r="Y14" s="139">
        <f t="shared" si="4"/>
        <v>0</v>
      </c>
      <c r="Z14" s="86">
        <f t="shared" si="5"/>
        <v>0</v>
      </c>
    </row>
    <row r="15" spans="1:30" s="94" customFormat="1">
      <c r="A15" s="97" t="s">
        <v>23</v>
      </c>
      <c r="B15" s="97"/>
      <c r="C15" s="88">
        <f>IFERROR(INDEX(Velas_máscara!$C$8:$W$52,MATCH(Velas!$A15,Velas_máscara!$A$8:$A$52,0),MATCH(Velas!C$7,Velas_máscara!$C$7:$W$7,0))*qtdsemana,"")</f>
        <v>4</v>
      </c>
      <c r="D15" s="88">
        <f>IFERROR(INDEX(Velas_máscara!$C$8:$W$52,MATCH(Velas!$A15,Velas_máscara!$A$8:$A$52,0),MATCH(Velas!D$7,Velas_máscara!$C$7:$W$7,0))*qtdsemana,"")</f>
        <v>0</v>
      </c>
      <c r="E15" s="88">
        <f>IFERROR(INDEX(Velas_máscara!$C$8:$W$52,MATCH(Velas!$A15,Velas_máscara!$A$8:$A$52,0),MATCH(Velas!E$7,Velas_máscara!$C$7:$W$7,0))*qtdsemana,"")</f>
        <v>0</v>
      </c>
      <c r="F15" s="88">
        <f>IFERROR(INDEX(Velas_máscara!$C$8:$W$52,MATCH(Velas!$A15,Velas_máscara!$A$8:$A$52,0),MATCH(Velas!F$7,Velas_máscara!$C$7:$W$7,0))*qtdsemana,"")</f>
        <v>0</v>
      </c>
      <c r="G15" s="88">
        <f>IFERROR(INDEX(Velas_máscara!$C$8:$W$52,MATCH(Velas!$A15,Velas_máscara!$A$8:$A$52,0),MATCH(Velas!G$7,Velas_máscara!$C$7:$W$7,0))*qtdsemana,"")</f>
        <v>0</v>
      </c>
      <c r="H15" s="88">
        <f>IFERROR(INDEX(Velas_máscara!$C$8:$W$52,MATCH(Velas!$A15,Velas_máscara!$A$8:$A$52,0),MATCH(Velas!H$7,Velas_máscara!$C$7:$W$7,0))*qtdsemana,"")</f>
        <v>0</v>
      </c>
      <c r="I15" s="88">
        <f>IFERROR(INDEX(Velas_máscara!$C$8:$W$52,MATCH(Velas!$A15,Velas_máscara!$A$8:$A$52,0),MATCH(Velas!I$7,Velas_máscara!$C$7:$W$7,0))*qtdsemana,"")</f>
        <v>0</v>
      </c>
      <c r="J15" s="88">
        <f>IFERROR(INDEX(Velas_máscara!$C$8:$W$52,MATCH(Velas!$A15,Velas_máscara!$A$8:$A$52,0),MATCH(Velas!J$7,Velas_máscara!$C$7:$W$7,0))*qtdsemana,"")</f>
        <v>4</v>
      </c>
      <c r="K15" s="88">
        <f>IFERROR(INDEX(Velas_máscara!$C$8:$W$52,MATCH(Velas!$A15,Velas_máscara!$A$8:$A$52,0),MATCH(Velas!K$7,Velas_máscara!$C$7:$W$7,0))*qtdsemana,"")</f>
        <v>0</v>
      </c>
      <c r="L15" s="88">
        <f>IFERROR(INDEX(Velas_máscara!$C$8:$W$52,MATCH(Velas!$A15,Velas_máscara!$A$8:$A$52,0),MATCH(Velas!L$7,Velas_máscara!$C$7:$W$7,0))*qtdsemana,"")</f>
        <v>0</v>
      </c>
      <c r="M15" s="88">
        <f>IFERROR(INDEX(Velas_máscara!$C$8:$W$52,MATCH(Velas!$A15,Velas_máscara!$A$8:$A$52,0),MATCH(Velas!M$7,Velas_máscara!$C$7:$W$7,0))*qtdsemana,"")</f>
        <v>0</v>
      </c>
      <c r="N15" s="88">
        <f>IFERROR(INDEX(Velas_máscara!$C$8:$W$52,MATCH(Velas!$A15,Velas_máscara!$A$8:$A$52,0),MATCH(Velas!N$7,Velas_máscara!$C$7:$W$7,0))*qtdsemana,"")</f>
        <v>0</v>
      </c>
      <c r="O15" s="88">
        <f>IFERROR(INDEX(Velas_máscara!$C$8:$W$52,MATCH(Velas!$A15,Velas_máscara!$A$8:$A$52,0),MATCH(Velas!O$7,Velas_máscara!$C$7:$W$7,0))*qtdsemana,"")</f>
        <v>0</v>
      </c>
      <c r="P15" s="88">
        <f>IFERROR(INDEX(Velas_máscara!$C$8:$W$52,MATCH(Velas!$A15,Velas_máscara!$A$8:$A$52,0),MATCH(Velas!P$7,Velas_máscara!$C$7:$W$7,0))*qtdsemana,"")</f>
        <v>0</v>
      </c>
      <c r="Q15" s="88">
        <f>IFERROR(INDEX(Velas_máscara!$C$8:$W$52,MATCH(Velas!$A15,Velas_máscara!$A$8:$A$52,0),MATCH(Velas!Q$7,Velas_máscara!$C$7:$W$7,0))*qtdsemana,"")</f>
        <v>0</v>
      </c>
      <c r="R15" s="88">
        <f>IFERROR(INDEX(Velas_máscara!$C$8:$W$52,MATCH(Velas!$A15,Velas_máscara!$A$8:$A$52,0),MATCH(Velas!R$7,Velas_máscara!$C$7:$W$7,0))*qtdsemana,"")</f>
        <v>0</v>
      </c>
      <c r="S15" s="88">
        <f>IFERROR(INDEX(Velas_máscara!$C$8:$W$52,MATCH(Velas!$A15,Velas_máscara!$A$8:$A$52,0),MATCH(Velas!S$7,Velas_máscara!$C$7:$W$7,0))*qtdsemana,"")</f>
        <v>0</v>
      </c>
      <c r="T15" s="88">
        <f>IFERROR(INDEX(Velas_máscara!$C$8:$W$52,MATCH(Velas!$A15,Velas_máscara!$A$8:$A$52,0),MATCH(Velas!T$7,Velas_máscara!$C$7:$W$7,0))*qtdsemana,"")</f>
        <v>0</v>
      </c>
      <c r="U15" s="88">
        <f>IFERROR(INDEX(Velas_máscara!$C$8:$W$52,MATCH(Velas!$A15,Velas_máscara!$A$8:$A$52,0),MATCH(Velas!U$7,Velas_máscara!$C$7:$W$7,0))*qtdsemana,"")</f>
        <v>0</v>
      </c>
      <c r="V15" s="88">
        <f>IFERROR(INDEX(Velas_máscara!$C$8:$W$52,MATCH(Velas!$A15,Velas_máscara!$A$8:$A$52,0),MATCH(Velas!V$7,Velas_máscara!$C$7:$W$7,0))*qtdsemana,"")</f>
        <v>0</v>
      </c>
      <c r="W15" s="88">
        <f>IFERROR(INDEX(Velas_máscara!$C$8:$W$52,MATCH(Velas!$A15,Velas_máscara!$A$8:$A$52,0),MATCH(Velas!W$7,Velas_máscara!$C$7:$W$7,0))*qtdsemana,"")</f>
        <v>0</v>
      </c>
      <c r="X15" s="94">
        <f t="shared" si="3"/>
        <v>8</v>
      </c>
      <c r="Y15" s="139">
        <f t="shared" si="4"/>
        <v>29.6</v>
      </c>
      <c r="Z15" s="86">
        <f t="shared" si="5"/>
        <v>34.4</v>
      </c>
      <c r="AB15" s="136"/>
    </row>
    <row r="16" spans="1:30" s="94" customFormat="1">
      <c r="A16" s="97" t="s">
        <v>98</v>
      </c>
      <c r="B16" s="97"/>
      <c r="C16" s="98">
        <f>IFERROR(INDEX(Velas_máscara!$C$8:$W$52,MATCH(Velas!$A16,Velas_máscara!$A$8:$A$52,0),MATCH(Velas!C$7,Velas_máscara!$C$7:$W$7,0))*qtdsemana,"")</f>
        <v>0</v>
      </c>
      <c r="D16" s="98">
        <f>IFERROR(INDEX(Velas_máscara!$C$8:$W$52,MATCH(Velas!$A16,Velas_máscara!$A$8:$A$52,0),MATCH(Velas!D$7,Velas_máscara!$C$7:$W$7,0))*qtdsemana,"")</f>
        <v>0</v>
      </c>
      <c r="E16" s="98">
        <f>IFERROR(INDEX(Velas_máscara!$C$8:$W$52,MATCH(Velas!$A16,Velas_máscara!$A$8:$A$52,0),MATCH(Velas!E$7,Velas_máscara!$C$7:$W$7,0))*qtdsemana,"")</f>
        <v>0</v>
      </c>
      <c r="F16" s="98">
        <f>IFERROR(INDEX(Velas_máscara!$C$8:$W$52,MATCH(Velas!$A16,Velas_máscara!$A$8:$A$52,0),MATCH(Velas!F$7,Velas_máscara!$C$7:$W$7,0))*qtdsemana,"")</f>
        <v>0</v>
      </c>
      <c r="G16" s="98">
        <f>IFERROR(INDEX(Velas_máscara!$C$8:$W$52,MATCH(Velas!$A16,Velas_máscara!$A$8:$A$52,0),MATCH(Velas!G$7,Velas_máscara!$C$7:$W$7,0))*qtdsemana,"")</f>
        <v>0</v>
      </c>
      <c r="H16" s="98">
        <f>IFERROR(INDEX(Velas_máscara!$C$8:$W$52,MATCH(Velas!$A16,Velas_máscara!$A$8:$A$52,0),MATCH(Velas!H$7,Velas_máscara!$C$7:$W$7,0))*qtdsemana,"")</f>
        <v>0</v>
      </c>
      <c r="I16" s="98">
        <f>IFERROR(INDEX(Velas_máscara!$C$8:$W$52,MATCH(Velas!$A16,Velas_máscara!$A$8:$A$52,0),MATCH(Velas!I$7,Velas_máscara!$C$7:$W$7,0))*qtdsemana,"")</f>
        <v>0</v>
      </c>
      <c r="J16" s="98">
        <f>IFERROR(INDEX(Velas_máscara!$C$8:$W$52,MATCH(Velas!$A16,Velas_máscara!$A$8:$A$52,0),MATCH(Velas!J$7,Velas_máscara!$C$7:$W$7,0))*qtdsemana,"")</f>
        <v>0</v>
      </c>
      <c r="K16" s="98">
        <f>IFERROR(INDEX(Velas_máscara!$C$8:$W$52,MATCH(Velas!$A16,Velas_máscara!$A$8:$A$52,0),MATCH(Velas!K$7,Velas_máscara!$C$7:$W$7,0))*qtdsemana,"")</f>
        <v>0</v>
      </c>
      <c r="L16" s="98">
        <f>IFERROR(INDEX(Velas_máscara!$C$8:$W$52,MATCH(Velas!$A16,Velas_máscara!$A$8:$A$52,0),MATCH(Velas!L$7,Velas_máscara!$C$7:$W$7,0))*qtdsemana,"")</f>
        <v>0</v>
      </c>
      <c r="M16" s="98">
        <f>IFERROR(INDEX(Velas_máscara!$C$8:$W$52,MATCH(Velas!$A16,Velas_máscara!$A$8:$A$52,0),MATCH(Velas!M$7,Velas_máscara!$C$7:$W$7,0))*qtdsemana,"")</f>
        <v>0</v>
      </c>
      <c r="N16" s="98">
        <f>IFERROR(INDEX(Velas_máscara!$C$8:$W$52,MATCH(Velas!$A16,Velas_máscara!$A$8:$A$52,0),MATCH(Velas!N$7,Velas_máscara!$C$7:$W$7,0))*qtdsemana,"")</f>
        <v>0</v>
      </c>
      <c r="O16" s="98">
        <f>IFERROR(INDEX(Velas_máscara!$C$8:$W$52,MATCH(Velas!$A16,Velas_máscara!$A$8:$A$52,0),MATCH(Velas!O$7,Velas_máscara!$C$7:$W$7,0))*qtdsemana,"")</f>
        <v>0</v>
      </c>
      <c r="P16" s="98">
        <f>IFERROR(INDEX(Velas_máscara!$C$8:$W$52,MATCH(Velas!$A16,Velas_máscara!$A$8:$A$52,0),MATCH(Velas!P$7,Velas_máscara!$C$7:$W$7,0))*qtdsemana,"")</f>
        <v>0</v>
      </c>
      <c r="Q16" s="98">
        <f>IFERROR(INDEX(Velas_máscara!$C$8:$W$52,MATCH(Velas!$A16,Velas_máscara!$A$8:$A$52,0),MATCH(Velas!Q$7,Velas_máscara!$C$7:$W$7,0))*qtdsemana,"")</f>
        <v>0</v>
      </c>
      <c r="R16" s="98">
        <f>IFERROR(INDEX(Velas_máscara!$C$8:$W$52,MATCH(Velas!$A16,Velas_máscara!$A$8:$A$52,0),MATCH(Velas!R$7,Velas_máscara!$C$7:$W$7,0))*qtdsemana,"")</f>
        <v>0</v>
      </c>
      <c r="S16" s="88">
        <f>IFERROR(INDEX(Velas_máscara!$C$8:$W$52,MATCH(Velas!$A16,Velas_máscara!$A$8:$A$52,0),MATCH(Velas!S$7,Velas_máscara!$C$7:$W$7,0))*qtdsemana,"")</f>
        <v>0</v>
      </c>
      <c r="T16" s="98">
        <f>IFERROR(INDEX(Velas_máscara!$C$8:$W$52,MATCH(Velas!$A16,Velas_máscara!$A$8:$A$52,0),MATCH(Velas!T$7,Velas_máscara!$C$7:$W$7,0))*qtdsemana,"")</f>
        <v>0</v>
      </c>
      <c r="U16" s="98">
        <f>IFERROR(INDEX(Velas_máscara!$C$8:$W$52,MATCH(Velas!$A16,Velas_máscara!$A$8:$A$52,0),MATCH(Velas!U$7,Velas_máscara!$C$7:$W$7,0))*qtdsemana,"")</f>
        <v>0</v>
      </c>
      <c r="V16" s="98">
        <f>IFERROR(INDEX(Velas_máscara!$C$8:$W$52,MATCH(Velas!$A16,Velas_máscara!$A$8:$A$52,0),MATCH(Velas!V$7,Velas_máscara!$C$7:$W$7,0))*qtdsemana,"")</f>
        <v>0</v>
      </c>
      <c r="W16" s="98">
        <f>IFERROR(INDEX(Velas_máscara!$C$8:$W$52,MATCH(Velas!$A16,Velas_máscara!$A$8:$A$52,0),MATCH(Velas!W$7,Velas_máscara!$C$7:$W$7,0))*qtdsemana,"")</f>
        <v>0</v>
      </c>
      <c r="X16" s="94">
        <f t="shared" si="3"/>
        <v>0</v>
      </c>
      <c r="Y16" s="139">
        <f t="shared" si="4"/>
        <v>0</v>
      </c>
      <c r="Z16" s="86">
        <f t="shared" si="5"/>
        <v>0</v>
      </c>
    </row>
    <row r="17" spans="1:28" s="94" customFormat="1">
      <c r="A17" s="97" t="s">
        <v>54</v>
      </c>
      <c r="B17" s="97"/>
      <c r="C17" s="98">
        <f>IFERROR(INDEX(Velas_máscara!$C$8:$W$52,MATCH(Velas!$A17,Velas_máscara!$A$8:$A$52,0),MATCH(Velas!C$7,Velas_máscara!$C$7:$W$7,0))*qtdsemana,"")</f>
        <v>0</v>
      </c>
      <c r="D17" s="98">
        <f>IFERROR(INDEX(Velas_máscara!$C$8:$W$52,MATCH(Velas!$A17,Velas_máscara!$A$8:$A$52,0),MATCH(Velas!D$7,Velas_máscara!$C$7:$W$7,0))*qtdsemana,"")</f>
        <v>0</v>
      </c>
      <c r="E17" s="98">
        <f>IFERROR(INDEX(Velas_máscara!$C$8:$W$52,MATCH(Velas!$A17,Velas_máscara!$A$8:$A$52,0),MATCH(Velas!E$7,Velas_máscara!$C$7:$W$7,0))*qtdsemana,"")</f>
        <v>0</v>
      </c>
      <c r="F17" s="98">
        <f>IFERROR(INDEX(Velas_máscara!$C$8:$W$52,MATCH(Velas!$A17,Velas_máscara!$A$8:$A$52,0),MATCH(Velas!F$7,Velas_máscara!$C$7:$W$7,0))*qtdsemana,"")</f>
        <v>0</v>
      </c>
      <c r="G17" s="98">
        <f>IFERROR(INDEX(Velas_máscara!$C$8:$W$52,MATCH(Velas!$A17,Velas_máscara!$A$8:$A$52,0),MATCH(Velas!G$7,Velas_máscara!$C$7:$W$7,0))*qtdsemana,"")</f>
        <v>0</v>
      </c>
      <c r="H17" s="98">
        <f>IFERROR(INDEX(Velas_máscara!$C$8:$W$52,MATCH(Velas!$A17,Velas_máscara!$A$8:$A$52,0),MATCH(Velas!H$7,Velas_máscara!$C$7:$W$7,0))*qtdsemana,"")</f>
        <v>0</v>
      </c>
      <c r="I17" s="98">
        <f>IFERROR(INDEX(Velas_máscara!$C$8:$W$52,MATCH(Velas!$A17,Velas_máscara!$A$8:$A$52,0),MATCH(Velas!I$7,Velas_máscara!$C$7:$W$7,0))*qtdsemana,"")</f>
        <v>0</v>
      </c>
      <c r="J17" s="98">
        <f>IFERROR(INDEX(Velas_máscara!$C$8:$W$52,MATCH(Velas!$A17,Velas_máscara!$A$8:$A$52,0),MATCH(Velas!J$7,Velas_máscara!$C$7:$W$7,0))*qtdsemana,"")</f>
        <v>0</v>
      </c>
      <c r="K17" s="98">
        <f>IFERROR(INDEX(Velas_máscara!$C$8:$W$52,MATCH(Velas!$A17,Velas_máscara!$A$8:$A$52,0),MATCH(Velas!K$7,Velas_máscara!$C$7:$W$7,0))*qtdsemana,"")</f>
        <v>0</v>
      </c>
      <c r="L17" s="98">
        <f>IFERROR(INDEX(Velas_máscara!$C$8:$W$52,MATCH(Velas!$A17,Velas_máscara!$A$8:$A$52,0),MATCH(Velas!L$7,Velas_máscara!$C$7:$W$7,0))*qtdsemana,"")</f>
        <v>0</v>
      </c>
      <c r="M17" s="98">
        <f>IFERROR(INDEX(Velas_máscara!$C$8:$W$52,MATCH(Velas!$A17,Velas_máscara!$A$8:$A$52,0),MATCH(Velas!M$7,Velas_máscara!$C$7:$W$7,0))*qtdsemana,"")</f>
        <v>0</v>
      </c>
      <c r="N17" s="98">
        <f>IFERROR(INDEX(Velas_máscara!$C$8:$W$52,MATCH(Velas!$A17,Velas_máscara!$A$8:$A$52,0),MATCH(Velas!N$7,Velas_máscara!$C$7:$W$7,0))*qtdsemana,"")</f>
        <v>0</v>
      </c>
      <c r="O17" s="98">
        <f>IFERROR(INDEX(Velas_máscara!$C$8:$W$52,MATCH(Velas!$A17,Velas_máscara!$A$8:$A$52,0),MATCH(Velas!O$7,Velas_máscara!$C$7:$W$7,0))*qtdsemana,"")</f>
        <v>0</v>
      </c>
      <c r="P17" s="98">
        <f>IFERROR(INDEX(Velas_máscara!$C$8:$W$52,MATCH(Velas!$A17,Velas_máscara!$A$8:$A$52,0),MATCH(Velas!P$7,Velas_máscara!$C$7:$W$7,0))*qtdsemana,"")</f>
        <v>0</v>
      </c>
      <c r="Q17" s="98">
        <f>IFERROR(INDEX(Velas_máscara!$C$8:$W$52,MATCH(Velas!$A17,Velas_máscara!$A$8:$A$52,0),MATCH(Velas!Q$7,Velas_máscara!$C$7:$W$7,0))*qtdsemana,"")</f>
        <v>0</v>
      </c>
      <c r="R17" s="98">
        <f>IFERROR(INDEX(Velas_máscara!$C$8:$W$52,MATCH(Velas!$A17,Velas_máscara!$A$8:$A$52,0),MATCH(Velas!R$7,Velas_máscara!$C$7:$W$7,0))*qtdsemana,"")</f>
        <v>0</v>
      </c>
      <c r="S17" s="88">
        <f>IFERROR(INDEX(Velas_máscara!$C$8:$W$52,MATCH(Velas!$A17,Velas_máscara!$A$8:$A$52,0),MATCH(Velas!S$7,Velas_máscara!$C$7:$W$7,0))*qtdsemana,"")</f>
        <v>0</v>
      </c>
      <c r="T17" s="98">
        <f>IFERROR(INDEX(Velas_máscara!$C$8:$W$52,MATCH(Velas!$A17,Velas_máscara!$A$8:$A$52,0),MATCH(Velas!T$7,Velas_máscara!$C$7:$W$7,0))*qtdsemana,"")</f>
        <v>0</v>
      </c>
      <c r="U17" s="98">
        <f>IFERROR(INDEX(Velas_máscara!$C$8:$W$52,MATCH(Velas!$A17,Velas_máscara!$A$8:$A$52,0),MATCH(Velas!U$7,Velas_máscara!$C$7:$W$7,0))*qtdsemana,"")</f>
        <v>0</v>
      </c>
      <c r="V17" s="98">
        <f>IFERROR(INDEX(Velas_máscara!$C$8:$W$52,MATCH(Velas!$A17,Velas_máscara!$A$8:$A$52,0),MATCH(Velas!V$7,Velas_máscara!$C$7:$W$7,0))*qtdsemana,"")</f>
        <v>0</v>
      </c>
      <c r="W17" s="98">
        <f>IFERROR(INDEX(Velas_máscara!$C$8:$W$52,MATCH(Velas!$A17,Velas_máscara!$A$8:$A$52,0),MATCH(Velas!W$7,Velas_máscara!$C$7:$W$7,0))*qtdsemana,"")</f>
        <v>0</v>
      </c>
      <c r="X17" s="94">
        <f t="shared" si="3"/>
        <v>0</v>
      </c>
      <c r="Y17" s="139">
        <f t="shared" si="4"/>
        <v>0</v>
      </c>
      <c r="Z17" s="86">
        <f t="shared" si="5"/>
        <v>0</v>
      </c>
    </row>
    <row r="18" spans="1:28" s="94" customFormat="1">
      <c r="A18" s="97" t="s">
        <v>31</v>
      </c>
      <c r="B18" s="97"/>
      <c r="C18" s="88">
        <f>IFERROR(INDEX(Velas_máscara!$C$8:$W$52,MATCH(Velas!$A18,Velas_máscara!$A$8:$A$52,0),MATCH(Velas!C$7,Velas_máscara!$C$7:$W$7,0))*qtdsemana,"")</f>
        <v>0</v>
      </c>
      <c r="D18" s="88">
        <f>IFERROR(INDEX(Velas_máscara!$C$8:$W$52,MATCH(Velas!$A18,Velas_máscara!$A$8:$A$52,0),MATCH(Velas!D$7,Velas_máscara!$C$7:$W$7,0))*qtdsemana,"")</f>
        <v>0</v>
      </c>
      <c r="E18" s="88">
        <f>IFERROR(INDEX(Velas_máscara!$C$8:$W$52,MATCH(Velas!$A18,Velas_máscara!$A$8:$A$52,0),MATCH(Velas!E$7,Velas_máscara!$C$7:$W$7,0))*qtdsemana,"")</f>
        <v>0</v>
      </c>
      <c r="F18" s="88">
        <f>IFERROR(INDEX(Velas_máscara!$C$8:$W$52,MATCH(Velas!$A18,Velas_máscara!$A$8:$A$52,0),MATCH(Velas!F$7,Velas_máscara!$C$7:$W$7,0))*qtdsemana,"")</f>
        <v>0</v>
      </c>
      <c r="G18" s="88">
        <f>IFERROR(INDEX(Velas_máscara!$C$8:$W$52,MATCH(Velas!$A18,Velas_máscara!$A$8:$A$52,0),MATCH(Velas!G$7,Velas_máscara!$C$7:$W$7,0))*qtdsemana,"")</f>
        <v>0</v>
      </c>
      <c r="H18" s="88">
        <f>IFERROR(INDEX(Velas_máscara!$C$8:$W$52,MATCH(Velas!$A18,Velas_máscara!$A$8:$A$52,0),MATCH(Velas!H$7,Velas_máscara!$C$7:$W$7,0))*qtdsemana,"")</f>
        <v>0</v>
      </c>
      <c r="I18" s="88">
        <f>IFERROR(INDEX(Velas_máscara!$C$8:$W$52,MATCH(Velas!$A18,Velas_máscara!$A$8:$A$52,0),MATCH(Velas!I$7,Velas_máscara!$C$7:$W$7,0))*qtdsemana,"")</f>
        <v>0</v>
      </c>
      <c r="J18" s="88">
        <f>IFERROR(INDEX(Velas_máscara!$C$8:$W$52,MATCH(Velas!$A18,Velas_máscara!$A$8:$A$52,0),MATCH(Velas!J$7,Velas_máscara!$C$7:$W$7,0))*qtdsemana,"")</f>
        <v>4</v>
      </c>
      <c r="K18" s="88">
        <f>IFERROR(INDEX(Velas_máscara!$C$8:$W$52,MATCH(Velas!$A18,Velas_máscara!$A$8:$A$52,0),MATCH(Velas!K$7,Velas_máscara!$C$7:$W$7,0))*qtdsemana,"")</f>
        <v>0</v>
      </c>
      <c r="L18" s="88">
        <f>IFERROR(INDEX(Velas_máscara!$C$8:$W$52,MATCH(Velas!$A18,Velas_máscara!$A$8:$A$52,0),MATCH(Velas!L$7,Velas_máscara!$C$7:$W$7,0))*qtdsemana,"")</f>
        <v>0</v>
      </c>
      <c r="M18" s="88">
        <f>IFERROR(INDEX(Velas_máscara!$C$8:$W$52,MATCH(Velas!$A18,Velas_máscara!$A$8:$A$52,0),MATCH(Velas!M$7,Velas_máscara!$C$7:$W$7,0))*qtdsemana,"")</f>
        <v>0</v>
      </c>
      <c r="N18" s="88">
        <f>IFERROR(INDEX(Velas_máscara!$C$8:$W$52,MATCH(Velas!$A18,Velas_máscara!$A$8:$A$52,0),MATCH(Velas!N$7,Velas_máscara!$C$7:$W$7,0))*qtdsemana,"")</f>
        <v>0</v>
      </c>
      <c r="O18" s="88">
        <f>IFERROR(INDEX(Velas_máscara!$C$8:$W$52,MATCH(Velas!$A18,Velas_máscara!$A$8:$A$52,0),MATCH(Velas!O$7,Velas_máscara!$C$7:$W$7,0))*qtdsemana,"")</f>
        <v>0</v>
      </c>
      <c r="P18" s="88">
        <f>IFERROR(INDEX(Velas_máscara!$C$8:$W$52,MATCH(Velas!$A18,Velas_máscara!$A$8:$A$52,0),MATCH(Velas!P$7,Velas_máscara!$C$7:$W$7,0))*qtdsemana,"")</f>
        <v>4</v>
      </c>
      <c r="Q18" s="88">
        <f>IFERROR(INDEX(Velas_máscara!$C$8:$W$52,MATCH(Velas!$A18,Velas_máscara!$A$8:$A$52,0),MATCH(Velas!Q$7,Velas_máscara!$C$7:$W$7,0))*qtdsemana,"")</f>
        <v>0</v>
      </c>
      <c r="R18" s="88">
        <f>IFERROR(INDEX(Velas_máscara!$C$8:$W$52,MATCH(Velas!$A18,Velas_máscara!$A$8:$A$52,0),MATCH(Velas!R$7,Velas_máscara!$C$7:$W$7,0))*qtdsemana,"")</f>
        <v>4</v>
      </c>
      <c r="S18" s="88">
        <f>IFERROR(INDEX(Velas_máscara!$C$8:$W$52,MATCH(Velas!$A18,Velas_máscara!$A$8:$A$52,0),MATCH(Velas!S$7,Velas_máscara!$C$7:$W$7,0))*qtdsemana,"")</f>
        <v>0</v>
      </c>
      <c r="T18" s="88">
        <f>IFERROR(INDEX(Velas_máscara!$C$8:$W$52,MATCH(Velas!$A18,Velas_máscara!$A$8:$A$52,0),MATCH(Velas!T$7,Velas_máscara!$C$7:$W$7,0))*qtdsemana,"")</f>
        <v>0</v>
      </c>
      <c r="U18" s="88">
        <f>IFERROR(INDEX(Velas_máscara!$C$8:$W$52,MATCH(Velas!$A18,Velas_máscara!$A$8:$A$52,0),MATCH(Velas!U$7,Velas_máscara!$C$7:$W$7,0))*qtdsemana,"")</f>
        <v>0</v>
      </c>
      <c r="V18" s="88">
        <f>IFERROR(INDEX(Velas_máscara!$C$8:$W$52,MATCH(Velas!$A18,Velas_máscara!$A$8:$A$52,0),MATCH(Velas!V$7,Velas_máscara!$C$7:$W$7,0))*qtdsemana,"")</f>
        <v>0</v>
      </c>
      <c r="W18" s="88">
        <f>IFERROR(INDEX(Velas_máscara!$C$8:$W$52,MATCH(Velas!$A18,Velas_máscara!$A$8:$A$52,0),MATCH(Velas!W$7,Velas_máscara!$C$7:$W$7,0))*qtdsemana,"")</f>
        <v>4</v>
      </c>
      <c r="X18" s="94">
        <f t="shared" si="3"/>
        <v>16</v>
      </c>
      <c r="Y18" s="139">
        <f t="shared" si="4"/>
        <v>46.4</v>
      </c>
      <c r="Z18" s="86">
        <f t="shared" si="5"/>
        <v>56</v>
      </c>
      <c r="AB18" s="136"/>
    </row>
    <row r="19" spans="1:28" s="94" customFormat="1">
      <c r="A19" s="97" t="s">
        <v>126</v>
      </c>
      <c r="B19" s="97"/>
      <c r="C19" s="88">
        <f>IFERROR(INDEX(Velas_máscara!$C$8:$W$52,MATCH(Velas!$A19,Velas_máscara!$A$8:$A$52,0),MATCH(Velas!C$7,Velas_máscara!$C$7:$W$7,0))*qtdsemana,"")</f>
        <v>0</v>
      </c>
      <c r="D19" s="88">
        <f>IFERROR(INDEX(Velas_máscara!$C$8:$W$52,MATCH(Velas!$A19,Velas_máscara!$A$8:$A$52,0),MATCH(Velas!D$7,Velas_máscara!$C$7:$W$7,0))*qtdsemana,"")</f>
        <v>0</v>
      </c>
      <c r="E19" s="88">
        <f>IFERROR(INDEX(Velas_máscara!$C$8:$W$52,MATCH(Velas!$A19,Velas_máscara!$A$8:$A$52,0),MATCH(Velas!E$7,Velas_máscara!$C$7:$W$7,0))*qtdsemana,"")</f>
        <v>0</v>
      </c>
      <c r="F19" s="88">
        <f>IFERROR(INDEX(Velas_máscara!$C$8:$W$52,MATCH(Velas!$A19,Velas_máscara!$A$8:$A$52,0),MATCH(Velas!F$7,Velas_máscara!$C$7:$W$7,0))*qtdsemana,"")</f>
        <v>0</v>
      </c>
      <c r="G19" s="88">
        <f>IFERROR(INDEX(Velas_máscara!$C$8:$W$52,MATCH(Velas!$A19,Velas_máscara!$A$8:$A$52,0),MATCH(Velas!G$7,Velas_máscara!$C$7:$W$7,0))*qtdsemana,"")</f>
        <v>0</v>
      </c>
      <c r="H19" s="88">
        <f>IFERROR(INDEX(Velas_máscara!$C$8:$W$52,MATCH(Velas!$A19,Velas_máscara!$A$8:$A$52,0),MATCH(Velas!H$7,Velas_máscara!$C$7:$W$7,0))*qtdsemana,"")</f>
        <v>0</v>
      </c>
      <c r="I19" s="88">
        <f>IFERROR(INDEX(Velas_máscara!$C$8:$W$52,MATCH(Velas!$A19,Velas_máscara!$A$8:$A$52,0),MATCH(Velas!I$7,Velas_máscara!$C$7:$W$7,0))*qtdsemana,"")</f>
        <v>0</v>
      </c>
      <c r="J19" s="88">
        <f>IFERROR(INDEX(Velas_máscara!$C$8:$W$52,MATCH(Velas!$A19,Velas_máscara!$A$8:$A$52,0),MATCH(Velas!J$7,Velas_máscara!$C$7:$W$7,0))*qtdsemana,"")</f>
        <v>4</v>
      </c>
      <c r="K19" s="88">
        <f>IFERROR(INDEX(Velas_máscara!$C$8:$W$52,MATCH(Velas!$A19,Velas_máscara!$A$8:$A$52,0),MATCH(Velas!K$7,Velas_máscara!$C$7:$W$7,0))*qtdsemana,"")</f>
        <v>0</v>
      </c>
      <c r="L19" s="88">
        <f>IFERROR(INDEX(Velas_máscara!$C$8:$W$52,MATCH(Velas!$A19,Velas_máscara!$A$8:$A$52,0),MATCH(Velas!L$7,Velas_máscara!$C$7:$W$7,0))*qtdsemana,"")</f>
        <v>0</v>
      </c>
      <c r="M19" s="88">
        <f>IFERROR(INDEX(Velas_máscara!$C$8:$W$52,MATCH(Velas!$A19,Velas_máscara!$A$8:$A$52,0),MATCH(Velas!M$7,Velas_máscara!$C$7:$W$7,0))*qtdsemana,"")</f>
        <v>0</v>
      </c>
      <c r="N19" s="88">
        <f>IFERROR(INDEX(Velas_máscara!$C$8:$W$52,MATCH(Velas!$A19,Velas_máscara!$A$8:$A$52,0),MATCH(Velas!N$7,Velas_máscara!$C$7:$W$7,0))*qtdsemana,"")</f>
        <v>0</v>
      </c>
      <c r="O19" s="88">
        <f>IFERROR(INDEX(Velas_máscara!$C$8:$W$52,MATCH(Velas!$A19,Velas_máscara!$A$8:$A$52,0),MATCH(Velas!O$7,Velas_máscara!$C$7:$W$7,0))*qtdsemana,"")</f>
        <v>0</v>
      </c>
      <c r="P19" s="88">
        <f>IFERROR(INDEX(Velas_máscara!$C$8:$W$52,MATCH(Velas!$A19,Velas_máscara!$A$8:$A$52,0),MATCH(Velas!P$7,Velas_máscara!$C$7:$W$7,0))*qtdsemana,"")</f>
        <v>0</v>
      </c>
      <c r="Q19" s="88">
        <f>IFERROR(INDEX(Velas_máscara!$C$8:$W$52,MATCH(Velas!$A19,Velas_máscara!$A$8:$A$52,0),MATCH(Velas!Q$7,Velas_máscara!$C$7:$W$7,0))*qtdsemana,"")</f>
        <v>0</v>
      </c>
      <c r="R19" s="88">
        <f>IFERROR(INDEX(Velas_máscara!$C$8:$W$52,MATCH(Velas!$A19,Velas_máscara!$A$8:$A$52,0),MATCH(Velas!R$7,Velas_máscara!$C$7:$W$7,0))*qtdsemana,"")</f>
        <v>0</v>
      </c>
      <c r="S19" s="88">
        <f>IFERROR(INDEX(Velas_máscara!$C$8:$W$52,MATCH(Velas!$A19,Velas_máscara!$A$8:$A$52,0),MATCH(Velas!S$7,Velas_máscara!$C$7:$W$7,0))*qtdsemana,"")</f>
        <v>0</v>
      </c>
      <c r="T19" s="88">
        <f>IFERROR(INDEX(Velas_máscara!$C$8:$W$52,MATCH(Velas!$A19,Velas_máscara!$A$8:$A$52,0),MATCH(Velas!T$7,Velas_máscara!$C$7:$W$7,0))*qtdsemana,"")</f>
        <v>0</v>
      </c>
      <c r="U19" s="88">
        <f>IFERROR(INDEX(Velas_máscara!$C$8:$W$52,MATCH(Velas!$A19,Velas_máscara!$A$8:$A$52,0),MATCH(Velas!U$7,Velas_máscara!$C$7:$W$7,0))*qtdsemana,"")</f>
        <v>0</v>
      </c>
      <c r="V19" s="88">
        <f>IFERROR(INDEX(Velas_máscara!$C$8:$W$52,MATCH(Velas!$A19,Velas_máscara!$A$8:$A$52,0),MATCH(Velas!V$7,Velas_máscara!$C$7:$W$7,0))*qtdsemana,"")</f>
        <v>0</v>
      </c>
      <c r="W19" s="88">
        <f>IFERROR(INDEX(Velas_máscara!$C$8:$W$52,MATCH(Velas!$A19,Velas_máscara!$A$8:$A$52,0),MATCH(Velas!W$7,Velas_máscara!$C$7:$W$7,0))*qtdsemana,"")</f>
        <v>0</v>
      </c>
      <c r="X19" s="94">
        <f t="shared" si="3"/>
        <v>4</v>
      </c>
      <c r="Y19" s="139">
        <f t="shared" si="4"/>
        <v>11.6</v>
      </c>
      <c r="Z19" s="86">
        <f t="shared" si="5"/>
        <v>14</v>
      </c>
      <c r="AB19" s="136"/>
    </row>
    <row r="20" spans="1:28" s="94" customFormat="1">
      <c r="A20" s="97" t="s">
        <v>268</v>
      </c>
      <c r="B20" s="97"/>
      <c r="C20" s="88">
        <f>IFERROR(INDEX(Velas_máscara!$C$8:$W$52,MATCH(Velas!$A20,Velas_máscara!$A$8:$A$52,0),MATCH(Velas!C$7,Velas_máscara!$C$7:$W$7,0))*qtdsemana,"")</f>
        <v>0</v>
      </c>
      <c r="D20" s="88">
        <f>IFERROR(INDEX(Velas_máscara!$C$8:$W$52,MATCH(Velas!$A20,Velas_máscara!$A$8:$A$52,0),MATCH(Velas!D$7,Velas_máscara!$C$7:$W$7,0))*qtdsemana,"")</f>
        <v>0</v>
      </c>
      <c r="E20" s="88">
        <f>IFERROR(INDEX(Velas_máscara!$C$8:$W$52,MATCH(Velas!$A20,Velas_máscara!$A$8:$A$52,0),MATCH(Velas!E$7,Velas_máscara!$C$7:$W$7,0))*qtdsemana,"")</f>
        <v>0</v>
      </c>
      <c r="F20" s="88">
        <f>IFERROR(INDEX(Velas_máscara!$C$8:$W$52,MATCH(Velas!$A20,Velas_máscara!$A$8:$A$52,0),MATCH(Velas!F$7,Velas_máscara!$C$7:$W$7,0))*qtdsemana,"")</f>
        <v>0</v>
      </c>
      <c r="G20" s="88">
        <f>IFERROR(INDEX(Velas_máscara!$C$8:$W$52,MATCH(Velas!$A20,Velas_máscara!$A$8:$A$52,0),MATCH(Velas!G$7,Velas_máscara!$C$7:$W$7,0))*qtdsemana,"")</f>
        <v>0</v>
      </c>
      <c r="H20" s="88">
        <f>IFERROR(INDEX(Velas_máscara!$C$8:$W$52,MATCH(Velas!$A20,Velas_máscara!$A$8:$A$52,0),MATCH(Velas!H$7,Velas_máscara!$C$7:$W$7,0))*qtdsemana,"")</f>
        <v>0</v>
      </c>
      <c r="I20" s="88">
        <f>IFERROR(INDEX(Velas_máscara!$C$8:$W$52,MATCH(Velas!$A20,Velas_máscara!$A$8:$A$52,0),MATCH(Velas!I$7,Velas_máscara!$C$7:$W$7,0))*qtdsemana,"")</f>
        <v>0</v>
      </c>
      <c r="J20" s="88">
        <f>IFERROR(INDEX(Velas_máscara!$C$8:$W$52,MATCH(Velas!$A20,Velas_máscara!$A$8:$A$52,0),MATCH(Velas!J$7,Velas_máscara!$C$7:$W$7,0))*qtdsemana,"")</f>
        <v>4</v>
      </c>
      <c r="K20" s="88">
        <f>IFERROR(INDEX(Velas_máscara!$C$8:$W$52,MATCH(Velas!$A20,Velas_máscara!$A$8:$A$52,0),MATCH(Velas!K$7,Velas_máscara!$C$7:$W$7,0))*qtdsemana,"")</f>
        <v>0</v>
      </c>
      <c r="L20" s="88">
        <f>IFERROR(INDEX(Velas_máscara!$C$8:$W$52,MATCH(Velas!$A20,Velas_máscara!$A$8:$A$52,0),MATCH(Velas!L$7,Velas_máscara!$C$7:$W$7,0))*qtdsemana,"")</f>
        <v>0</v>
      </c>
      <c r="M20" s="88">
        <f>IFERROR(INDEX(Velas_máscara!$C$8:$W$52,MATCH(Velas!$A20,Velas_máscara!$A$8:$A$52,0),MATCH(Velas!M$7,Velas_máscara!$C$7:$W$7,0))*qtdsemana,"")</f>
        <v>0</v>
      </c>
      <c r="N20" s="88">
        <f>IFERROR(INDEX(Velas_máscara!$C$8:$W$52,MATCH(Velas!$A20,Velas_máscara!$A$8:$A$52,0),MATCH(Velas!N$7,Velas_máscara!$C$7:$W$7,0))*qtdsemana,"")</f>
        <v>0</v>
      </c>
      <c r="O20" s="88">
        <f>IFERROR(INDEX(Velas_máscara!$C$8:$W$52,MATCH(Velas!$A20,Velas_máscara!$A$8:$A$52,0),MATCH(Velas!O$7,Velas_máscara!$C$7:$W$7,0))*qtdsemana,"")</f>
        <v>0</v>
      </c>
      <c r="P20" s="88">
        <f>IFERROR(INDEX(Velas_máscara!$C$8:$W$52,MATCH(Velas!$A20,Velas_máscara!$A$8:$A$52,0),MATCH(Velas!P$7,Velas_máscara!$C$7:$W$7,0))*qtdsemana,"")</f>
        <v>0</v>
      </c>
      <c r="Q20" s="88">
        <f>IFERROR(INDEX(Velas_máscara!$C$8:$W$52,MATCH(Velas!$A20,Velas_máscara!$A$8:$A$52,0),MATCH(Velas!Q$7,Velas_máscara!$C$7:$W$7,0))*qtdsemana,"")</f>
        <v>0</v>
      </c>
      <c r="R20" s="88">
        <f>IFERROR(INDEX(Velas_máscara!$C$8:$W$52,MATCH(Velas!$A20,Velas_máscara!$A$8:$A$52,0),MATCH(Velas!R$7,Velas_máscara!$C$7:$W$7,0))*qtdsemana,"")</f>
        <v>0</v>
      </c>
      <c r="S20" s="88">
        <f>IFERROR(INDEX(Velas_máscara!$C$8:$W$52,MATCH(Velas!$A20,Velas_máscara!$A$8:$A$52,0),MATCH(Velas!S$7,Velas_máscara!$C$7:$W$7,0))*qtdsemana,"")</f>
        <v>0</v>
      </c>
      <c r="T20" s="88">
        <f>IFERROR(INDEX(Velas_máscara!$C$8:$W$52,MATCH(Velas!$A20,Velas_máscara!$A$8:$A$52,0),MATCH(Velas!T$7,Velas_máscara!$C$7:$W$7,0))*qtdsemana,"")</f>
        <v>0</v>
      </c>
      <c r="U20" s="88">
        <f>IFERROR(INDEX(Velas_máscara!$C$8:$W$52,MATCH(Velas!$A20,Velas_máscara!$A$8:$A$52,0),MATCH(Velas!U$7,Velas_máscara!$C$7:$W$7,0))*qtdsemana,"")</f>
        <v>0</v>
      </c>
      <c r="V20" s="88">
        <f>IFERROR(INDEX(Velas_máscara!$C$8:$W$52,MATCH(Velas!$A20,Velas_máscara!$A$8:$A$52,0),MATCH(Velas!V$7,Velas_máscara!$C$7:$W$7,0))*qtdsemana,"")</f>
        <v>0</v>
      </c>
      <c r="W20" s="88">
        <f>IFERROR(INDEX(Velas_máscara!$C$8:$W$52,MATCH(Velas!$A20,Velas_máscara!$A$8:$A$52,0),MATCH(Velas!W$7,Velas_máscara!$C$7:$W$7,0))*qtdsemana,"")</f>
        <v>0</v>
      </c>
      <c r="X20" s="94">
        <f t="shared" si="3"/>
        <v>4</v>
      </c>
      <c r="Y20" s="139">
        <f t="shared" si="4"/>
        <v>11.6</v>
      </c>
      <c r="Z20" s="86">
        <f t="shared" si="5"/>
        <v>14</v>
      </c>
      <c r="AB20" s="136"/>
    </row>
    <row r="21" spans="1:28" s="94" customFormat="1">
      <c r="A21" s="97" t="s">
        <v>269</v>
      </c>
      <c r="B21" s="97"/>
      <c r="C21" s="98">
        <f>IFERROR(INDEX(Velas_máscara!$C$8:$W$52,MATCH(Velas!$A21,Velas_máscara!$A$8:$A$52,0),MATCH(Velas!C$7,Velas_máscara!$C$7:$W$7,0))*qtdsemana,"")</f>
        <v>0</v>
      </c>
      <c r="D21" s="98">
        <f>IFERROR(INDEX(Velas_máscara!$C$8:$W$52,MATCH(Velas!$A21,Velas_máscara!$A$8:$A$52,0),MATCH(Velas!D$7,Velas_máscara!$C$7:$W$7,0))*qtdsemana,"")</f>
        <v>0</v>
      </c>
      <c r="E21" s="98">
        <f>IFERROR(INDEX(Velas_máscara!$C$8:$W$52,MATCH(Velas!$A21,Velas_máscara!$A$8:$A$52,0),MATCH(Velas!E$7,Velas_máscara!$C$7:$W$7,0))*qtdsemana,"")</f>
        <v>0</v>
      </c>
      <c r="F21" s="98">
        <f>IFERROR(INDEX(Velas_máscara!$C$8:$W$52,MATCH(Velas!$A21,Velas_máscara!$A$8:$A$52,0),MATCH(Velas!F$7,Velas_máscara!$C$7:$W$7,0))*qtdsemana,"")</f>
        <v>0</v>
      </c>
      <c r="G21" s="98">
        <f>IFERROR(INDEX(Velas_máscara!$C$8:$W$52,MATCH(Velas!$A21,Velas_máscara!$A$8:$A$52,0),MATCH(Velas!G$7,Velas_máscara!$C$7:$W$7,0))*qtdsemana,"")</f>
        <v>0</v>
      </c>
      <c r="H21" s="98">
        <f>IFERROR(INDEX(Velas_máscara!$C$8:$W$52,MATCH(Velas!$A21,Velas_máscara!$A$8:$A$52,0),MATCH(Velas!H$7,Velas_máscara!$C$7:$W$7,0))*qtdsemana,"")</f>
        <v>0</v>
      </c>
      <c r="I21" s="98">
        <f>IFERROR(INDEX(Velas_máscara!$C$8:$W$52,MATCH(Velas!$A21,Velas_máscara!$A$8:$A$52,0),MATCH(Velas!I$7,Velas_máscara!$C$7:$W$7,0))*qtdsemana,"")</f>
        <v>0</v>
      </c>
      <c r="J21" s="98">
        <f>IFERROR(INDEX(Velas_máscara!$C$8:$W$52,MATCH(Velas!$A21,Velas_máscara!$A$8:$A$52,0),MATCH(Velas!J$7,Velas_máscara!$C$7:$W$7,0))*qtdsemana,"")</f>
        <v>0</v>
      </c>
      <c r="K21" s="98">
        <f>IFERROR(INDEX(Velas_máscara!$C$8:$W$52,MATCH(Velas!$A21,Velas_máscara!$A$8:$A$52,0),MATCH(Velas!K$7,Velas_máscara!$C$7:$W$7,0))*qtdsemana,"")</f>
        <v>0</v>
      </c>
      <c r="L21" s="98">
        <f>IFERROR(INDEX(Velas_máscara!$C$8:$W$52,MATCH(Velas!$A21,Velas_máscara!$A$8:$A$52,0),MATCH(Velas!L$7,Velas_máscara!$C$7:$W$7,0))*qtdsemana,"")</f>
        <v>0</v>
      </c>
      <c r="M21" s="98">
        <f>IFERROR(INDEX(Velas_máscara!$C$8:$W$52,MATCH(Velas!$A21,Velas_máscara!$A$8:$A$52,0),MATCH(Velas!M$7,Velas_máscara!$C$7:$W$7,0))*qtdsemana,"")</f>
        <v>0</v>
      </c>
      <c r="N21" s="98">
        <f>IFERROR(INDEX(Velas_máscara!$C$8:$W$52,MATCH(Velas!$A21,Velas_máscara!$A$8:$A$52,0),MATCH(Velas!N$7,Velas_máscara!$C$7:$W$7,0))*qtdsemana,"")</f>
        <v>0</v>
      </c>
      <c r="O21" s="98">
        <f>IFERROR(INDEX(Velas_máscara!$C$8:$W$52,MATCH(Velas!$A21,Velas_máscara!$A$8:$A$52,0),MATCH(Velas!O$7,Velas_máscara!$C$7:$W$7,0))*qtdsemana,"")</f>
        <v>0</v>
      </c>
      <c r="P21" s="98">
        <f>IFERROR(INDEX(Velas_máscara!$C$8:$W$52,MATCH(Velas!$A21,Velas_máscara!$A$8:$A$52,0),MATCH(Velas!P$7,Velas_máscara!$C$7:$W$7,0))*qtdsemana,"")</f>
        <v>0</v>
      </c>
      <c r="Q21" s="98">
        <f>IFERROR(INDEX(Velas_máscara!$C$8:$W$52,MATCH(Velas!$A21,Velas_máscara!$A$8:$A$52,0),MATCH(Velas!Q$7,Velas_máscara!$C$7:$W$7,0))*qtdsemana,"")</f>
        <v>0</v>
      </c>
      <c r="R21" s="98">
        <f>IFERROR(INDEX(Velas_máscara!$C$8:$W$52,MATCH(Velas!$A21,Velas_máscara!$A$8:$A$52,0),MATCH(Velas!R$7,Velas_máscara!$C$7:$W$7,0))*qtdsemana,"")</f>
        <v>0</v>
      </c>
      <c r="S21" s="88">
        <f>IFERROR(INDEX(Velas_máscara!$C$8:$W$52,MATCH(Velas!$A21,Velas_máscara!$A$8:$A$52,0),MATCH(Velas!S$7,Velas_máscara!$C$7:$W$7,0))*qtdsemana,"")</f>
        <v>0</v>
      </c>
      <c r="T21" s="98">
        <f>IFERROR(INDEX(Velas_máscara!$C$8:$W$52,MATCH(Velas!$A21,Velas_máscara!$A$8:$A$52,0),MATCH(Velas!T$7,Velas_máscara!$C$7:$W$7,0))*qtdsemana,"")</f>
        <v>0</v>
      </c>
      <c r="U21" s="98">
        <f>IFERROR(INDEX(Velas_máscara!$C$8:$W$52,MATCH(Velas!$A21,Velas_máscara!$A$8:$A$52,0),MATCH(Velas!U$7,Velas_máscara!$C$7:$W$7,0))*qtdsemana,"")</f>
        <v>0</v>
      </c>
      <c r="V21" s="98">
        <f>IFERROR(INDEX(Velas_máscara!$C$8:$W$52,MATCH(Velas!$A21,Velas_máscara!$A$8:$A$52,0),MATCH(Velas!V$7,Velas_máscara!$C$7:$W$7,0))*qtdsemana,"")</f>
        <v>0</v>
      </c>
      <c r="W21" s="98">
        <f>IFERROR(INDEX(Velas_máscara!$C$8:$W$52,MATCH(Velas!$A21,Velas_máscara!$A$8:$A$52,0),MATCH(Velas!W$7,Velas_máscara!$C$7:$W$7,0))*qtdsemana,"")</f>
        <v>0</v>
      </c>
      <c r="X21" s="94">
        <f t="shared" si="3"/>
        <v>0</v>
      </c>
      <c r="Y21" s="139">
        <f t="shared" si="4"/>
        <v>0</v>
      </c>
      <c r="Z21" s="86">
        <f t="shared" si="5"/>
        <v>0</v>
      </c>
    </row>
    <row r="22" spans="1:28" s="94" customFormat="1">
      <c r="A22" s="97" t="s">
        <v>100</v>
      </c>
      <c r="B22" s="97"/>
      <c r="C22" s="98">
        <f>IFERROR(INDEX(Velas_máscara!$C$8:$W$52,MATCH(Velas!$A22,Velas_máscara!$A$8:$A$52,0),MATCH(Velas!C$7,Velas_máscara!$C$7:$W$7,0))*qtdsemana,"")</f>
        <v>0</v>
      </c>
      <c r="D22" s="98">
        <f>IFERROR(INDEX(Velas_máscara!$C$8:$W$52,MATCH(Velas!$A22,Velas_máscara!$A$8:$A$52,0),MATCH(Velas!D$7,Velas_máscara!$C$7:$W$7,0))*qtdsemana,"")</f>
        <v>0</v>
      </c>
      <c r="E22" s="98">
        <f>IFERROR(INDEX(Velas_máscara!$C$8:$W$52,MATCH(Velas!$A22,Velas_máscara!$A$8:$A$52,0),MATCH(Velas!E$7,Velas_máscara!$C$7:$W$7,0))*qtdsemana,"")</f>
        <v>0</v>
      </c>
      <c r="F22" s="98">
        <f>IFERROR(INDEX(Velas_máscara!$C$8:$W$52,MATCH(Velas!$A22,Velas_máscara!$A$8:$A$52,0),MATCH(Velas!F$7,Velas_máscara!$C$7:$W$7,0))*qtdsemana,"")</f>
        <v>0</v>
      </c>
      <c r="G22" s="98">
        <f>IFERROR(INDEX(Velas_máscara!$C$8:$W$52,MATCH(Velas!$A22,Velas_máscara!$A$8:$A$52,0),MATCH(Velas!G$7,Velas_máscara!$C$7:$W$7,0))*qtdsemana,"")</f>
        <v>0</v>
      </c>
      <c r="H22" s="98">
        <f>IFERROR(INDEX(Velas_máscara!$C$8:$W$52,MATCH(Velas!$A22,Velas_máscara!$A$8:$A$52,0),MATCH(Velas!H$7,Velas_máscara!$C$7:$W$7,0))*qtdsemana,"")</f>
        <v>0</v>
      </c>
      <c r="I22" s="98">
        <f>IFERROR(INDEX(Velas_máscara!$C$8:$W$52,MATCH(Velas!$A22,Velas_máscara!$A$8:$A$52,0),MATCH(Velas!I$7,Velas_máscara!$C$7:$W$7,0))*qtdsemana,"")</f>
        <v>0</v>
      </c>
      <c r="J22" s="98">
        <f>IFERROR(INDEX(Velas_máscara!$C$8:$W$52,MATCH(Velas!$A22,Velas_máscara!$A$8:$A$52,0),MATCH(Velas!J$7,Velas_máscara!$C$7:$W$7,0))*qtdsemana,"")</f>
        <v>4</v>
      </c>
      <c r="K22" s="98">
        <f>IFERROR(INDEX(Velas_máscara!$C$8:$W$52,MATCH(Velas!$A22,Velas_máscara!$A$8:$A$52,0),MATCH(Velas!K$7,Velas_máscara!$C$7:$W$7,0))*qtdsemana,"")</f>
        <v>0</v>
      </c>
      <c r="L22" s="98">
        <f>IFERROR(INDEX(Velas_máscara!$C$8:$W$52,MATCH(Velas!$A22,Velas_máscara!$A$8:$A$52,0),MATCH(Velas!L$7,Velas_máscara!$C$7:$W$7,0))*qtdsemana,"")</f>
        <v>0</v>
      </c>
      <c r="M22" s="98">
        <f>IFERROR(INDEX(Velas_máscara!$C$8:$W$52,MATCH(Velas!$A22,Velas_máscara!$A$8:$A$52,0),MATCH(Velas!M$7,Velas_máscara!$C$7:$W$7,0))*qtdsemana,"")</f>
        <v>0</v>
      </c>
      <c r="N22" s="98">
        <f>IFERROR(INDEX(Velas_máscara!$C$8:$W$52,MATCH(Velas!$A22,Velas_máscara!$A$8:$A$52,0),MATCH(Velas!N$7,Velas_máscara!$C$7:$W$7,0))*qtdsemana,"")</f>
        <v>0</v>
      </c>
      <c r="O22" s="98">
        <f>IFERROR(INDEX(Velas_máscara!$C$8:$W$52,MATCH(Velas!$A22,Velas_máscara!$A$8:$A$52,0),MATCH(Velas!O$7,Velas_máscara!$C$7:$W$7,0))*qtdsemana,"")</f>
        <v>0</v>
      </c>
      <c r="P22" s="98">
        <f>IFERROR(INDEX(Velas_máscara!$C$8:$W$52,MATCH(Velas!$A22,Velas_máscara!$A$8:$A$52,0),MATCH(Velas!P$7,Velas_máscara!$C$7:$W$7,0))*qtdsemana,"")</f>
        <v>0</v>
      </c>
      <c r="Q22" s="98">
        <f>IFERROR(INDEX(Velas_máscara!$C$8:$W$52,MATCH(Velas!$A22,Velas_máscara!$A$8:$A$52,0),MATCH(Velas!Q$7,Velas_máscara!$C$7:$W$7,0))*qtdsemana,"")</f>
        <v>0</v>
      </c>
      <c r="R22" s="98">
        <f>IFERROR(INDEX(Velas_máscara!$C$8:$W$52,MATCH(Velas!$A22,Velas_máscara!$A$8:$A$52,0),MATCH(Velas!R$7,Velas_máscara!$C$7:$W$7,0))*qtdsemana,"")</f>
        <v>0</v>
      </c>
      <c r="S22" s="88">
        <f>IFERROR(INDEX(Velas_máscara!$C$8:$W$52,MATCH(Velas!$A22,Velas_máscara!$A$8:$A$52,0),MATCH(Velas!S$7,Velas_máscara!$C$7:$W$7,0))*qtdsemana,"")</f>
        <v>0</v>
      </c>
      <c r="T22" s="98">
        <f>IFERROR(INDEX(Velas_máscara!$C$8:$W$52,MATCH(Velas!$A22,Velas_máscara!$A$8:$A$52,0),MATCH(Velas!T$7,Velas_máscara!$C$7:$W$7,0))*qtdsemana,"")</f>
        <v>0</v>
      </c>
      <c r="U22" s="98">
        <f>IFERROR(INDEX(Velas_máscara!$C$8:$W$52,MATCH(Velas!$A22,Velas_máscara!$A$8:$A$52,0),MATCH(Velas!U$7,Velas_máscara!$C$7:$W$7,0))*qtdsemana,"")</f>
        <v>0</v>
      </c>
      <c r="V22" s="98">
        <f>IFERROR(INDEX(Velas_máscara!$C$8:$W$52,MATCH(Velas!$A22,Velas_máscara!$A$8:$A$52,0),MATCH(Velas!V$7,Velas_máscara!$C$7:$W$7,0))*qtdsemana,"")</f>
        <v>0</v>
      </c>
      <c r="W22" s="98">
        <f>IFERROR(INDEX(Velas_máscara!$C$8:$W$52,MATCH(Velas!$A22,Velas_máscara!$A$8:$A$52,0),MATCH(Velas!W$7,Velas_máscara!$C$7:$W$7,0))*qtdsemana,"")</f>
        <v>0</v>
      </c>
      <c r="X22" s="94">
        <f t="shared" si="3"/>
        <v>4</v>
      </c>
      <c r="Y22" s="139">
        <f t="shared" si="4"/>
        <v>11.6</v>
      </c>
      <c r="Z22" s="86">
        <f t="shared" si="5"/>
        <v>14</v>
      </c>
    </row>
    <row r="23" spans="1:28" s="94" customFormat="1">
      <c r="A23" s="97" t="s">
        <v>270</v>
      </c>
      <c r="B23" s="97"/>
      <c r="C23" s="98">
        <f>IFERROR(INDEX(Velas_máscara!$C$8:$W$52,MATCH(Velas!$A23,Velas_máscara!$A$8:$A$52,0),MATCH(Velas!C$7,Velas_máscara!$C$7:$W$7,0))*qtdsemana,"")</f>
        <v>0</v>
      </c>
      <c r="D23" s="98">
        <f>IFERROR(INDEX(Velas_máscara!$C$8:$W$52,MATCH(Velas!$A23,Velas_máscara!$A$8:$A$52,0),MATCH(Velas!D$7,Velas_máscara!$C$7:$W$7,0))*qtdsemana,"")</f>
        <v>0</v>
      </c>
      <c r="E23" s="98">
        <f>IFERROR(INDEX(Velas_máscara!$C$8:$W$52,MATCH(Velas!$A23,Velas_máscara!$A$8:$A$52,0),MATCH(Velas!E$7,Velas_máscara!$C$7:$W$7,0))*qtdsemana,"")</f>
        <v>0</v>
      </c>
      <c r="F23" s="98">
        <f>IFERROR(INDEX(Velas_máscara!$C$8:$W$52,MATCH(Velas!$A23,Velas_máscara!$A$8:$A$52,0),MATCH(Velas!F$7,Velas_máscara!$C$7:$W$7,0))*qtdsemana,"")</f>
        <v>0</v>
      </c>
      <c r="G23" s="98">
        <f>IFERROR(INDEX(Velas_máscara!$C$8:$W$52,MATCH(Velas!$A23,Velas_máscara!$A$8:$A$52,0),MATCH(Velas!G$7,Velas_máscara!$C$7:$W$7,0))*qtdsemana,"")</f>
        <v>0</v>
      </c>
      <c r="H23" s="98">
        <f>IFERROR(INDEX(Velas_máscara!$C$8:$W$52,MATCH(Velas!$A23,Velas_máscara!$A$8:$A$52,0),MATCH(Velas!H$7,Velas_máscara!$C$7:$W$7,0))*qtdsemana,"")</f>
        <v>0</v>
      </c>
      <c r="I23" s="98">
        <f>IFERROR(INDEX(Velas_máscara!$C$8:$W$52,MATCH(Velas!$A23,Velas_máscara!$A$8:$A$52,0),MATCH(Velas!I$7,Velas_máscara!$C$7:$W$7,0))*qtdsemana,"")</f>
        <v>0</v>
      </c>
      <c r="J23" s="98">
        <f>IFERROR(INDEX(Velas_máscara!$C$8:$W$52,MATCH(Velas!$A23,Velas_máscara!$A$8:$A$52,0),MATCH(Velas!J$7,Velas_máscara!$C$7:$W$7,0))*qtdsemana,"")</f>
        <v>0</v>
      </c>
      <c r="K23" s="98">
        <f>IFERROR(INDEX(Velas_máscara!$C$8:$W$52,MATCH(Velas!$A23,Velas_máscara!$A$8:$A$52,0),MATCH(Velas!K$7,Velas_máscara!$C$7:$W$7,0))*qtdsemana,"")</f>
        <v>0</v>
      </c>
      <c r="L23" s="98">
        <f>IFERROR(INDEX(Velas_máscara!$C$8:$W$52,MATCH(Velas!$A23,Velas_máscara!$A$8:$A$52,0),MATCH(Velas!L$7,Velas_máscara!$C$7:$W$7,0))*qtdsemana,"")</f>
        <v>0</v>
      </c>
      <c r="M23" s="98">
        <f>IFERROR(INDEX(Velas_máscara!$C$8:$W$52,MATCH(Velas!$A23,Velas_máscara!$A$8:$A$52,0),MATCH(Velas!M$7,Velas_máscara!$C$7:$W$7,0))*qtdsemana,"")</f>
        <v>0</v>
      </c>
      <c r="N23" s="98">
        <f>IFERROR(INDEX(Velas_máscara!$C$8:$W$52,MATCH(Velas!$A23,Velas_máscara!$A$8:$A$52,0),MATCH(Velas!N$7,Velas_máscara!$C$7:$W$7,0))*qtdsemana,"")</f>
        <v>0</v>
      </c>
      <c r="O23" s="98">
        <f>IFERROR(INDEX(Velas_máscara!$C$8:$W$52,MATCH(Velas!$A23,Velas_máscara!$A$8:$A$52,0),MATCH(Velas!O$7,Velas_máscara!$C$7:$W$7,0))*qtdsemana,"")</f>
        <v>0</v>
      </c>
      <c r="P23" s="98">
        <f>IFERROR(INDEX(Velas_máscara!$C$8:$W$52,MATCH(Velas!$A23,Velas_máscara!$A$8:$A$52,0),MATCH(Velas!P$7,Velas_máscara!$C$7:$W$7,0))*qtdsemana,"")</f>
        <v>4</v>
      </c>
      <c r="Q23" s="98">
        <f>IFERROR(INDEX(Velas_máscara!$C$8:$W$52,MATCH(Velas!$A23,Velas_máscara!$A$8:$A$52,0),MATCH(Velas!Q$7,Velas_máscara!$C$7:$W$7,0))*qtdsemana,"")</f>
        <v>0</v>
      </c>
      <c r="R23" s="98">
        <f>IFERROR(INDEX(Velas_máscara!$C$8:$W$52,MATCH(Velas!$A23,Velas_máscara!$A$8:$A$52,0),MATCH(Velas!R$7,Velas_máscara!$C$7:$W$7,0))*qtdsemana,"")</f>
        <v>0</v>
      </c>
      <c r="S23" s="88">
        <f>IFERROR(INDEX(Velas_máscara!$C$8:$W$52,MATCH(Velas!$A23,Velas_máscara!$A$8:$A$52,0),MATCH(Velas!S$7,Velas_máscara!$C$7:$W$7,0))*qtdsemana,"")</f>
        <v>0</v>
      </c>
      <c r="T23" s="98">
        <f>IFERROR(INDEX(Velas_máscara!$C$8:$W$52,MATCH(Velas!$A23,Velas_máscara!$A$8:$A$52,0),MATCH(Velas!T$7,Velas_máscara!$C$7:$W$7,0))*qtdsemana,"")</f>
        <v>0</v>
      </c>
      <c r="U23" s="98">
        <f>IFERROR(INDEX(Velas_máscara!$C$8:$W$52,MATCH(Velas!$A23,Velas_máscara!$A$8:$A$52,0),MATCH(Velas!U$7,Velas_máscara!$C$7:$W$7,0))*qtdsemana,"")</f>
        <v>0</v>
      </c>
      <c r="V23" s="98">
        <f>IFERROR(INDEX(Velas_máscara!$C$8:$W$52,MATCH(Velas!$A23,Velas_máscara!$A$8:$A$52,0),MATCH(Velas!V$7,Velas_máscara!$C$7:$W$7,0))*qtdsemana,"")</f>
        <v>0</v>
      </c>
      <c r="W23" s="98">
        <f>IFERROR(INDEX(Velas_máscara!$C$8:$W$52,MATCH(Velas!$A23,Velas_máscara!$A$8:$A$52,0),MATCH(Velas!W$7,Velas_máscara!$C$7:$W$7,0))*qtdsemana,"")</f>
        <v>8</v>
      </c>
      <c r="X23" s="94">
        <f t="shared" si="3"/>
        <v>12</v>
      </c>
      <c r="Y23" s="139">
        <f t="shared" si="4"/>
        <v>34.799999999999997</v>
      </c>
      <c r="Z23" s="86">
        <f t="shared" si="5"/>
        <v>42</v>
      </c>
      <c r="AA23" s="94" t="s">
        <v>284</v>
      </c>
    </row>
    <row r="24" spans="1:28" s="94" customFormat="1">
      <c r="A24" s="97" t="s">
        <v>37</v>
      </c>
      <c r="B24" s="97"/>
      <c r="C24" s="98">
        <f>IFERROR(INDEX(Velas_máscara!$C$8:$W$52,MATCH(Velas!$A24,Velas_máscara!$A$8:$A$52,0),MATCH(Velas!C$7,Velas_máscara!$C$7:$W$7,0))*qtdsemana,"")</f>
        <v>0</v>
      </c>
      <c r="D24" s="98">
        <f>IFERROR(INDEX(Velas_máscara!$C$8:$W$52,MATCH(Velas!$A24,Velas_máscara!$A$8:$A$52,0),MATCH(Velas!D$7,Velas_máscara!$C$7:$W$7,0))*qtdsemana,"")</f>
        <v>0</v>
      </c>
      <c r="E24" s="98">
        <f>IFERROR(INDEX(Velas_máscara!$C$8:$W$52,MATCH(Velas!$A24,Velas_máscara!$A$8:$A$52,0),MATCH(Velas!E$7,Velas_máscara!$C$7:$W$7,0))*qtdsemana,"")</f>
        <v>0</v>
      </c>
      <c r="F24" s="98">
        <f>IFERROR(INDEX(Velas_máscara!$C$8:$W$52,MATCH(Velas!$A24,Velas_máscara!$A$8:$A$52,0),MATCH(Velas!F$7,Velas_máscara!$C$7:$W$7,0))*qtdsemana,"")</f>
        <v>0</v>
      </c>
      <c r="G24" s="98">
        <f>IFERROR(INDEX(Velas_máscara!$C$8:$W$52,MATCH(Velas!$A24,Velas_máscara!$A$8:$A$52,0),MATCH(Velas!G$7,Velas_máscara!$C$7:$W$7,0))*qtdsemana,"")</f>
        <v>0</v>
      </c>
      <c r="H24" s="98">
        <f>IFERROR(INDEX(Velas_máscara!$C$8:$W$52,MATCH(Velas!$A24,Velas_máscara!$A$8:$A$52,0),MATCH(Velas!H$7,Velas_máscara!$C$7:$W$7,0))*qtdsemana,"")</f>
        <v>0</v>
      </c>
      <c r="I24" s="98">
        <f>IFERROR(INDEX(Velas_máscara!$C$8:$W$52,MATCH(Velas!$A24,Velas_máscara!$A$8:$A$52,0),MATCH(Velas!I$7,Velas_máscara!$C$7:$W$7,0))*qtdsemana,"")</f>
        <v>0</v>
      </c>
      <c r="J24" s="98">
        <f>IFERROR(INDEX(Velas_máscara!$C$8:$W$52,MATCH(Velas!$A24,Velas_máscara!$A$8:$A$52,0),MATCH(Velas!J$7,Velas_máscara!$C$7:$W$7,0))*qtdsemana,"")</f>
        <v>4</v>
      </c>
      <c r="K24" s="98">
        <f>IFERROR(INDEX(Velas_máscara!$C$8:$W$52,MATCH(Velas!$A24,Velas_máscara!$A$8:$A$52,0),MATCH(Velas!K$7,Velas_máscara!$C$7:$W$7,0))*qtdsemana,"")</f>
        <v>0</v>
      </c>
      <c r="L24" s="98">
        <f>IFERROR(INDEX(Velas_máscara!$C$8:$W$52,MATCH(Velas!$A24,Velas_máscara!$A$8:$A$52,0),MATCH(Velas!L$7,Velas_máscara!$C$7:$W$7,0))*qtdsemana,"")</f>
        <v>0</v>
      </c>
      <c r="M24" s="98">
        <f>IFERROR(INDEX(Velas_máscara!$C$8:$W$52,MATCH(Velas!$A24,Velas_máscara!$A$8:$A$52,0),MATCH(Velas!M$7,Velas_máscara!$C$7:$W$7,0))*qtdsemana,"")</f>
        <v>0</v>
      </c>
      <c r="N24" s="98">
        <f>IFERROR(INDEX(Velas_máscara!$C$8:$W$52,MATCH(Velas!$A24,Velas_máscara!$A$8:$A$52,0),MATCH(Velas!N$7,Velas_máscara!$C$7:$W$7,0))*qtdsemana,"")</f>
        <v>0</v>
      </c>
      <c r="O24" s="98">
        <f>IFERROR(INDEX(Velas_máscara!$C$8:$W$52,MATCH(Velas!$A24,Velas_máscara!$A$8:$A$52,0),MATCH(Velas!O$7,Velas_máscara!$C$7:$W$7,0))*qtdsemana,"")</f>
        <v>0</v>
      </c>
      <c r="P24" s="98">
        <f>IFERROR(INDEX(Velas_máscara!$C$8:$W$52,MATCH(Velas!$A24,Velas_máscara!$A$8:$A$52,0),MATCH(Velas!P$7,Velas_máscara!$C$7:$W$7,0))*qtdsemana,"")</f>
        <v>4</v>
      </c>
      <c r="Q24" s="98">
        <f>IFERROR(INDEX(Velas_máscara!$C$8:$W$52,MATCH(Velas!$A24,Velas_máscara!$A$8:$A$52,0),MATCH(Velas!Q$7,Velas_máscara!$C$7:$W$7,0))*qtdsemana,"")</f>
        <v>0</v>
      </c>
      <c r="R24" s="98">
        <f>IFERROR(INDEX(Velas_máscara!$C$8:$W$52,MATCH(Velas!$A24,Velas_máscara!$A$8:$A$52,0),MATCH(Velas!R$7,Velas_máscara!$C$7:$W$7,0))*qtdsemana,"")</f>
        <v>0</v>
      </c>
      <c r="S24" s="88">
        <f>IFERROR(INDEX(Velas_máscara!$C$8:$W$52,MATCH(Velas!$A24,Velas_máscara!$A$8:$A$52,0),MATCH(Velas!S$7,Velas_máscara!$C$7:$W$7,0))*qtdsemana,"")</f>
        <v>0</v>
      </c>
      <c r="T24" s="98">
        <f>IFERROR(INDEX(Velas_máscara!$C$8:$W$52,MATCH(Velas!$A24,Velas_máscara!$A$8:$A$52,0),MATCH(Velas!T$7,Velas_máscara!$C$7:$W$7,0))*qtdsemana,"")</f>
        <v>0</v>
      </c>
      <c r="U24" s="98">
        <f>IFERROR(INDEX(Velas_máscara!$C$8:$W$52,MATCH(Velas!$A24,Velas_máscara!$A$8:$A$52,0),MATCH(Velas!U$7,Velas_máscara!$C$7:$W$7,0))*qtdsemana,"")</f>
        <v>8</v>
      </c>
      <c r="V24" s="98">
        <f>IFERROR(INDEX(Velas_máscara!$C$8:$W$52,MATCH(Velas!$A24,Velas_máscara!$A$8:$A$52,0),MATCH(Velas!V$7,Velas_máscara!$C$7:$W$7,0))*qtdsemana,"")</f>
        <v>0</v>
      </c>
      <c r="W24" s="98">
        <f>IFERROR(INDEX(Velas_máscara!$C$8:$W$52,MATCH(Velas!$A24,Velas_máscara!$A$8:$A$52,0),MATCH(Velas!W$7,Velas_máscara!$C$7:$W$7,0))*qtdsemana,"")</f>
        <v>0</v>
      </c>
      <c r="X24" s="94">
        <f t="shared" si="3"/>
        <v>16</v>
      </c>
      <c r="Y24" s="139">
        <f t="shared" si="4"/>
        <v>46.4</v>
      </c>
      <c r="Z24" s="86">
        <f t="shared" si="5"/>
        <v>56</v>
      </c>
      <c r="AA24" s="94" t="s">
        <v>284</v>
      </c>
    </row>
    <row r="25" spans="1:28" s="94" customFormat="1">
      <c r="A25" s="97" t="s">
        <v>52</v>
      </c>
      <c r="B25" s="97"/>
      <c r="C25" s="88">
        <f>IFERROR(INDEX(Velas_máscara!$C$8:$W$52,MATCH(Velas!$A25,Velas_máscara!$A$8:$A$52,0),MATCH(Velas!C$7,Velas_máscara!$C$7:$W$7,0))*qtdsemana,"")</f>
        <v>0</v>
      </c>
      <c r="D25" s="88">
        <f>IFERROR(INDEX(Velas_máscara!$C$8:$W$52,MATCH(Velas!$A25,Velas_máscara!$A$8:$A$52,0),MATCH(Velas!D$7,Velas_máscara!$C$7:$W$7,0))*qtdsemana,"")</f>
        <v>0</v>
      </c>
      <c r="E25" s="88">
        <f>IFERROR(INDEX(Velas_máscara!$C$8:$W$52,MATCH(Velas!$A25,Velas_máscara!$A$8:$A$52,0),MATCH(Velas!E$7,Velas_máscara!$C$7:$W$7,0))*qtdsemana,"")</f>
        <v>0</v>
      </c>
      <c r="F25" s="88">
        <f>IFERROR(INDEX(Velas_máscara!$C$8:$W$52,MATCH(Velas!$A25,Velas_máscara!$A$8:$A$52,0),MATCH(Velas!F$7,Velas_máscara!$C$7:$W$7,0))*qtdsemana,"")</f>
        <v>0</v>
      </c>
      <c r="G25" s="88">
        <f>IFERROR(INDEX(Velas_máscara!$C$8:$W$52,MATCH(Velas!$A25,Velas_máscara!$A$8:$A$52,0),MATCH(Velas!G$7,Velas_máscara!$C$7:$W$7,0))*qtdsemana,"")</f>
        <v>0</v>
      </c>
      <c r="H25" s="88">
        <f>IFERROR(INDEX(Velas_máscara!$C$8:$W$52,MATCH(Velas!$A25,Velas_máscara!$A$8:$A$52,0),MATCH(Velas!H$7,Velas_máscara!$C$7:$W$7,0))*qtdsemana,"")</f>
        <v>0</v>
      </c>
      <c r="I25" s="88">
        <f>IFERROR(INDEX(Velas_máscara!$C$8:$W$52,MATCH(Velas!$A25,Velas_máscara!$A$8:$A$52,0),MATCH(Velas!I$7,Velas_máscara!$C$7:$W$7,0))*qtdsemana,"")</f>
        <v>0</v>
      </c>
      <c r="J25" s="88">
        <f>IFERROR(INDEX(Velas_máscara!$C$8:$W$52,MATCH(Velas!$A25,Velas_máscara!$A$8:$A$52,0),MATCH(Velas!J$7,Velas_máscara!$C$7:$W$7,0))*qtdsemana,"")</f>
        <v>4</v>
      </c>
      <c r="K25" s="88">
        <f>IFERROR(INDEX(Velas_máscara!$C$8:$W$52,MATCH(Velas!$A25,Velas_máscara!$A$8:$A$52,0),MATCH(Velas!K$7,Velas_máscara!$C$7:$W$7,0))*qtdsemana,"")</f>
        <v>0</v>
      </c>
      <c r="L25" s="88">
        <f>IFERROR(INDEX(Velas_máscara!$C$8:$W$52,MATCH(Velas!$A25,Velas_máscara!$A$8:$A$52,0),MATCH(Velas!L$7,Velas_máscara!$C$7:$W$7,0))*qtdsemana,"")</f>
        <v>0</v>
      </c>
      <c r="M25" s="88">
        <f>IFERROR(INDEX(Velas_máscara!$C$8:$W$52,MATCH(Velas!$A25,Velas_máscara!$A$8:$A$52,0),MATCH(Velas!M$7,Velas_máscara!$C$7:$W$7,0))*qtdsemana,"")</f>
        <v>0</v>
      </c>
      <c r="N25" s="88">
        <f>IFERROR(INDEX(Velas_máscara!$C$8:$W$52,MATCH(Velas!$A25,Velas_máscara!$A$8:$A$52,0),MATCH(Velas!N$7,Velas_máscara!$C$7:$W$7,0))*qtdsemana,"")</f>
        <v>0</v>
      </c>
      <c r="O25" s="88">
        <f>IFERROR(INDEX(Velas_máscara!$C$8:$W$52,MATCH(Velas!$A25,Velas_máscara!$A$8:$A$52,0),MATCH(Velas!O$7,Velas_máscara!$C$7:$W$7,0))*qtdsemana,"")</f>
        <v>0</v>
      </c>
      <c r="P25" s="88">
        <f>IFERROR(INDEX(Velas_máscara!$C$8:$W$52,MATCH(Velas!$A25,Velas_máscara!$A$8:$A$52,0),MATCH(Velas!P$7,Velas_máscara!$C$7:$W$7,0))*qtdsemana,"")</f>
        <v>4</v>
      </c>
      <c r="Q25" s="88">
        <f>IFERROR(INDEX(Velas_máscara!$C$8:$W$52,MATCH(Velas!$A25,Velas_máscara!$A$8:$A$52,0),MATCH(Velas!Q$7,Velas_máscara!$C$7:$W$7,0))*qtdsemana,"")</f>
        <v>0</v>
      </c>
      <c r="R25" s="88">
        <f>IFERROR(INDEX(Velas_máscara!$C$8:$W$52,MATCH(Velas!$A25,Velas_máscara!$A$8:$A$52,0),MATCH(Velas!R$7,Velas_máscara!$C$7:$W$7,0))*qtdsemana,"")</f>
        <v>0</v>
      </c>
      <c r="S25" s="88">
        <f>IFERROR(INDEX(Velas_máscara!$C$8:$W$52,MATCH(Velas!$A25,Velas_máscara!$A$8:$A$52,0),MATCH(Velas!S$7,Velas_máscara!$C$7:$W$7,0))*qtdsemana,"")</f>
        <v>0</v>
      </c>
      <c r="T25" s="88">
        <f>IFERROR(INDEX(Velas_máscara!$C$8:$W$52,MATCH(Velas!$A25,Velas_máscara!$A$8:$A$52,0),MATCH(Velas!T$7,Velas_máscara!$C$7:$W$7,0))*qtdsemana,"")</f>
        <v>0</v>
      </c>
      <c r="U25" s="88">
        <f>IFERROR(INDEX(Velas_máscara!$C$8:$W$52,MATCH(Velas!$A25,Velas_máscara!$A$8:$A$52,0),MATCH(Velas!U$7,Velas_máscara!$C$7:$W$7,0))*qtdsemana,"")</f>
        <v>4</v>
      </c>
      <c r="V25" s="88">
        <f>IFERROR(INDEX(Velas_máscara!$C$8:$W$52,MATCH(Velas!$A25,Velas_máscara!$A$8:$A$52,0),MATCH(Velas!V$7,Velas_máscara!$C$7:$W$7,0))*qtdsemana,"")</f>
        <v>0</v>
      </c>
      <c r="W25" s="88">
        <f>IFERROR(INDEX(Velas_máscara!$C$8:$W$52,MATCH(Velas!$A25,Velas_máscara!$A$8:$A$52,0),MATCH(Velas!W$7,Velas_máscara!$C$7:$W$7,0))*qtdsemana,"")</f>
        <v>4</v>
      </c>
      <c r="X25" s="94">
        <f t="shared" si="3"/>
        <v>16</v>
      </c>
      <c r="Y25" s="139">
        <f t="shared" si="4"/>
        <v>46.4</v>
      </c>
      <c r="Z25" s="86">
        <f t="shared" si="5"/>
        <v>56</v>
      </c>
      <c r="AA25" s="94" t="s">
        <v>284</v>
      </c>
      <c r="AB25" s="136"/>
    </row>
    <row r="26" spans="1:28" s="94" customFormat="1">
      <c r="A26" s="97" t="s">
        <v>38</v>
      </c>
      <c r="B26" s="97"/>
      <c r="C26" s="98">
        <f>IFERROR(INDEX(Velas_máscara!$C$8:$W$52,MATCH(Velas!$A26,Velas_máscara!$A$8:$A$52,0),MATCH(Velas!C$7,Velas_máscara!$C$7:$W$7,0))*qtdsemana,"")</f>
        <v>0</v>
      </c>
      <c r="D26" s="98">
        <f>IFERROR(INDEX(Velas_máscara!$C$8:$W$52,MATCH(Velas!$A26,Velas_máscara!$A$8:$A$52,0),MATCH(Velas!D$7,Velas_máscara!$C$7:$W$7,0))*qtdsemana,"")</f>
        <v>0</v>
      </c>
      <c r="E26" s="98">
        <f>IFERROR(INDEX(Velas_máscara!$C$8:$W$52,MATCH(Velas!$A26,Velas_máscara!$A$8:$A$52,0),MATCH(Velas!E$7,Velas_máscara!$C$7:$W$7,0))*qtdsemana,"")</f>
        <v>0</v>
      </c>
      <c r="F26" s="98">
        <f>IFERROR(INDEX(Velas_máscara!$C$8:$W$52,MATCH(Velas!$A26,Velas_máscara!$A$8:$A$52,0),MATCH(Velas!F$7,Velas_máscara!$C$7:$W$7,0))*qtdsemana,"")</f>
        <v>0</v>
      </c>
      <c r="G26" s="98">
        <f>IFERROR(INDEX(Velas_máscara!$C$8:$W$52,MATCH(Velas!$A26,Velas_máscara!$A$8:$A$52,0),MATCH(Velas!G$7,Velas_máscara!$C$7:$W$7,0))*qtdsemana,"")</f>
        <v>0</v>
      </c>
      <c r="H26" s="98">
        <f>IFERROR(INDEX(Velas_máscara!$C$8:$W$52,MATCH(Velas!$A26,Velas_máscara!$A$8:$A$52,0),MATCH(Velas!H$7,Velas_máscara!$C$7:$W$7,0))*qtdsemana,"")</f>
        <v>0</v>
      </c>
      <c r="I26" s="98">
        <f>IFERROR(INDEX(Velas_máscara!$C$8:$W$52,MATCH(Velas!$A26,Velas_máscara!$A$8:$A$52,0),MATCH(Velas!I$7,Velas_máscara!$C$7:$W$7,0))*qtdsemana,"")</f>
        <v>0</v>
      </c>
      <c r="J26" s="98">
        <f>IFERROR(INDEX(Velas_máscara!$C$8:$W$52,MATCH(Velas!$A26,Velas_máscara!$A$8:$A$52,0),MATCH(Velas!J$7,Velas_máscara!$C$7:$W$7,0))*qtdsemana,"")</f>
        <v>4</v>
      </c>
      <c r="K26" s="98">
        <f>IFERROR(INDEX(Velas_máscara!$C$8:$W$52,MATCH(Velas!$A26,Velas_máscara!$A$8:$A$52,0),MATCH(Velas!K$7,Velas_máscara!$C$7:$W$7,0))*qtdsemana,"")</f>
        <v>0</v>
      </c>
      <c r="L26" s="98">
        <f>IFERROR(INDEX(Velas_máscara!$C$8:$W$52,MATCH(Velas!$A26,Velas_máscara!$A$8:$A$52,0),MATCH(Velas!L$7,Velas_máscara!$C$7:$W$7,0))*qtdsemana,"")</f>
        <v>0</v>
      </c>
      <c r="M26" s="98">
        <f>IFERROR(INDEX(Velas_máscara!$C$8:$W$52,MATCH(Velas!$A26,Velas_máscara!$A$8:$A$52,0),MATCH(Velas!M$7,Velas_máscara!$C$7:$W$7,0))*qtdsemana,"")</f>
        <v>0</v>
      </c>
      <c r="N26" s="98">
        <f>IFERROR(INDEX(Velas_máscara!$C$8:$W$52,MATCH(Velas!$A26,Velas_máscara!$A$8:$A$52,0),MATCH(Velas!N$7,Velas_máscara!$C$7:$W$7,0))*qtdsemana,"")</f>
        <v>0</v>
      </c>
      <c r="O26" s="98">
        <f>IFERROR(INDEX(Velas_máscara!$C$8:$W$52,MATCH(Velas!$A26,Velas_máscara!$A$8:$A$52,0),MATCH(Velas!O$7,Velas_máscara!$C$7:$W$7,0))*qtdsemana,"")</f>
        <v>0</v>
      </c>
      <c r="P26" s="98">
        <f>IFERROR(INDEX(Velas_máscara!$C$8:$W$52,MATCH(Velas!$A26,Velas_máscara!$A$8:$A$52,0),MATCH(Velas!P$7,Velas_máscara!$C$7:$W$7,0))*qtdsemana,"")</f>
        <v>0</v>
      </c>
      <c r="Q26" s="98">
        <f>IFERROR(INDEX(Velas_máscara!$C$8:$W$52,MATCH(Velas!$A26,Velas_máscara!$A$8:$A$52,0),MATCH(Velas!Q$7,Velas_máscara!$C$7:$W$7,0))*qtdsemana,"")</f>
        <v>4</v>
      </c>
      <c r="R26" s="98">
        <f>IFERROR(INDEX(Velas_máscara!$C$8:$W$52,MATCH(Velas!$A26,Velas_máscara!$A$8:$A$52,0),MATCH(Velas!R$7,Velas_máscara!$C$7:$W$7,0))*qtdsemana,"")</f>
        <v>0</v>
      </c>
      <c r="S26" s="88">
        <f>IFERROR(INDEX(Velas_máscara!$C$8:$W$52,MATCH(Velas!$A26,Velas_máscara!$A$8:$A$52,0),MATCH(Velas!S$7,Velas_máscara!$C$7:$W$7,0))*qtdsemana,"")</f>
        <v>0</v>
      </c>
      <c r="T26" s="98">
        <f>IFERROR(INDEX(Velas_máscara!$C$8:$W$52,MATCH(Velas!$A26,Velas_máscara!$A$8:$A$52,0),MATCH(Velas!T$7,Velas_máscara!$C$7:$W$7,0))*qtdsemana,"")</f>
        <v>0</v>
      </c>
      <c r="U26" s="98">
        <f>IFERROR(INDEX(Velas_máscara!$C$8:$W$52,MATCH(Velas!$A26,Velas_máscara!$A$8:$A$52,0),MATCH(Velas!U$7,Velas_máscara!$C$7:$W$7,0))*qtdsemana,"")</f>
        <v>0</v>
      </c>
      <c r="V26" s="98">
        <f>IFERROR(INDEX(Velas_máscara!$C$8:$W$52,MATCH(Velas!$A26,Velas_máscara!$A$8:$A$52,0),MATCH(Velas!V$7,Velas_máscara!$C$7:$W$7,0))*qtdsemana,"")</f>
        <v>0</v>
      </c>
      <c r="W26" s="98">
        <f>IFERROR(INDEX(Velas_máscara!$C$8:$W$52,MATCH(Velas!$A26,Velas_máscara!$A$8:$A$52,0),MATCH(Velas!W$7,Velas_máscara!$C$7:$W$7,0))*qtdsemana,"")</f>
        <v>4</v>
      </c>
      <c r="X26" s="94">
        <f t="shared" si="3"/>
        <v>12</v>
      </c>
      <c r="Y26" s="139">
        <f t="shared" si="4"/>
        <v>34.799999999999997</v>
      </c>
      <c r="Z26" s="86">
        <f t="shared" si="5"/>
        <v>42</v>
      </c>
      <c r="AA26" s="94" t="s">
        <v>284</v>
      </c>
    </row>
    <row r="27" spans="1:28" s="94" customFormat="1">
      <c r="A27" s="97" t="s">
        <v>271</v>
      </c>
      <c r="B27" s="97"/>
      <c r="C27" s="98">
        <f>IFERROR(INDEX(Velas_máscara!$C$8:$W$52,MATCH(Velas!$A27,Velas_máscara!$A$8:$A$52,0),MATCH(Velas!C$7,Velas_máscara!$C$7:$W$7,0))*qtdsemana,"")</f>
        <v>0</v>
      </c>
      <c r="D27" s="98">
        <f>IFERROR(INDEX(Velas_máscara!$C$8:$W$52,MATCH(Velas!$A27,Velas_máscara!$A$8:$A$52,0),MATCH(Velas!D$7,Velas_máscara!$C$7:$W$7,0))*qtdsemana,"")</f>
        <v>0</v>
      </c>
      <c r="E27" s="98">
        <f>IFERROR(INDEX(Velas_máscara!$C$8:$W$52,MATCH(Velas!$A27,Velas_máscara!$A$8:$A$52,0),MATCH(Velas!E$7,Velas_máscara!$C$7:$W$7,0))*qtdsemana,"")</f>
        <v>0</v>
      </c>
      <c r="F27" s="98">
        <f>IFERROR(INDEX(Velas_máscara!$C$8:$W$52,MATCH(Velas!$A27,Velas_máscara!$A$8:$A$52,0),MATCH(Velas!F$7,Velas_máscara!$C$7:$W$7,0))*qtdsemana,"")</f>
        <v>0</v>
      </c>
      <c r="G27" s="98">
        <f>IFERROR(INDEX(Velas_máscara!$C$8:$W$52,MATCH(Velas!$A27,Velas_máscara!$A$8:$A$52,0),MATCH(Velas!G$7,Velas_máscara!$C$7:$W$7,0))*qtdsemana,"")</f>
        <v>0</v>
      </c>
      <c r="H27" s="98">
        <f>IFERROR(INDEX(Velas_máscara!$C$8:$W$52,MATCH(Velas!$A27,Velas_máscara!$A$8:$A$52,0),MATCH(Velas!H$7,Velas_máscara!$C$7:$W$7,0))*qtdsemana,"")</f>
        <v>0</v>
      </c>
      <c r="I27" s="98">
        <f>IFERROR(INDEX(Velas_máscara!$C$8:$W$52,MATCH(Velas!$A27,Velas_máscara!$A$8:$A$52,0),MATCH(Velas!I$7,Velas_máscara!$C$7:$W$7,0))*qtdsemana,"")</f>
        <v>0</v>
      </c>
      <c r="J27" s="98">
        <f>IFERROR(INDEX(Velas_máscara!$C$8:$W$52,MATCH(Velas!$A27,Velas_máscara!$A$8:$A$52,0),MATCH(Velas!J$7,Velas_máscara!$C$7:$W$7,0))*qtdsemana,"")</f>
        <v>4</v>
      </c>
      <c r="K27" s="98">
        <f>IFERROR(INDEX(Velas_máscara!$C$8:$W$52,MATCH(Velas!$A27,Velas_máscara!$A$8:$A$52,0),MATCH(Velas!K$7,Velas_máscara!$C$7:$W$7,0))*qtdsemana,"")</f>
        <v>0</v>
      </c>
      <c r="L27" s="98">
        <f>IFERROR(INDEX(Velas_máscara!$C$8:$W$52,MATCH(Velas!$A27,Velas_máscara!$A$8:$A$52,0),MATCH(Velas!L$7,Velas_máscara!$C$7:$W$7,0))*qtdsemana,"")</f>
        <v>0</v>
      </c>
      <c r="M27" s="98">
        <f>IFERROR(INDEX(Velas_máscara!$C$8:$W$52,MATCH(Velas!$A27,Velas_máscara!$A$8:$A$52,0),MATCH(Velas!M$7,Velas_máscara!$C$7:$W$7,0))*qtdsemana,"")</f>
        <v>0</v>
      </c>
      <c r="N27" s="98">
        <f>IFERROR(INDEX(Velas_máscara!$C$8:$W$52,MATCH(Velas!$A27,Velas_máscara!$A$8:$A$52,0),MATCH(Velas!N$7,Velas_máscara!$C$7:$W$7,0))*qtdsemana,"")</f>
        <v>0</v>
      </c>
      <c r="O27" s="98">
        <f>IFERROR(INDEX(Velas_máscara!$C$8:$W$52,MATCH(Velas!$A27,Velas_máscara!$A$8:$A$52,0),MATCH(Velas!O$7,Velas_máscara!$C$7:$W$7,0))*qtdsemana,"")</f>
        <v>0</v>
      </c>
      <c r="P27" s="98">
        <f>IFERROR(INDEX(Velas_máscara!$C$8:$W$52,MATCH(Velas!$A27,Velas_máscara!$A$8:$A$52,0),MATCH(Velas!P$7,Velas_máscara!$C$7:$W$7,0))*qtdsemana,"")</f>
        <v>4</v>
      </c>
      <c r="Q27" s="98">
        <f>IFERROR(INDEX(Velas_máscara!$C$8:$W$52,MATCH(Velas!$A27,Velas_máscara!$A$8:$A$52,0),MATCH(Velas!Q$7,Velas_máscara!$C$7:$W$7,0))*qtdsemana,"")</f>
        <v>0</v>
      </c>
      <c r="R27" s="98">
        <f>IFERROR(INDEX(Velas_máscara!$C$8:$W$52,MATCH(Velas!$A27,Velas_máscara!$A$8:$A$52,0),MATCH(Velas!R$7,Velas_máscara!$C$7:$W$7,0))*qtdsemana,"")</f>
        <v>4</v>
      </c>
      <c r="S27" s="88">
        <f>IFERROR(INDEX(Velas_máscara!$C$8:$W$52,MATCH(Velas!$A27,Velas_máscara!$A$8:$A$52,0),MATCH(Velas!S$7,Velas_máscara!$C$7:$W$7,0))*qtdsemana,"")</f>
        <v>0</v>
      </c>
      <c r="T27" s="98">
        <f>IFERROR(INDEX(Velas_máscara!$C$8:$W$52,MATCH(Velas!$A27,Velas_máscara!$A$8:$A$52,0),MATCH(Velas!T$7,Velas_máscara!$C$7:$W$7,0))*qtdsemana,"")</f>
        <v>0</v>
      </c>
      <c r="U27" s="98">
        <f>IFERROR(INDEX(Velas_máscara!$C$8:$W$52,MATCH(Velas!$A27,Velas_máscara!$A$8:$A$52,0),MATCH(Velas!U$7,Velas_máscara!$C$7:$W$7,0))*qtdsemana,"")</f>
        <v>0</v>
      </c>
      <c r="V27" s="98">
        <f>IFERROR(INDEX(Velas_máscara!$C$8:$W$52,MATCH(Velas!$A27,Velas_máscara!$A$8:$A$52,0),MATCH(Velas!V$7,Velas_máscara!$C$7:$W$7,0))*qtdsemana,"")</f>
        <v>0</v>
      </c>
      <c r="W27" s="98">
        <f>IFERROR(INDEX(Velas_máscara!$C$8:$W$52,MATCH(Velas!$A27,Velas_máscara!$A$8:$A$52,0),MATCH(Velas!W$7,Velas_máscara!$C$7:$W$7,0))*qtdsemana,"")</f>
        <v>4</v>
      </c>
      <c r="X27" s="94">
        <f t="shared" si="3"/>
        <v>16</v>
      </c>
      <c r="Y27" s="139">
        <f t="shared" si="4"/>
        <v>46.4</v>
      </c>
      <c r="Z27" s="86">
        <f t="shared" si="5"/>
        <v>56</v>
      </c>
    </row>
    <row r="28" spans="1:28" s="94" customFormat="1">
      <c r="A28" s="97" t="s">
        <v>32</v>
      </c>
      <c r="B28" s="97"/>
      <c r="C28" s="88">
        <f>IFERROR(INDEX(Velas_máscara!$C$8:$W$52,MATCH(Velas!$A28,Velas_máscara!$A$8:$A$52,0),MATCH(Velas!C$7,Velas_máscara!$C$7:$W$7,0))*qtdsemana,"")</f>
        <v>0</v>
      </c>
      <c r="D28" s="88">
        <f>IFERROR(INDEX(Velas_máscara!$C$8:$W$52,MATCH(Velas!$A28,Velas_máscara!$A$8:$A$52,0),MATCH(Velas!D$7,Velas_máscara!$C$7:$W$7,0))*qtdsemana,"")</f>
        <v>0</v>
      </c>
      <c r="E28" s="88">
        <f>IFERROR(INDEX(Velas_máscara!$C$8:$W$52,MATCH(Velas!$A28,Velas_máscara!$A$8:$A$52,0),MATCH(Velas!E$7,Velas_máscara!$C$7:$W$7,0))*qtdsemana,"")</f>
        <v>0</v>
      </c>
      <c r="F28" s="88">
        <f>IFERROR(INDEX(Velas_máscara!$C$8:$W$52,MATCH(Velas!$A28,Velas_máscara!$A$8:$A$52,0),MATCH(Velas!F$7,Velas_máscara!$C$7:$W$7,0))*qtdsemana,"")</f>
        <v>4</v>
      </c>
      <c r="G28" s="88">
        <f>IFERROR(INDEX(Velas_máscara!$C$8:$W$52,MATCH(Velas!$A28,Velas_máscara!$A$8:$A$52,0),MATCH(Velas!G$7,Velas_máscara!$C$7:$W$7,0))*qtdsemana,"")</f>
        <v>0</v>
      </c>
      <c r="H28" s="88">
        <f>IFERROR(INDEX(Velas_máscara!$C$8:$W$52,MATCH(Velas!$A28,Velas_máscara!$A$8:$A$52,0),MATCH(Velas!H$7,Velas_máscara!$C$7:$W$7,0))*qtdsemana,"")</f>
        <v>0</v>
      </c>
      <c r="I28" s="88">
        <f>IFERROR(INDEX(Velas_máscara!$C$8:$W$52,MATCH(Velas!$A28,Velas_máscara!$A$8:$A$52,0),MATCH(Velas!I$7,Velas_máscara!$C$7:$W$7,0))*qtdsemana,"")</f>
        <v>0</v>
      </c>
      <c r="J28" s="88">
        <f>IFERROR(INDEX(Velas_máscara!$C$8:$W$52,MATCH(Velas!$A28,Velas_máscara!$A$8:$A$52,0),MATCH(Velas!J$7,Velas_máscara!$C$7:$W$7,0))*qtdsemana,"")</f>
        <v>4</v>
      </c>
      <c r="K28" s="88">
        <f>IFERROR(INDEX(Velas_máscara!$C$8:$W$52,MATCH(Velas!$A28,Velas_máscara!$A$8:$A$52,0),MATCH(Velas!K$7,Velas_máscara!$C$7:$W$7,0))*qtdsemana,"")</f>
        <v>0</v>
      </c>
      <c r="L28" s="88">
        <f>IFERROR(INDEX(Velas_máscara!$C$8:$W$52,MATCH(Velas!$A28,Velas_máscara!$A$8:$A$52,0),MATCH(Velas!L$7,Velas_máscara!$C$7:$W$7,0))*qtdsemana,"")</f>
        <v>0</v>
      </c>
      <c r="M28" s="88">
        <f>IFERROR(INDEX(Velas_máscara!$C$8:$W$52,MATCH(Velas!$A28,Velas_máscara!$A$8:$A$52,0),MATCH(Velas!M$7,Velas_máscara!$C$7:$W$7,0))*qtdsemana,"")</f>
        <v>0</v>
      </c>
      <c r="N28" s="88">
        <f>IFERROR(INDEX(Velas_máscara!$C$8:$W$52,MATCH(Velas!$A28,Velas_máscara!$A$8:$A$52,0),MATCH(Velas!N$7,Velas_máscara!$C$7:$W$7,0))*qtdsemana,"")</f>
        <v>0</v>
      </c>
      <c r="O28" s="88">
        <f>IFERROR(INDEX(Velas_máscara!$C$8:$W$52,MATCH(Velas!$A28,Velas_máscara!$A$8:$A$52,0),MATCH(Velas!O$7,Velas_máscara!$C$7:$W$7,0))*qtdsemana,"")</f>
        <v>0</v>
      </c>
      <c r="P28" s="88">
        <f>IFERROR(INDEX(Velas_máscara!$C$8:$W$52,MATCH(Velas!$A28,Velas_máscara!$A$8:$A$52,0),MATCH(Velas!P$7,Velas_máscara!$C$7:$W$7,0))*qtdsemana,"")</f>
        <v>4</v>
      </c>
      <c r="Q28" s="88">
        <f>IFERROR(INDEX(Velas_máscara!$C$8:$W$52,MATCH(Velas!$A28,Velas_máscara!$A$8:$A$52,0),MATCH(Velas!Q$7,Velas_máscara!$C$7:$W$7,0))*qtdsemana,"")</f>
        <v>0</v>
      </c>
      <c r="R28" s="88">
        <f>IFERROR(INDEX(Velas_máscara!$C$8:$W$52,MATCH(Velas!$A28,Velas_máscara!$A$8:$A$52,0),MATCH(Velas!R$7,Velas_máscara!$C$7:$W$7,0))*qtdsemana,"")</f>
        <v>4</v>
      </c>
      <c r="S28" s="88">
        <f>IFERROR(INDEX(Velas_máscara!$C$8:$W$52,MATCH(Velas!$A28,Velas_máscara!$A$8:$A$52,0),MATCH(Velas!S$7,Velas_máscara!$C$7:$W$7,0))*qtdsemana,"")</f>
        <v>0</v>
      </c>
      <c r="T28" s="88">
        <f>IFERROR(INDEX(Velas_máscara!$C$8:$W$52,MATCH(Velas!$A28,Velas_máscara!$A$8:$A$52,0),MATCH(Velas!T$7,Velas_máscara!$C$7:$W$7,0))*qtdsemana,"")</f>
        <v>0</v>
      </c>
      <c r="U28" s="88">
        <f>IFERROR(INDEX(Velas_máscara!$C$8:$W$52,MATCH(Velas!$A28,Velas_máscara!$A$8:$A$52,0),MATCH(Velas!U$7,Velas_máscara!$C$7:$W$7,0))*qtdsemana,"")</f>
        <v>4</v>
      </c>
      <c r="V28" s="88">
        <f>IFERROR(INDEX(Velas_máscara!$C$8:$W$52,MATCH(Velas!$A28,Velas_máscara!$A$8:$A$52,0),MATCH(Velas!V$7,Velas_máscara!$C$7:$W$7,0))*qtdsemana,"")</f>
        <v>0</v>
      </c>
      <c r="W28" s="88">
        <f>IFERROR(INDEX(Velas_máscara!$C$8:$W$52,MATCH(Velas!$A28,Velas_máscara!$A$8:$A$52,0),MATCH(Velas!W$7,Velas_máscara!$C$7:$W$7,0))*qtdsemana,"")</f>
        <v>0</v>
      </c>
      <c r="X28" s="94">
        <f t="shared" si="3"/>
        <v>20</v>
      </c>
      <c r="Y28" s="139">
        <f t="shared" si="4"/>
        <v>58</v>
      </c>
      <c r="Z28" s="86">
        <f t="shared" si="5"/>
        <v>70</v>
      </c>
      <c r="AA28" s="94" t="s">
        <v>284</v>
      </c>
      <c r="AB28" s="136"/>
    </row>
    <row r="29" spans="1:28" s="94" customFormat="1">
      <c r="A29" s="97" t="s">
        <v>39</v>
      </c>
      <c r="B29" s="97"/>
      <c r="C29" s="98">
        <f>IFERROR(INDEX(Velas_máscara!$C$8:$W$52,MATCH(Velas!$A29,Velas_máscara!$A$8:$A$52,0),MATCH(Velas!C$7,Velas_máscara!$C$7:$W$7,0))*qtdsemana,"")</f>
        <v>0</v>
      </c>
      <c r="D29" s="98">
        <f>IFERROR(INDEX(Velas_máscara!$C$8:$W$52,MATCH(Velas!$A29,Velas_máscara!$A$8:$A$52,0),MATCH(Velas!D$7,Velas_máscara!$C$7:$W$7,0))*qtdsemana,"")</f>
        <v>0</v>
      </c>
      <c r="E29" s="98">
        <f>IFERROR(INDEX(Velas_máscara!$C$8:$W$52,MATCH(Velas!$A29,Velas_máscara!$A$8:$A$52,0),MATCH(Velas!E$7,Velas_máscara!$C$7:$W$7,0))*qtdsemana,"")</f>
        <v>0</v>
      </c>
      <c r="F29" s="98">
        <f>IFERROR(INDEX(Velas_máscara!$C$8:$W$52,MATCH(Velas!$A29,Velas_máscara!$A$8:$A$52,0),MATCH(Velas!F$7,Velas_máscara!$C$7:$W$7,0))*qtdsemana,"")</f>
        <v>0</v>
      </c>
      <c r="G29" s="98">
        <f>IFERROR(INDEX(Velas_máscara!$C$8:$W$52,MATCH(Velas!$A29,Velas_máscara!$A$8:$A$52,0),MATCH(Velas!G$7,Velas_máscara!$C$7:$W$7,0))*qtdsemana,"")</f>
        <v>0</v>
      </c>
      <c r="H29" s="98">
        <f>IFERROR(INDEX(Velas_máscara!$C$8:$W$52,MATCH(Velas!$A29,Velas_máscara!$A$8:$A$52,0),MATCH(Velas!H$7,Velas_máscara!$C$7:$W$7,0))*qtdsemana,"")</f>
        <v>0</v>
      </c>
      <c r="I29" s="98">
        <f>IFERROR(INDEX(Velas_máscara!$C$8:$W$52,MATCH(Velas!$A29,Velas_máscara!$A$8:$A$52,0),MATCH(Velas!I$7,Velas_máscara!$C$7:$W$7,0))*qtdsemana,"")</f>
        <v>0</v>
      </c>
      <c r="J29" s="98">
        <f>IFERROR(INDEX(Velas_máscara!$C$8:$W$52,MATCH(Velas!$A29,Velas_máscara!$A$8:$A$52,0),MATCH(Velas!J$7,Velas_máscara!$C$7:$W$7,0))*qtdsemana,"")</f>
        <v>4</v>
      </c>
      <c r="K29" s="98">
        <f>IFERROR(INDEX(Velas_máscara!$C$8:$W$52,MATCH(Velas!$A29,Velas_máscara!$A$8:$A$52,0),MATCH(Velas!K$7,Velas_máscara!$C$7:$W$7,0))*qtdsemana,"")</f>
        <v>0</v>
      </c>
      <c r="L29" s="98">
        <f>IFERROR(INDEX(Velas_máscara!$C$8:$W$52,MATCH(Velas!$A29,Velas_máscara!$A$8:$A$52,0),MATCH(Velas!L$7,Velas_máscara!$C$7:$W$7,0))*qtdsemana,"")</f>
        <v>0</v>
      </c>
      <c r="M29" s="98">
        <f>IFERROR(INDEX(Velas_máscara!$C$8:$W$52,MATCH(Velas!$A29,Velas_máscara!$A$8:$A$52,0),MATCH(Velas!M$7,Velas_máscara!$C$7:$W$7,0))*qtdsemana,"")</f>
        <v>0</v>
      </c>
      <c r="N29" s="98">
        <f>IFERROR(INDEX(Velas_máscara!$C$8:$W$52,MATCH(Velas!$A29,Velas_máscara!$A$8:$A$52,0),MATCH(Velas!N$7,Velas_máscara!$C$7:$W$7,0))*qtdsemana,"")</f>
        <v>0</v>
      </c>
      <c r="O29" s="98">
        <f>IFERROR(INDEX(Velas_máscara!$C$8:$W$52,MATCH(Velas!$A29,Velas_máscara!$A$8:$A$52,0),MATCH(Velas!O$7,Velas_máscara!$C$7:$W$7,0))*qtdsemana,"")</f>
        <v>0</v>
      </c>
      <c r="P29" s="98">
        <f>IFERROR(INDEX(Velas_máscara!$C$8:$W$52,MATCH(Velas!$A29,Velas_máscara!$A$8:$A$52,0),MATCH(Velas!P$7,Velas_máscara!$C$7:$W$7,0))*qtdsemana,"")</f>
        <v>4</v>
      </c>
      <c r="Q29" s="98">
        <f>IFERROR(INDEX(Velas_máscara!$C$8:$W$52,MATCH(Velas!$A29,Velas_máscara!$A$8:$A$52,0),MATCH(Velas!Q$7,Velas_máscara!$C$7:$W$7,0))*qtdsemana,"")</f>
        <v>0</v>
      </c>
      <c r="R29" s="98">
        <f>IFERROR(INDEX(Velas_máscara!$C$8:$W$52,MATCH(Velas!$A29,Velas_máscara!$A$8:$A$52,0),MATCH(Velas!R$7,Velas_máscara!$C$7:$W$7,0))*qtdsemana,"")</f>
        <v>4</v>
      </c>
      <c r="S29" s="88">
        <f>IFERROR(INDEX(Velas_máscara!$C$8:$W$52,MATCH(Velas!$A29,Velas_máscara!$A$8:$A$52,0),MATCH(Velas!S$7,Velas_máscara!$C$7:$W$7,0))*qtdsemana,"")</f>
        <v>0</v>
      </c>
      <c r="T29" s="98">
        <f>IFERROR(INDEX(Velas_máscara!$C$8:$W$52,MATCH(Velas!$A29,Velas_máscara!$A$8:$A$52,0),MATCH(Velas!T$7,Velas_máscara!$C$7:$W$7,0))*qtdsemana,"")</f>
        <v>0</v>
      </c>
      <c r="U29" s="98">
        <f>IFERROR(INDEX(Velas_máscara!$C$8:$W$52,MATCH(Velas!$A29,Velas_máscara!$A$8:$A$52,0),MATCH(Velas!U$7,Velas_máscara!$C$7:$W$7,0))*qtdsemana,"")</f>
        <v>0</v>
      </c>
      <c r="V29" s="98">
        <f>IFERROR(INDEX(Velas_máscara!$C$8:$W$52,MATCH(Velas!$A29,Velas_máscara!$A$8:$A$52,0),MATCH(Velas!V$7,Velas_máscara!$C$7:$W$7,0))*qtdsemana,"")</f>
        <v>0</v>
      </c>
      <c r="W29" s="98">
        <f>IFERROR(INDEX(Velas_máscara!$C$8:$W$52,MATCH(Velas!$A29,Velas_máscara!$A$8:$A$52,0),MATCH(Velas!W$7,Velas_máscara!$C$7:$W$7,0))*qtdsemana,"")</f>
        <v>4</v>
      </c>
      <c r="X29" s="94">
        <f t="shared" si="3"/>
        <v>16</v>
      </c>
      <c r="Y29" s="139">
        <f t="shared" si="4"/>
        <v>46.4</v>
      </c>
      <c r="Z29" s="86">
        <f t="shared" si="5"/>
        <v>56</v>
      </c>
    </row>
    <row r="30" spans="1:28" s="94" customFormat="1">
      <c r="A30" s="97" t="s">
        <v>25</v>
      </c>
      <c r="B30" s="97"/>
      <c r="C30" s="88">
        <f>IFERROR(INDEX(Velas_máscara!$C$8:$W$52,MATCH(Velas!$A30,Velas_máscara!$A$8:$A$52,0),MATCH(Velas!C$7,Velas_máscara!$C$7:$W$7,0))*qtdsemana,"")</f>
        <v>0</v>
      </c>
      <c r="D30" s="88">
        <f>IFERROR(INDEX(Velas_máscara!$C$8:$W$52,MATCH(Velas!$A30,Velas_máscara!$A$8:$A$52,0),MATCH(Velas!D$7,Velas_máscara!$C$7:$W$7,0))*qtdsemana,"")</f>
        <v>0</v>
      </c>
      <c r="E30" s="88">
        <f>IFERROR(INDEX(Velas_máscara!$C$8:$W$52,MATCH(Velas!$A30,Velas_máscara!$A$8:$A$52,0),MATCH(Velas!E$7,Velas_máscara!$C$7:$W$7,0))*qtdsemana,"")</f>
        <v>0</v>
      </c>
      <c r="F30" s="88">
        <f>IFERROR(INDEX(Velas_máscara!$C$8:$W$52,MATCH(Velas!$A30,Velas_máscara!$A$8:$A$52,0),MATCH(Velas!F$7,Velas_máscara!$C$7:$W$7,0))*qtdsemana,"")</f>
        <v>0</v>
      </c>
      <c r="G30" s="88">
        <f>IFERROR(INDEX(Velas_máscara!$C$8:$W$52,MATCH(Velas!$A30,Velas_máscara!$A$8:$A$52,0),MATCH(Velas!G$7,Velas_máscara!$C$7:$W$7,0))*qtdsemana,"")</f>
        <v>0</v>
      </c>
      <c r="H30" s="88">
        <f>IFERROR(INDEX(Velas_máscara!$C$8:$W$52,MATCH(Velas!$A30,Velas_máscara!$A$8:$A$52,0),MATCH(Velas!H$7,Velas_máscara!$C$7:$W$7,0))*qtdsemana,"")</f>
        <v>0</v>
      </c>
      <c r="I30" s="88">
        <f>IFERROR(INDEX(Velas_máscara!$C$8:$W$52,MATCH(Velas!$A30,Velas_máscara!$A$8:$A$52,0),MATCH(Velas!I$7,Velas_máscara!$C$7:$W$7,0))*qtdsemana,"")</f>
        <v>0</v>
      </c>
      <c r="J30" s="88">
        <f>IFERROR(INDEX(Velas_máscara!$C$8:$W$52,MATCH(Velas!$A30,Velas_máscara!$A$8:$A$52,0),MATCH(Velas!J$7,Velas_máscara!$C$7:$W$7,0))*qtdsemana,"")</f>
        <v>4</v>
      </c>
      <c r="K30" s="88">
        <f>IFERROR(INDEX(Velas_máscara!$C$8:$W$52,MATCH(Velas!$A30,Velas_máscara!$A$8:$A$52,0),MATCH(Velas!K$7,Velas_máscara!$C$7:$W$7,0))*qtdsemana,"")</f>
        <v>0</v>
      </c>
      <c r="L30" s="88">
        <f>IFERROR(INDEX(Velas_máscara!$C$8:$W$52,MATCH(Velas!$A30,Velas_máscara!$A$8:$A$52,0),MATCH(Velas!L$7,Velas_máscara!$C$7:$W$7,0))*qtdsemana,"")</f>
        <v>0</v>
      </c>
      <c r="M30" s="88">
        <f>IFERROR(INDEX(Velas_máscara!$C$8:$W$52,MATCH(Velas!$A30,Velas_máscara!$A$8:$A$52,0),MATCH(Velas!M$7,Velas_máscara!$C$7:$W$7,0))*qtdsemana,"")</f>
        <v>0</v>
      </c>
      <c r="N30" s="88">
        <f>IFERROR(INDEX(Velas_máscara!$C$8:$W$52,MATCH(Velas!$A30,Velas_máscara!$A$8:$A$52,0),MATCH(Velas!N$7,Velas_máscara!$C$7:$W$7,0))*qtdsemana,"")</f>
        <v>0</v>
      </c>
      <c r="O30" s="88">
        <f>IFERROR(INDEX(Velas_máscara!$C$8:$W$52,MATCH(Velas!$A30,Velas_máscara!$A$8:$A$52,0),MATCH(Velas!O$7,Velas_máscara!$C$7:$W$7,0))*qtdsemana,"")</f>
        <v>0</v>
      </c>
      <c r="P30" s="88">
        <f>IFERROR(INDEX(Velas_máscara!$C$8:$W$52,MATCH(Velas!$A30,Velas_máscara!$A$8:$A$52,0),MATCH(Velas!P$7,Velas_máscara!$C$7:$W$7,0))*qtdsemana,"")</f>
        <v>4</v>
      </c>
      <c r="Q30" s="88">
        <f>IFERROR(INDEX(Velas_máscara!$C$8:$W$52,MATCH(Velas!$A30,Velas_máscara!$A$8:$A$52,0),MATCH(Velas!Q$7,Velas_máscara!$C$7:$W$7,0))*qtdsemana,"")</f>
        <v>0</v>
      </c>
      <c r="R30" s="88">
        <f>IFERROR(INDEX(Velas_máscara!$C$8:$W$52,MATCH(Velas!$A30,Velas_máscara!$A$8:$A$52,0),MATCH(Velas!R$7,Velas_máscara!$C$7:$W$7,0))*qtdsemana,"")</f>
        <v>4</v>
      </c>
      <c r="S30" s="88">
        <f>IFERROR(INDEX(Velas_máscara!$C$8:$W$52,MATCH(Velas!$A30,Velas_máscara!$A$8:$A$52,0),MATCH(Velas!S$7,Velas_máscara!$C$7:$W$7,0))*qtdsemana,"")</f>
        <v>0</v>
      </c>
      <c r="T30" s="88">
        <f>IFERROR(INDEX(Velas_máscara!$C$8:$W$52,MATCH(Velas!$A30,Velas_máscara!$A$8:$A$52,0),MATCH(Velas!T$7,Velas_máscara!$C$7:$W$7,0))*qtdsemana,"")</f>
        <v>0</v>
      </c>
      <c r="U30" s="88">
        <f>IFERROR(INDEX(Velas_máscara!$C$8:$W$52,MATCH(Velas!$A30,Velas_máscara!$A$8:$A$52,0),MATCH(Velas!U$7,Velas_máscara!$C$7:$W$7,0))*qtdsemana,"")</f>
        <v>0</v>
      </c>
      <c r="V30" s="88">
        <f>IFERROR(INDEX(Velas_máscara!$C$8:$W$52,MATCH(Velas!$A30,Velas_máscara!$A$8:$A$52,0),MATCH(Velas!V$7,Velas_máscara!$C$7:$W$7,0))*qtdsemana,"")</f>
        <v>0</v>
      </c>
      <c r="W30" s="88">
        <f>IFERROR(INDEX(Velas_máscara!$C$8:$W$52,MATCH(Velas!$A30,Velas_máscara!$A$8:$A$52,0),MATCH(Velas!W$7,Velas_máscara!$C$7:$W$7,0))*qtdsemana,"")</f>
        <v>4</v>
      </c>
      <c r="X30" s="94">
        <f t="shared" si="3"/>
        <v>16</v>
      </c>
      <c r="Y30" s="139">
        <f t="shared" si="4"/>
        <v>46.4</v>
      </c>
      <c r="Z30" s="86">
        <f t="shared" si="5"/>
        <v>56</v>
      </c>
      <c r="AB30" s="136"/>
    </row>
    <row r="31" spans="1:28" s="94" customFormat="1">
      <c r="A31" s="97" t="s">
        <v>40</v>
      </c>
      <c r="B31" s="97"/>
      <c r="C31" s="98">
        <f>IFERROR(INDEX(Velas_máscara!$C$8:$W$52,MATCH(Velas!$A31,Velas_máscara!$A$8:$A$52,0),MATCH(Velas!C$7,Velas_máscara!$C$7:$W$7,0))*qtdsemana,"")</f>
        <v>0</v>
      </c>
      <c r="D31" s="98">
        <f>IFERROR(INDEX(Velas_máscara!$C$8:$W$52,MATCH(Velas!$A31,Velas_máscara!$A$8:$A$52,0),MATCH(Velas!D$7,Velas_máscara!$C$7:$W$7,0))*qtdsemana,"")</f>
        <v>0</v>
      </c>
      <c r="E31" s="98">
        <f>IFERROR(INDEX(Velas_máscara!$C$8:$W$52,MATCH(Velas!$A31,Velas_máscara!$A$8:$A$52,0),MATCH(Velas!E$7,Velas_máscara!$C$7:$W$7,0))*qtdsemana,"")</f>
        <v>0</v>
      </c>
      <c r="F31" s="98">
        <f>IFERROR(INDEX(Velas_máscara!$C$8:$W$52,MATCH(Velas!$A31,Velas_máscara!$A$8:$A$52,0),MATCH(Velas!F$7,Velas_máscara!$C$7:$W$7,0))*qtdsemana,"")</f>
        <v>0</v>
      </c>
      <c r="G31" s="98">
        <f>IFERROR(INDEX(Velas_máscara!$C$8:$W$52,MATCH(Velas!$A31,Velas_máscara!$A$8:$A$52,0),MATCH(Velas!G$7,Velas_máscara!$C$7:$W$7,0))*qtdsemana,"")</f>
        <v>0</v>
      </c>
      <c r="H31" s="98">
        <f>IFERROR(INDEX(Velas_máscara!$C$8:$W$52,MATCH(Velas!$A31,Velas_máscara!$A$8:$A$52,0),MATCH(Velas!H$7,Velas_máscara!$C$7:$W$7,0))*qtdsemana,"")</f>
        <v>0</v>
      </c>
      <c r="I31" s="98">
        <f>IFERROR(INDEX(Velas_máscara!$C$8:$W$52,MATCH(Velas!$A31,Velas_máscara!$A$8:$A$52,0),MATCH(Velas!I$7,Velas_máscara!$C$7:$W$7,0))*qtdsemana,"")</f>
        <v>0</v>
      </c>
      <c r="J31" s="98">
        <f>IFERROR(INDEX(Velas_máscara!$C$8:$W$52,MATCH(Velas!$A31,Velas_máscara!$A$8:$A$52,0),MATCH(Velas!J$7,Velas_máscara!$C$7:$W$7,0))*qtdsemana,"")</f>
        <v>0</v>
      </c>
      <c r="K31" s="98">
        <f>IFERROR(INDEX(Velas_máscara!$C$8:$W$52,MATCH(Velas!$A31,Velas_máscara!$A$8:$A$52,0),MATCH(Velas!K$7,Velas_máscara!$C$7:$W$7,0))*qtdsemana,"")</f>
        <v>0</v>
      </c>
      <c r="L31" s="98">
        <f>IFERROR(INDEX(Velas_máscara!$C$8:$W$52,MATCH(Velas!$A31,Velas_máscara!$A$8:$A$52,0),MATCH(Velas!L$7,Velas_máscara!$C$7:$W$7,0))*qtdsemana,"")</f>
        <v>0</v>
      </c>
      <c r="M31" s="98">
        <f>IFERROR(INDEX(Velas_máscara!$C$8:$W$52,MATCH(Velas!$A31,Velas_máscara!$A$8:$A$52,0),MATCH(Velas!M$7,Velas_máscara!$C$7:$W$7,0))*qtdsemana,"")</f>
        <v>0</v>
      </c>
      <c r="N31" s="98">
        <f>IFERROR(INDEX(Velas_máscara!$C$8:$W$52,MATCH(Velas!$A31,Velas_máscara!$A$8:$A$52,0),MATCH(Velas!N$7,Velas_máscara!$C$7:$W$7,0))*qtdsemana,"")</f>
        <v>0</v>
      </c>
      <c r="O31" s="98">
        <f>IFERROR(INDEX(Velas_máscara!$C$8:$W$52,MATCH(Velas!$A31,Velas_máscara!$A$8:$A$52,0),MATCH(Velas!O$7,Velas_máscara!$C$7:$W$7,0))*qtdsemana,"")</f>
        <v>0</v>
      </c>
      <c r="P31" s="98">
        <f>IFERROR(INDEX(Velas_máscara!$C$8:$W$52,MATCH(Velas!$A31,Velas_máscara!$A$8:$A$52,0),MATCH(Velas!P$7,Velas_máscara!$C$7:$W$7,0))*qtdsemana,"")</f>
        <v>0</v>
      </c>
      <c r="Q31" s="98">
        <f>IFERROR(INDEX(Velas_máscara!$C$8:$W$52,MATCH(Velas!$A31,Velas_máscara!$A$8:$A$52,0),MATCH(Velas!Q$7,Velas_máscara!$C$7:$W$7,0))*qtdsemana,"")</f>
        <v>0</v>
      </c>
      <c r="R31" s="98">
        <f>IFERROR(INDEX(Velas_máscara!$C$8:$W$52,MATCH(Velas!$A31,Velas_máscara!$A$8:$A$52,0),MATCH(Velas!R$7,Velas_máscara!$C$7:$W$7,0))*qtdsemana,"")</f>
        <v>0</v>
      </c>
      <c r="S31" s="88">
        <f>IFERROR(INDEX(Velas_máscara!$C$8:$W$52,MATCH(Velas!$A31,Velas_máscara!$A$8:$A$52,0),MATCH(Velas!S$7,Velas_máscara!$C$7:$W$7,0))*qtdsemana,"")</f>
        <v>0</v>
      </c>
      <c r="T31" s="98">
        <f>IFERROR(INDEX(Velas_máscara!$C$8:$W$52,MATCH(Velas!$A31,Velas_máscara!$A$8:$A$52,0),MATCH(Velas!T$7,Velas_máscara!$C$7:$W$7,0))*qtdsemana,"")</f>
        <v>0</v>
      </c>
      <c r="U31" s="98">
        <f>IFERROR(INDEX(Velas_máscara!$C$8:$W$52,MATCH(Velas!$A31,Velas_máscara!$A$8:$A$52,0),MATCH(Velas!U$7,Velas_máscara!$C$7:$W$7,0))*qtdsemana,"")</f>
        <v>0</v>
      </c>
      <c r="V31" s="98">
        <f>IFERROR(INDEX(Velas_máscara!$C$8:$W$52,MATCH(Velas!$A31,Velas_máscara!$A$8:$A$52,0),MATCH(Velas!V$7,Velas_máscara!$C$7:$W$7,0))*qtdsemana,"")</f>
        <v>0</v>
      </c>
      <c r="W31" s="98">
        <f>IFERROR(INDEX(Velas_máscara!$C$8:$W$52,MATCH(Velas!$A31,Velas_máscara!$A$8:$A$52,0),MATCH(Velas!W$7,Velas_máscara!$C$7:$W$7,0))*qtdsemana,"")</f>
        <v>0</v>
      </c>
      <c r="X31" s="94">
        <f t="shared" si="3"/>
        <v>0</v>
      </c>
      <c r="Y31" s="139">
        <f t="shared" si="4"/>
        <v>0</v>
      </c>
      <c r="Z31" s="86">
        <f t="shared" si="5"/>
        <v>0</v>
      </c>
    </row>
    <row r="32" spans="1:28" s="94" customFormat="1">
      <c r="A32" s="97" t="s">
        <v>272</v>
      </c>
      <c r="B32" s="97"/>
      <c r="C32" s="88">
        <f>IFERROR(INDEX(Velas_máscara!$C$8:$W$52,MATCH(Velas!$A32,Velas_máscara!$A$8:$A$52,0),MATCH(Velas!C$7,Velas_máscara!$C$7:$W$7,0))*qtdsemana,"")</f>
        <v>4</v>
      </c>
      <c r="D32" s="88">
        <f>IFERROR(INDEX(Velas_máscara!$C$8:$W$52,MATCH(Velas!$A32,Velas_máscara!$A$8:$A$52,0),MATCH(Velas!D$7,Velas_máscara!$C$7:$W$7,0))*qtdsemana,"")</f>
        <v>0</v>
      </c>
      <c r="E32" s="88">
        <f>IFERROR(INDEX(Velas_máscara!$C$8:$W$52,MATCH(Velas!$A32,Velas_máscara!$A$8:$A$52,0),MATCH(Velas!E$7,Velas_máscara!$C$7:$W$7,0))*qtdsemana,"")</f>
        <v>0</v>
      </c>
      <c r="F32" s="88">
        <f>IFERROR(INDEX(Velas_máscara!$C$8:$W$52,MATCH(Velas!$A32,Velas_máscara!$A$8:$A$52,0),MATCH(Velas!F$7,Velas_máscara!$C$7:$W$7,0))*qtdsemana,"")</f>
        <v>0</v>
      </c>
      <c r="G32" s="88">
        <f>IFERROR(INDEX(Velas_máscara!$C$8:$W$52,MATCH(Velas!$A32,Velas_máscara!$A$8:$A$52,0),MATCH(Velas!G$7,Velas_máscara!$C$7:$W$7,0))*qtdsemana,"")</f>
        <v>0</v>
      </c>
      <c r="H32" s="88">
        <f>IFERROR(INDEX(Velas_máscara!$C$8:$W$52,MATCH(Velas!$A32,Velas_máscara!$A$8:$A$52,0),MATCH(Velas!H$7,Velas_máscara!$C$7:$W$7,0))*qtdsemana,"")</f>
        <v>0</v>
      </c>
      <c r="I32" s="88">
        <f>IFERROR(INDEX(Velas_máscara!$C$8:$W$52,MATCH(Velas!$A32,Velas_máscara!$A$8:$A$52,0),MATCH(Velas!I$7,Velas_máscara!$C$7:$W$7,0))*qtdsemana,"")</f>
        <v>0</v>
      </c>
      <c r="J32" s="88">
        <f>IFERROR(INDEX(Velas_máscara!$C$8:$W$52,MATCH(Velas!$A32,Velas_máscara!$A$8:$A$52,0),MATCH(Velas!J$7,Velas_máscara!$C$7:$W$7,0))*qtdsemana,"")</f>
        <v>0</v>
      </c>
      <c r="K32" s="88">
        <f>IFERROR(INDEX(Velas_máscara!$C$8:$W$52,MATCH(Velas!$A32,Velas_máscara!$A$8:$A$52,0),MATCH(Velas!K$7,Velas_máscara!$C$7:$W$7,0))*qtdsemana,"")</f>
        <v>0</v>
      </c>
      <c r="L32" s="88">
        <f>IFERROR(INDEX(Velas_máscara!$C$8:$W$52,MATCH(Velas!$A32,Velas_máscara!$A$8:$A$52,0),MATCH(Velas!L$7,Velas_máscara!$C$7:$W$7,0))*qtdsemana,"")</f>
        <v>0</v>
      </c>
      <c r="M32" s="88">
        <f>IFERROR(INDEX(Velas_máscara!$C$8:$W$52,MATCH(Velas!$A32,Velas_máscara!$A$8:$A$52,0),MATCH(Velas!M$7,Velas_máscara!$C$7:$W$7,0))*qtdsemana,"")</f>
        <v>0</v>
      </c>
      <c r="N32" s="88">
        <f>IFERROR(INDEX(Velas_máscara!$C$8:$W$52,MATCH(Velas!$A32,Velas_máscara!$A$8:$A$52,0),MATCH(Velas!N$7,Velas_máscara!$C$7:$W$7,0))*qtdsemana,"")</f>
        <v>0</v>
      </c>
      <c r="O32" s="88">
        <f>IFERROR(INDEX(Velas_máscara!$C$8:$W$52,MATCH(Velas!$A32,Velas_máscara!$A$8:$A$52,0),MATCH(Velas!O$7,Velas_máscara!$C$7:$W$7,0))*qtdsemana,"")</f>
        <v>0</v>
      </c>
      <c r="P32" s="88">
        <f>IFERROR(INDEX(Velas_máscara!$C$8:$W$52,MATCH(Velas!$A32,Velas_máscara!$A$8:$A$52,0),MATCH(Velas!P$7,Velas_máscara!$C$7:$W$7,0))*qtdsemana,"")</f>
        <v>4</v>
      </c>
      <c r="Q32" s="88">
        <f>IFERROR(INDEX(Velas_máscara!$C$8:$W$52,MATCH(Velas!$A32,Velas_máscara!$A$8:$A$52,0),MATCH(Velas!Q$7,Velas_máscara!$C$7:$W$7,0))*qtdsemana,"")</f>
        <v>0</v>
      </c>
      <c r="R32" s="88">
        <f>IFERROR(INDEX(Velas_máscara!$C$8:$W$52,MATCH(Velas!$A32,Velas_máscara!$A$8:$A$52,0),MATCH(Velas!R$7,Velas_máscara!$C$7:$W$7,0))*qtdsemana,"")</f>
        <v>4</v>
      </c>
      <c r="S32" s="88">
        <f>IFERROR(INDEX(Velas_máscara!$C$8:$W$52,MATCH(Velas!$A32,Velas_máscara!$A$8:$A$52,0),MATCH(Velas!S$7,Velas_máscara!$C$7:$W$7,0))*qtdsemana,"")</f>
        <v>0</v>
      </c>
      <c r="T32" s="88">
        <f>IFERROR(INDEX(Velas_máscara!$C$8:$W$52,MATCH(Velas!$A32,Velas_máscara!$A$8:$A$52,0),MATCH(Velas!T$7,Velas_máscara!$C$7:$W$7,0))*qtdsemana,"")</f>
        <v>0</v>
      </c>
      <c r="U32" s="88">
        <f>IFERROR(INDEX(Velas_máscara!$C$8:$W$52,MATCH(Velas!$A32,Velas_máscara!$A$8:$A$52,0),MATCH(Velas!U$7,Velas_máscara!$C$7:$W$7,0))*qtdsemana,"")</f>
        <v>0</v>
      </c>
      <c r="V32" s="88">
        <f>IFERROR(INDEX(Velas_máscara!$C$8:$W$52,MATCH(Velas!$A32,Velas_máscara!$A$8:$A$52,0),MATCH(Velas!V$7,Velas_máscara!$C$7:$W$7,0))*qtdsemana,"")</f>
        <v>0</v>
      </c>
      <c r="W32" s="88">
        <f>IFERROR(INDEX(Velas_máscara!$C$8:$W$52,MATCH(Velas!$A32,Velas_máscara!$A$8:$A$52,0),MATCH(Velas!W$7,Velas_máscara!$C$7:$W$7,0))*qtdsemana,"")</f>
        <v>8</v>
      </c>
      <c r="X32" s="94">
        <f t="shared" si="3"/>
        <v>20</v>
      </c>
      <c r="Y32" s="139">
        <f t="shared" si="4"/>
        <v>64.400000000000006</v>
      </c>
      <c r="Z32" s="86">
        <f t="shared" si="5"/>
        <v>76.400000000000006</v>
      </c>
      <c r="AB32" s="136"/>
    </row>
    <row r="33" spans="1:28" s="94" customFormat="1">
      <c r="A33" s="97" t="s">
        <v>273</v>
      </c>
      <c r="B33" s="97"/>
      <c r="C33" s="88">
        <f>IFERROR(INDEX(Velas_máscara!$C$8:$W$52,MATCH(Velas!$A33,Velas_máscara!$A$8:$A$52,0),MATCH(Velas!C$7,Velas_máscara!$C$7:$W$7,0))*qtdsemana,"")</f>
        <v>0</v>
      </c>
      <c r="D33" s="88">
        <f>IFERROR(INDEX(Velas_máscara!$C$8:$W$52,MATCH(Velas!$A33,Velas_máscara!$A$8:$A$52,0),MATCH(Velas!D$7,Velas_máscara!$C$7:$W$7,0))*qtdsemana,"")</f>
        <v>0</v>
      </c>
      <c r="E33" s="88">
        <f>IFERROR(INDEX(Velas_máscara!$C$8:$W$52,MATCH(Velas!$A33,Velas_máscara!$A$8:$A$52,0),MATCH(Velas!E$7,Velas_máscara!$C$7:$W$7,0))*qtdsemana,"")</f>
        <v>0</v>
      </c>
      <c r="F33" s="88">
        <f>IFERROR(INDEX(Velas_máscara!$C$8:$W$52,MATCH(Velas!$A33,Velas_máscara!$A$8:$A$52,0),MATCH(Velas!F$7,Velas_máscara!$C$7:$W$7,0))*qtdsemana,"")</f>
        <v>0</v>
      </c>
      <c r="G33" s="88">
        <f>IFERROR(INDEX(Velas_máscara!$C$8:$W$52,MATCH(Velas!$A33,Velas_máscara!$A$8:$A$52,0),MATCH(Velas!G$7,Velas_máscara!$C$7:$W$7,0))*qtdsemana,"")</f>
        <v>0</v>
      </c>
      <c r="H33" s="88">
        <f>IFERROR(INDEX(Velas_máscara!$C$8:$W$52,MATCH(Velas!$A33,Velas_máscara!$A$8:$A$52,0),MATCH(Velas!H$7,Velas_máscara!$C$7:$W$7,0))*qtdsemana,"")</f>
        <v>0</v>
      </c>
      <c r="I33" s="88">
        <f>IFERROR(INDEX(Velas_máscara!$C$8:$W$52,MATCH(Velas!$A33,Velas_máscara!$A$8:$A$52,0),MATCH(Velas!I$7,Velas_máscara!$C$7:$W$7,0))*qtdsemana,"")</f>
        <v>0</v>
      </c>
      <c r="J33" s="88">
        <f>IFERROR(INDEX(Velas_máscara!$C$8:$W$52,MATCH(Velas!$A33,Velas_máscara!$A$8:$A$52,0),MATCH(Velas!J$7,Velas_máscara!$C$7:$W$7,0))*qtdsemana,"")</f>
        <v>4</v>
      </c>
      <c r="K33" s="88">
        <f>IFERROR(INDEX(Velas_máscara!$C$8:$W$52,MATCH(Velas!$A33,Velas_máscara!$A$8:$A$52,0),MATCH(Velas!K$7,Velas_máscara!$C$7:$W$7,0))*qtdsemana,"")</f>
        <v>0</v>
      </c>
      <c r="L33" s="88">
        <f>IFERROR(INDEX(Velas_máscara!$C$8:$W$52,MATCH(Velas!$A33,Velas_máscara!$A$8:$A$52,0),MATCH(Velas!L$7,Velas_máscara!$C$7:$W$7,0))*qtdsemana,"")</f>
        <v>0</v>
      </c>
      <c r="M33" s="88">
        <f>IFERROR(INDEX(Velas_máscara!$C$8:$W$52,MATCH(Velas!$A33,Velas_máscara!$A$8:$A$52,0),MATCH(Velas!M$7,Velas_máscara!$C$7:$W$7,0))*qtdsemana,"")</f>
        <v>0</v>
      </c>
      <c r="N33" s="88">
        <f>IFERROR(INDEX(Velas_máscara!$C$8:$W$52,MATCH(Velas!$A33,Velas_máscara!$A$8:$A$52,0),MATCH(Velas!N$7,Velas_máscara!$C$7:$W$7,0))*qtdsemana,"")</f>
        <v>0</v>
      </c>
      <c r="O33" s="88">
        <f>IFERROR(INDEX(Velas_máscara!$C$8:$W$52,MATCH(Velas!$A33,Velas_máscara!$A$8:$A$52,0),MATCH(Velas!O$7,Velas_máscara!$C$7:$W$7,0))*qtdsemana,"")</f>
        <v>0</v>
      </c>
      <c r="P33" s="88">
        <f>IFERROR(INDEX(Velas_máscara!$C$8:$W$52,MATCH(Velas!$A33,Velas_máscara!$A$8:$A$52,0),MATCH(Velas!P$7,Velas_máscara!$C$7:$W$7,0))*qtdsemana,"")</f>
        <v>8</v>
      </c>
      <c r="Q33" s="88">
        <f>IFERROR(INDEX(Velas_máscara!$C$8:$W$52,MATCH(Velas!$A33,Velas_máscara!$A$8:$A$52,0),MATCH(Velas!Q$7,Velas_máscara!$C$7:$W$7,0))*qtdsemana,"")</f>
        <v>0</v>
      </c>
      <c r="R33" s="88">
        <f>IFERROR(INDEX(Velas_máscara!$C$8:$W$52,MATCH(Velas!$A33,Velas_máscara!$A$8:$A$52,0),MATCH(Velas!R$7,Velas_máscara!$C$7:$W$7,0))*qtdsemana,"")</f>
        <v>4</v>
      </c>
      <c r="S33" s="88">
        <f>IFERROR(INDEX(Velas_máscara!$C$8:$W$52,MATCH(Velas!$A33,Velas_máscara!$A$8:$A$52,0),MATCH(Velas!S$7,Velas_máscara!$C$7:$W$7,0))*qtdsemana,"")</f>
        <v>0</v>
      </c>
      <c r="T33" s="88">
        <f>IFERROR(INDEX(Velas_máscara!$C$8:$W$52,MATCH(Velas!$A33,Velas_máscara!$A$8:$A$52,0),MATCH(Velas!T$7,Velas_máscara!$C$7:$W$7,0))*qtdsemana,"")</f>
        <v>0</v>
      </c>
      <c r="U33" s="88">
        <f>IFERROR(INDEX(Velas_máscara!$C$8:$W$52,MATCH(Velas!$A33,Velas_máscara!$A$8:$A$52,0),MATCH(Velas!U$7,Velas_máscara!$C$7:$W$7,0))*qtdsemana,"")</f>
        <v>0</v>
      </c>
      <c r="V33" s="88">
        <f>IFERROR(INDEX(Velas_máscara!$C$8:$W$52,MATCH(Velas!$A33,Velas_máscara!$A$8:$A$52,0),MATCH(Velas!V$7,Velas_máscara!$C$7:$W$7,0))*qtdsemana,"")</f>
        <v>8</v>
      </c>
      <c r="W33" s="88">
        <f>IFERROR(INDEX(Velas_máscara!$C$8:$W$52,MATCH(Velas!$A33,Velas_máscara!$A$8:$A$52,0),MATCH(Velas!W$7,Velas_máscara!$C$7:$W$7,0))*qtdsemana,"")</f>
        <v>0</v>
      </c>
      <c r="X33" s="94">
        <f t="shared" si="3"/>
        <v>24</v>
      </c>
      <c r="Y33" s="139">
        <f t="shared" si="4"/>
        <v>69.599999999999994</v>
      </c>
      <c r="Z33" s="86">
        <f t="shared" si="5"/>
        <v>84</v>
      </c>
      <c r="AB33" s="136"/>
    </row>
    <row r="34" spans="1:28" s="94" customFormat="1">
      <c r="A34" s="97" t="s">
        <v>29</v>
      </c>
      <c r="B34" s="97"/>
      <c r="C34" s="98">
        <f>IFERROR(INDEX(Velas_máscara!$C$8:$W$52,MATCH(Velas!$A34,Velas_máscara!$A$8:$A$52,0),MATCH(Velas!C$7,Velas_máscara!$C$7:$W$7,0))*qtdsemana,"")</f>
        <v>0</v>
      </c>
      <c r="D34" s="98">
        <f>IFERROR(INDEX(Velas_máscara!$C$8:$W$52,MATCH(Velas!$A34,Velas_máscara!$A$8:$A$52,0),MATCH(Velas!D$7,Velas_máscara!$C$7:$W$7,0))*qtdsemana,"")</f>
        <v>0</v>
      </c>
      <c r="E34" s="98">
        <f>IFERROR(INDEX(Velas_máscara!$C$8:$W$52,MATCH(Velas!$A34,Velas_máscara!$A$8:$A$52,0),MATCH(Velas!E$7,Velas_máscara!$C$7:$W$7,0))*qtdsemana,"")</f>
        <v>0</v>
      </c>
      <c r="F34" s="98">
        <f>IFERROR(INDEX(Velas_máscara!$C$8:$W$52,MATCH(Velas!$A34,Velas_máscara!$A$8:$A$52,0),MATCH(Velas!F$7,Velas_máscara!$C$7:$W$7,0))*qtdsemana,"")</f>
        <v>0</v>
      </c>
      <c r="G34" s="98">
        <f>IFERROR(INDEX(Velas_máscara!$C$8:$W$52,MATCH(Velas!$A34,Velas_máscara!$A$8:$A$52,0),MATCH(Velas!G$7,Velas_máscara!$C$7:$W$7,0))*qtdsemana,"")</f>
        <v>0</v>
      </c>
      <c r="H34" s="98">
        <f>IFERROR(INDEX(Velas_máscara!$C$8:$W$52,MATCH(Velas!$A34,Velas_máscara!$A$8:$A$52,0),MATCH(Velas!H$7,Velas_máscara!$C$7:$W$7,0))*qtdsemana,"")</f>
        <v>0</v>
      </c>
      <c r="I34" s="98">
        <f>IFERROR(INDEX(Velas_máscara!$C$8:$W$52,MATCH(Velas!$A34,Velas_máscara!$A$8:$A$52,0),MATCH(Velas!I$7,Velas_máscara!$C$7:$W$7,0))*qtdsemana,"")</f>
        <v>0</v>
      </c>
      <c r="J34" s="98">
        <f>IFERROR(INDEX(Velas_máscara!$C$8:$W$52,MATCH(Velas!$A34,Velas_máscara!$A$8:$A$52,0),MATCH(Velas!J$7,Velas_máscara!$C$7:$W$7,0))*qtdsemana,"")</f>
        <v>0</v>
      </c>
      <c r="K34" s="98">
        <f>IFERROR(INDEX(Velas_máscara!$C$8:$W$52,MATCH(Velas!$A34,Velas_máscara!$A$8:$A$52,0),MATCH(Velas!K$7,Velas_máscara!$C$7:$W$7,0))*qtdsemana,"")</f>
        <v>0</v>
      </c>
      <c r="L34" s="98">
        <f>IFERROR(INDEX(Velas_máscara!$C$8:$W$52,MATCH(Velas!$A34,Velas_máscara!$A$8:$A$52,0),MATCH(Velas!L$7,Velas_máscara!$C$7:$W$7,0))*qtdsemana,"")</f>
        <v>0</v>
      </c>
      <c r="M34" s="98">
        <f>IFERROR(INDEX(Velas_máscara!$C$8:$W$52,MATCH(Velas!$A34,Velas_máscara!$A$8:$A$52,0),MATCH(Velas!M$7,Velas_máscara!$C$7:$W$7,0))*qtdsemana,"")</f>
        <v>0</v>
      </c>
      <c r="N34" s="98">
        <f>IFERROR(INDEX(Velas_máscara!$C$8:$W$52,MATCH(Velas!$A34,Velas_máscara!$A$8:$A$52,0),MATCH(Velas!N$7,Velas_máscara!$C$7:$W$7,0))*qtdsemana,"")</f>
        <v>0</v>
      </c>
      <c r="O34" s="98">
        <f>IFERROR(INDEX(Velas_máscara!$C$8:$W$52,MATCH(Velas!$A34,Velas_máscara!$A$8:$A$52,0),MATCH(Velas!O$7,Velas_máscara!$C$7:$W$7,0))*qtdsemana,"")</f>
        <v>0</v>
      </c>
      <c r="P34" s="98">
        <f>IFERROR(INDEX(Velas_máscara!$C$8:$W$52,MATCH(Velas!$A34,Velas_máscara!$A$8:$A$52,0),MATCH(Velas!P$7,Velas_máscara!$C$7:$W$7,0))*qtdsemana,"")</f>
        <v>0</v>
      </c>
      <c r="Q34" s="98">
        <f>IFERROR(INDEX(Velas_máscara!$C$8:$W$52,MATCH(Velas!$A34,Velas_máscara!$A$8:$A$52,0),MATCH(Velas!Q$7,Velas_máscara!$C$7:$W$7,0))*qtdsemana,"")</f>
        <v>0</v>
      </c>
      <c r="R34" s="98">
        <f>IFERROR(INDEX(Velas_máscara!$C$8:$W$52,MATCH(Velas!$A34,Velas_máscara!$A$8:$A$52,0),MATCH(Velas!R$7,Velas_máscara!$C$7:$W$7,0))*qtdsemana,"")</f>
        <v>0</v>
      </c>
      <c r="S34" s="88">
        <f>IFERROR(INDEX(Velas_máscara!$C$8:$W$52,MATCH(Velas!$A34,Velas_máscara!$A$8:$A$52,0),MATCH(Velas!S$7,Velas_máscara!$C$7:$W$7,0))*qtdsemana,"")</f>
        <v>0</v>
      </c>
      <c r="T34" s="98">
        <f>IFERROR(INDEX(Velas_máscara!$C$8:$W$52,MATCH(Velas!$A34,Velas_máscara!$A$8:$A$52,0),MATCH(Velas!T$7,Velas_máscara!$C$7:$W$7,0))*qtdsemana,"")</f>
        <v>0</v>
      </c>
      <c r="U34" s="98">
        <f>IFERROR(INDEX(Velas_máscara!$C$8:$W$52,MATCH(Velas!$A34,Velas_máscara!$A$8:$A$52,0),MATCH(Velas!U$7,Velas_máscara!$C$7:$W$7,0))*qtdsemana,"")</f>
        <v>0</v>
      </c>
      <c r="V34" s="98">
        <f>IFERROR(INDEX(Velas_máscara!$C$8:$W$52,MATCH(Velas!$A34,Velas_máscara!$A$8:$A$52,0),MATCH(Velas!V$7,Velas_máscara!$C$7:$W$7,0))*qtdsemana,"")</f>
        <v>0</v>
      </c>
      <c r="W34" s="98">
        <f>IFERROR(INDEX(Velas_máscara!$C$8:$W$52,MATCH(Velas!$A34,Velas_máscara!$A$8:$A$52,0),MATCH(Velas!W$7,Velas_máscara!$C$7:$W$7,0))*qtdsemana,"")</f>
        <v>0</v>
      </c>
      <c r="X34" s="94">
        <f t="shared" si="3"/>
        <v>0</v>
      </c>
      <c r="Y34" s="139">
        <f t="shared" si="4"/>
        <v>0</v>
      </c>
      <c r="Z34" s="86">
        <f t="shared" si="5"/>
        <v>0</v>
      </c>
    </row>
    <row r="35" spans="1:28" s="94" customFormat="1">
      <c r="A35" s="97" t="s">
        <v>20</v>
      </c>
      <c r="B35" s="97"/>
      <c r="C35" s="88">
        <f>IFERROR(INDEX(Velas_máscara!$C$8:$W$52,MATCH(Velas!$A35,Velas_máscara!$A$8:$A$52,0),MATCH(Velas!C$7,Velas_máscara!$C$7:$W$7,0))*qtdsemana,"")</f>
        <v>0</v>
      </c>
      <c r="D35" s="88">
        <f>IFERROR(INDEX(Velas_máscara!$C$8:$W$52,MATCH(Velas!$A35,Velas_máscara!$A$8:$A$52,0),MATCH(Velas!D$7,Velas_máscara!$C$7:$W$7,0))*qtdsemana,"")</f>
        <v>0</v>
      </c>
      <c r="E35" s="88">
        <f>IFERROR(INDEX(Velas_máscara!$C$8:$W$52,MATCH(Velas!$A35,Velas_máscara!$A$8:$A$52,0),MATCH(Velas!E$7,Velas_máscara!$C$7:$W$7,0))*qtdsemana,"")</f>
        <v>0</v>
      </c>
      <c r="F35" s="88">
        <f>IFERROR(INDEX(Velas_máscara!$C$8:$W$52,MATCH(Velas!$A35,Velas_máscara!$A$8:$A$52,0),MATCH(Velas!F$7,Velas_máscara!$C$7:$W$7,0))*qtdsemana,"")</f>
        <v>0</v>
      </c>
      <c r="G35" s="88">
        <f>IFERROR(INDEX(Velas_máscara!$C$8:$W$52,MATCH(Velas!$A35,Velas_máscara!$A$8:$A$52,0),MATCH(Velas!G$7,Velas_máscara!$C$7:$W$7,0))*qtdsemana,"")</f>
        <v>0</v>
      </c>
      <c r="H35" s="88">
        <f>IFERROR(INDEX(Velas_máscara!$C$8:$W$52,MATCH(Velas!$A35,Velas_máscara!$A$8:$A$52,0),MATCH(Velas!H$7,Velas_máscara!$C$7:$W$7,0))*qtdsemana,"")</f>
        <v>0</v>
      </c>
      <c r="I35" s="88">
        <f>IFERROR(INDEX(Velas_máscara!$C$8:$W$52,MATCH(Velas!$A35,Velas_máscara!$A$8:$A$52,0),MATCH(Velas!I$7,Velas_máscara!$C$7:$W$7,0))*qtdsemana,"")</f>
        <v>0</v>
      </c>
      <c r="J35" s="88">
        <f>IFERROR(INDEX(Velas_máscara!$C$8:$W$52,MATCH(Velas!$A35,Velas_máscara!$A$8:$A$52,0),MATCH(Velas!J$7,Velas_máscara!$C$7:$W$7,0))*qtdsemana,"")</f>
        <v>4</v>
      </c>
      <c r="K35" s="88">
        <f>IFERROR(INDEX(Velas_máscara!$C$8:$W$52,MATCH(Velas!$A35,Velas_máscara!$A$8:$A$52,0),MATCH(Velas!K$7,Velas_máscara!$C$7:$W$7,0))*qtdsemana,"")</f>
        <v>0</v>
      </c>
      <c r="L35" s="88">
        <f>IFERROR(INDEX(Velas_máscara!$C$8:$W$52,MATCH(Velas!$A35,Velas_máscara!$A$8:$A$52,0),MATCH(Velas!L$7,Velas_máscara!$C$7:$W$7,0))*qtdsemana,"")</f>
        <v>0</v>
      </c>
      <c r="M35" s="88">
        <f>IFERROR(INDEX(Velas_máscara!$C$8:$W$52,MATCH(Velas!$A35,Velas_máscara!$A$8:$A$52,0),MATCH(Velas!M$7,Velas_máscara!$C$7:$W$7,0))*qtdsemana,"")</f>
        <v>0</v>
      </c>
      <c r="N35" s="88">
        <f>IFERROR(INDEX(Velas_máscara!$C$8:$W$52,MATCH(Velas!$A35,Velas_máscara!$A$8:$A$52,0),MATCH(Velas!N$7,Velas_máscara!$C$7:$W$7,0))*qtdsemana,"")</f>
        <v>0</v>
      </c>
      <c r="O35" s="88">
        <f>IFERROR(INDEX(Velas_máscara!$C$8:$W$52,MATCH(Velas!$A35,Velas_máscara!$A$8:$A$52,0),MATCH(Velas!O$7,Velas_máscara!$C$7:$W$7,0))*qtdsemana,"")</f>
        <v>0</v>
      </c>
      <c r="P35" s="88">
        <f>IFERROR(INDEX(Velas_máscara!$C$8:$W$52,MATCH(Velas!$A35,Velas_máscara!$A$8:$A$52,0),MATCH(Velas!P$7,Velas_máscara!$C$7:$W$7,0))*qtdsemana,"")</f>
        <v>4</v>
      </c>
      <c r="Q35" s="88">
        <f>IFERROR(INDEX(Velas_máscara!$C$8:$W$52,MATCH(Velas!$A35,Velas_máscara!$A$8:$A$52,0),MATCH(Velas!Q$7,Velas_máscara!$C$7:$W$7,0))*qtdsemana,"")</f>
        <v>0</v>
      </c>
      <c r="R35" s="88">
        <f>IFERROR(INDEX(Velas_máscara!$C$8:$W$52,MATCH(Velas!$A35,Velas_máscara!$A$8:$A$52,0),MATCH(Velas!R$7,Velas_máscara!$C$7:$W$7,0))*qtdsemana,"")</f>
        <v>4</v>
      </c>
      <c r="S35" s="88">
        <f>IFERROR(INDEX(Velas_máscara!$C$8:$W$52,MATCH(Velas!$A35,Velas_máscara!$A$8:$A$52,0),MATCH(Velas!S$7,Velas_máscara!$C$7:$W$7,0))*qtdsemana,"")</f>
        <v>0</v>
      </c>
      <c r="T35" s="88">
        <f>IFERROR(INDEX(Velas_máscara!$C$8:$W$52,MATCH(Velas!$A35,Velas_máscara!$A$8:$A$52,0),MATCH(Velas!T$7,Velas_máscara!$C$7:$W$7,0))*qtdsemana,"")</f>
        <v>0</v>
      </c>
      <c r="U35" s="88">
        <f>IFERROR(INDEX(Velas_máscara!$C$8:$W$52,MATCH(Velas!$A35,Velas_máscara!$A$8:$A$52,0),MATCH(Velas!U$7,Velas_máscara!$C$7:$W$7,0))*qtdsemana,"")</f>
        <v>4</v>
      </c>
      <c r="V35" s="88">
        <f>IFERROR(INDEX(Velas_máscara!$C$8:$W$52,MATCH(Velas!$A35,Velas_máscara!$A$8:$A$52,0),MATCH(Velas!V$7,Velas_máscara!$C$7:$W$7,0))*qtdsemana,"")</f>
        <v>0</v>
      </c>
      <c r="W35" s="88">
        <f>IFERROR(INDEX(Velas_máscara!$C$8:$W$52,MATCH(Velas!$A35,Velas_máscara!$A$8:$A$52,0),MATCH(Velas!W$7,Velas_máscara!$C$7:$W$7,0))*qtdsemana,"")</f>
        <v>4</v>
      </c>
      <c r="X35" s="94">
        <f t="shared" si="3"/>
        <v>20</v>
      </c>
      <c r="Y35" s="139">
        <f t="shared" si="4"/>
        <v>58</v>
      </c>
      <c r="Z35" s="86">
        <f t="shared" si="5"/>
        <v>70</v>
      </c>
      <c r="AA35" s="94" t="s">
        <v>284</v>
      </c>
      <c r="AB35" s="136"/>
    </row>
    <row r="36" spans="1:28" s="94" customFormat="1">
      <c r="A36" s="97" t="s">
        <v>48</v>
      </c>
      <c r="B36" s="97"/>
      <c r="C36" s="98">
        <f>IFERROR(INDEX(Velas_máscara!$C$8:$W$52,MATCH(Velas!$A36,Velas_máscara!$A$8:$A$52,0),MATCH(Velas!C$7,Velas_máscara!$C$7:$W$7,0))*qtdsemana,"")</f>
        <v>0</v>
      </c>
      <c r="D36" s="98">
        <f>IFERROR(INDEX(Velas_máscara!$C$8:$W$52,MATCH(Velas!$A36,Velas_máscara!$A$8:$A$52,0),MATCH(Velas!D$7,Velas_máscara!$C$7:$W$7,0))*qtdsemana,"")</f>
        <v>0</v>
      </c>
      <c r="E36" s="98">
        <f>IFERROR(INDEX(Velas_máscara!$C$8:$W$52,MATCH(Velas!$A36,Velas_máscara!$A$8:$A$52,0),MATCH(Velas!E$7,Velas_máscara!$C$7:$W$7,0))*qtdsemana,"")</f>
        <v>0</v>
      </c>
      <c r="F36" s="98">
        <f>IFERROR(INDEX(Velas_máscara!$C$8:$W$52,MATCH(Velas!$A36,Velas_máscara!$A$8:$A$52,0),MATCH(Velas!F$7,Velas_máscara!$C$7:$W$7,0))*qtdsemana,"")</f>
        <v>0</v>
      </c>
      <c r="G36" s="98">
        <f>IFERROR(INDEX(Velas_máscara!$C$8:$W$52,MATCH(Velas!$A36,Velas_máscara!$A$8:$A$52,0),MATCH(Velas!G$7,Velas_máscara!$C$7:$W$7,0))*qtdsemana,"")</f>
        <v>0</v>
      </c>
      <c r="H36" s="98">
        <f>IFERROR(INDEX(Velas_máscara!$C$8:$W$52,MATCH(Velas!$A36,Velas_máscara!$A$8:$A$52,0),MATCH(Velas!H$7,Velas_máscara!$C$7:$W$7,0))*qtdsemana,"")</f>
        <v>0</v>
      </c>
      <c r="I36" s="98">
        <f>IFERROR(INDEX(Velas_máscara!$C$8:$W$52,MATCH(Velas!$A36,Velas_máscara!$A$8:$A$52,0),MATCH(Velas!I$7,Velas_máscara!$C$7:$W$7,0))*qtdsemana,"")</f>
        <v>0</v>
      </c>
      <c r="J36" s="98">
        <f>IFERROR(INDEX(Velas_máscara!$C$8:$W$52,MATCH(Velas!$A36,Velas_máscara!$A$8:$A$52,0),MATCH(Velas!J$7,Velas_máscara!$C$7:$W$7,0))*qtdsemana,"")</f>
        <v>0</v>
      </c>
      <c r="K36" s="98">
        <f>IFERROR(INDEX(Velas_máscara!$C$8:$W$52,MATCH(Velas!$A36,Velas_máscara!$A$8:$A$52,0),MATCH(Velas!K$7,Velas_máscara!$C$7:$W$7,0))*qtdsemana,"")</f>
        <v>0</v>
      </c>
      <c r="L36" s="98">
        <f>IFERROR(INDEX(Velas_máscara!$C$8:$W$52,MATCH(Velas!$A36,Velas_máscara!$A$8:$A$52,0),MATCH(Velas!L$7,Velas_máscara!$C$7:$W$7,0))*qtdsemana,"")</f>
        <v>0</v>
      </c>
      <c r="M36" s="98">
        <f>IFERROR(INDEX(Velas_máscara!$C$8:$W$52,MATCH(Velas!$A36,Velas_máscara!$A$8:$A$52,0),MATCH(Velas!M$7,Velas_máscara!$C$7:$W$7,0))*qtdsemana,"")</f>
        <v>0</v>
      </c>
      <c r="N36" s="98">
        <f>IFERROR(INDEX(Velas_máscara!$C$8:$W$52,MATCH(Velas!$A36,Velas_máscara!$A$8:$A$52,0),MATCH(Velas!N$7,Velas_máscara!$C$7:$W$7,0))*qtdsemana,"")</f>
        <v>0</v>
      </c>
      <c r="O36" s="98">
        <f>IFERROR(INDEX(Velas_máscara!$C$8:$W$52,MATCH(Velas!$A36,Velas_máscara!$A$8:$A$52,0),MATCH(Velas!O$7,Velas_máscara!$C$7:$W$7,0))*qtdsemana,"")</f>
        <v>0</v>
      </c>
      <c r="P36" s="98">
        <f>IFERROR(INDEX(Velas_máscara!$C$8:$W$52,MATCH(Velas!$A36,Velas_máscara!$A$8:$A$52,0),MATCH(Velas!P$7,Velas_máscara!$C$7:$W$7,0))*qtdsemana,"")</f>
        <v>0</v>
      </c>
      <c r="Q36" s="98">
        <f>IFERROR(INDEX(Velas_máscara!$C$8:$W$52,MATCH(Velas!$A36,Velas_máscara!$A$8:$A$52,0),MATCH(Velas!Q$7,Velas_máscara!$C$7:$W$7,0))*qtdsemana,"")</f>
        <v>0</v>
      </c>
      <c r="R36" s="98">
        <f>IFERROR(INDEX(Velas_máscara!$C$8:$W$52,MATCH(Velas!$A36,Velas_máscara!$A$8:$A$52,0),MATCH(Velas!R$7,Velas_máscara!$C$7:$W$7,0))*qtdsemana,"")</f>
        <v>0</v>
      </c>
      <c r="S36" s="88">
        <f>IFERROR(INDEX(Velas_máscara!$C$8:$W$52,MATCH(Velas!$A36,Velas_máscara!$A$8:$A$52,0),MATCH(Velas!S$7,Velas_máscara!$C$7:$W$7,0))*qtdsemana,"")</f>
        <v>0</v>
      </c>
      <c r="T36" s="98">
        <f>IFERROR(INDEX(Velas_máscara!$C$8:$W$52,MATCH(Velas!$A36,Velas_máscara!$A$8:$A$52,0),MATCH(Velas!T$7,Velas_máscara!$C$7:$W$7,0))*qtdsemana,"")</f>
        <v>0</v>
      </c>
      <c r="U36" s="98">
        <f>IFERROR(INDEX(Velas_máscara!$C$8:$W$52,MATCH(Velas!$A36,Velas_máscara!$A$8:$A$52,0),MATCH(Velas!U$7,Velas_máscara!$C$7:$W$7,0))*qtdsemana,"")</f>
        <v>0</v>
      </c>
      <c r="V36" s="98">
        <f>IFERROR(INDEX(Velas_máscara!$C$8:$W$52,MATCH(Velas!$A36,Velas_máscara!$A$8:$A$52,0),MATCH(Velas!V$7,Velas_máscara!$C$7:$W$7,0))*qtdsemana,"")</f>
        <v>0</v>
      </c>
      <c r="W36" s="98">
        <f>IFERROR(INDEX(Velas_máscara!$C$8:$W$52,MATCH(Velas!$A36,Velas_máscara!$A$8:$A$52,0),MATCH(Velas!W$7,Velas_máscara!$C$7:$W$7,0))*qtdsemana,"")</f>
        <v>0</v>
      </c>
      <c r="X36" s="94">
        <f t="shared" si="3"/>
        <v>0</v>
      </c>
      <c r="Y36" s="139">
        <f t="shared" si="4"/>
        <v>0</v>
      </c>
      <c r="Z36" s="86">
        <f t="shared" si="5"/>
        <v>0</v>
      </c>
    </row>
    <row r="37" spans="1:28" s="94" customFormat="1">
      <c r="A37" s="97" t="s">
        <v>274</v>
      </c>
      <c r="B37" s="97"/>
      <c r="C37" s="88">
        <f>IFERROR(INDEX(Velas_máscara!$C$8:$W$52,MATCH(Velas!$A37,Velas_máscara!$A$8:$A$52,0),MATCH(Velas!C$7,Velas_máscara!$C$7:$W$7,0))*qtdsemana,"")</f>
        <v>0</v>
      </c>
      <c r="D37" s="88">
        <f>IFERROR(INDEX(Velas_máscara!$C$8:$W$52,MATCH(Velas!$A37,Velas_máscara!$A$8:$A$52,0),MATCH(Velas!D$7,Velas_máscara!$C$7:$W$7,0))*qtdsemana,"")</f>
        <v>0</v>
      </c>
      <c r="E37" s="88">
        <f>IFERROR(INDEX(Velas_máscara!$C$8:$W$52,MATCH(Velas!$A37,Velas_máscara!$A$8:$A$52,0),MATCH(Velas!E$7,Velas_máscara!$C$7:$W$7,0))*qtdsemana,"")</f>
        <v>0</v>
      </c>
      <c r="F37" s="88">
        <f>IFERROR(INDEX(Velas_máscara!$C$8:$W$52,MATCH(Velas!$A37,Velas_máscara!$A$8:$A$52,0),MATCH(Velas!F$7,Velas_máscara!$C$7:$W$7,0))*qtdsemana,"")</f>
        <v>0</v>
      </c>
      <c r="G37" s="88">
        <f>IFERROR(INDEX(Velas_máscara!$C$8:$W$52,MATCH(Velas!$A37,Velas_máscara!$A$8:$A$52,0),MATCH(Velas!G$7,Velas_máscara!$C$7:$W$7,0))*qtdsemana,"")</f>
        <v>0</v>
      </c>
      <c r="H37" s="88">
        <f>IFERROR(INDEX(Velas_máscara!$C$8:$W$52,MATCH(Velas!$A37,Velas_máscara!$A$8:$A$52,0),MATCH(Velas!H$7,Velas_máscara!$C$7:$W$7,0))*qtdsemana,"")</f>
        <v>0</v>
      </c>
      <c r="I37" s="88">
        <f>IFERROR(INDEX(Velas_máscara!$C$8:$W$52,MATCH(Velas!$A37,Velas_máscara!$A$8:$A$52,0),MATCH(Velas!I$7,Velas_máscara!$C$7:$W$7,0))*qtdsemana,"")</f>
        <v>0</v>
      </c>
      <c r="J37" s="88">
        <f>IFERROR(INDEX(Velas_máscara!$C$8:$W$52,MATCH(Velas!$A37,Velas_máscara!$A$8:$A$52,0),MATCH(Velas!J$7,Velas_máscara!$C$7:$W$7,0))*qtdsemana,"")</f>
        <v>4</v>
      </c>
      <c r="K37" s="88">
        <f>IFERROR(INDEX(Velas_máscara!$C$8:$W$52,MATCH(Velas!$A37,Velas_máscara!$A$8:$A$52,0),MATCH(Velas!K$7,Velas_máscara!$C$7:$W$7,0))*qtdsemana,"")</f>
        <v>0</v>
      </c>
      <c r="L37" s="88">
        <f>IFERROR(INDEX(Velas_máscara!$C$8:$W$52,MATCH(Velas!$A37,Velas_máscara!$A$8:$A$52,0),MATCH(Velas!L$7,Velas_máscara!$C$7:$W$7,0))*qtdsemana,"")</f>
        <v>0</v>
      </c>
      <c r="M37" s="88">
        <f>IFERROR(INDEX(Velas_máscara!$C$8:$W$52,MATCH(Velas!$A37,Velas_máscara!$A$8:$A$52,0),MATCH(Velas!M$7,Velas_máscara!$C$7:$W$7,0))*qtdsemana,"")</f>
        <v>0</v>
      </c>
      <c r="N37" s="88">
        <f>IFERROR(INDEX(Velas_máscara!$C$8:$W$52,MATCH(Velas!$A37,Velas_máscara!$A$8:$A$52,0),MATCH(Velas!N$7,Velas_máscara!$C$7:$W$7,0))*qtdsemana,"")</f>
        <v>0</v>
      </c>
      <c r="O37" s="88">
        <f>IFERROR(INDEX(Velas_máscara!$C$8:$W$52,MATCH(Velas!$A37,Velas_máscara!$A$8:$A$52,0),MATCH(Velas!O$7,Velas_máscara!$C$7:$W$7,0))*qtdsemana,"")</f>
        <v>0</v>
      </c>
      <c r="P37" s="88">
        <f>IFERROR(INDEX(Velas_máscara!$C$8:$W$52,MATCH(Velas!$A37,Velas_máscara!$A$8:$A$52,0),MATCH(Velas!P$7,Velas_máscara!$C$7:$W$7,0))*qtdsemana,"")</f>
        <v>4</v>
      </c>
      <c r="Q37" s="88">
        <f>IFERROR(INDEX(Velas_máscara!$C$8:$W$52,MATCH(Velas!$A37,Velas_máscara!$A$8:$A$52,0),MATCH(Velas!Q$7,Velas_máscara!$C$7:$W$7,0))*qtdsemana,"")</f>
        <v>0</v>
      </c>
      <c r="R37" s="88">
        <f>IFERROR(INDEX(Velas_máscara!$C$8:$W$52,MATCH(Velas!$A37,Velas_máscara!$A$8:$A$52,0),MATCH(Velas!R$7,Velas_máscara!$C$7:$W$7,0))*qtdsemana,"")</f>
        <v>0</v>
      </c>
      <c r="S37" s="88">
        <f>IFERROR(INDEX(Velas_máscara!$C$8:$W$52,MATCH(Velas!$A37,Velas_máscara!$A$8:$A$52,0),MATCH(Velas!S$7,Velas_máscara!$C$7:$W$7,0))*qtdsemana,"")</f>
        <v>0</v>
      </c>
      <c r="T37" s="88">
        <f>IFERROR(INDEX(Velas_máscara!$C$8:$W$52,MATCH(Velas!$A37,Velas_máscara!$A$8:$A$52,0),MATCH(Velas!T$7,Velas_máscara!$C$7:$W$7,0))*qtdsemana,"")</f>
        <v>0</v>
      </c>
      <c r="U37" s="88">
        <f>IFERROR(INDEX(Velas_máscara!$C$8:$W$52,MATCH(Velas!$A37,Velas_máscara!$A$8:$A$52,0),MATCH(Velas!U$7,Velas_máscara!$C$7:$W$7,0))*qtdsemana,"")</f>
        <v>0</v>
      </c>
      <c r="V37" s="88">
        <f>IFERROR(INDEX(Velas_máscara!$C$8:$W$52,MATCH(Velas!$A37,Velas_máscara!$A$8:$A$52,0),MATCH(Velas!V$7,Velas_máscara!$C$7:$W$7,0))*qtdsemana,"")</f>
        <v>0</v>
      </c>
      <c r="W37" s="88">
        <f>IFERROR(INDEX(Velas_máscara!$C$8:$W$52,MATCH(Velas!$A37,Velas_máscara!$A$8:$A$52,0),MATCH(Velas!W$7,Velas_máscara!$C$7:$W$7,0))*qtdsemana,"")</f>
        <v>0</v>
      </c>
      <c r="X37" s="94">
        <f t="shared" si="3"/>
        <v>8</v>
      </c>
      <c r="Y37" s="139">
        <f t="shared" si="4"/>
        <v>23.2</v>
      </c>
      <c r="Z37" s="86">
        <f t="shared" si="5"/>
        <v>28</v>
      </c>
      <c r="AB37" s="136"/>
    </row>
    <row r="38" spans="1:28" s="94" customFormat="1">
      <c r="A38" s="97" t="s">
        <v>128</v>
      </c>
      <c r="B38" s="97"/>
      <c r="C38" s="98">
        <f>IFERROR(INDEX(Velas_máscara!$C$8:$W$52,MATCH(Velas!$A38,Velas_máscara!$A$8:$A$52,0),MATCH(Velas!C$7,Velas_máscara!$C$7:$W$7,0))*qtdsemana,"")</f>
        <v>0</v>
      </c>
      <c r="D38" s="98">
        <f>IFERROR(INDEX(Velas_máscara!$C$8:$W$52,MATCH(Velas!$A38,Velas_máscara!$A$8:$A$52,0),MATCH(Velas!D$7,Velas_máscara!$C$7:$W$7,0))*qtdsemana,"")</f>
        <v>0</v>
      </c>
      <c r="E38" s="98">
        <f>IFERROR(INDEX(Velas_máscara!$C$8:$W$52,MATCH(Velas!$A38,Velas_máscara!$A$8:$A$52,0),MATCH(Velas!E$7,Velas_máscara!$C$7:$W$7,0))*qtdsemana,"")</f>
        <v>0</v>
      </c>
      <c r="F38" s="98">
        <f>IFERROR(INDEX(Velas_máscara!$C$8:$W$52,MATCH(Velas!$A38,Velas_máscara!$A$8:$A$52,0),MATCH(Velas!F$7,Velas_máscara!$C$7:$W$7,0))*qtdsemana,"")</f>
        <v>0</v>
      </c>
      <c r="G38" s="98">
        <f>IFERROR(INDEX(Velas_máscara!$C$8:$W$52,MATCH(Velas!$A38,Velas_máscara!$A$8:$A$52,0),MATCH(Velas!G$7,Velas_máscara!$C$7:$W$7,0))*qtdsemana,"")</f>
        <v>0</v>
      </c>
      <c r="H38" s="98">
        <f>IFERROR(INDEX(Velas_máscara!$C$8:$W$52,MATCH(Velas!$A38,Velas_máscara!$A$8:$A$52,0),MATCH(Velas!H$7,Velas_máscara!$C$7:$W$7,0))*qtdsemana,"")</f>
        <v>0</v>
      </c>
      <c r="I38" s="98">
        <f>IFERROR(INDEX(Velas_máscara!$C$8:$W$52,MATCH(Velas!$A38,Velas_máscara!$A$8:$A$52,0),MATCH(Velas!I$7,Velas_máscara!$C$7:$W$7,0))*qtdsemana,"")</f>
        <v>0</v>
      </c>
      <c r="J38" s="98">
        <f>IFERROR(INDEX(Velas_máscara!$C$8:$W$52,MATCH(Velas!$A38,Velas_máscara!$A$8:$A$52,0),MATCH(Velas!J$7,Velas_máscara!$C$7:$W$7,0))*qtdsemana,"")</f>
        <v>0</v>
      </c>
      <c r="K38" s="98">
        <f>IFERROR(INDEX(Velas_máscara!$C$8:$W$52,MATCH(Velas!$A38,Velas_máscara!$A$8:$A$52,0),MATCH(Velas!K$7,Velas_máscara!$C$7:$W$7,0))*qtdsemana,"")</f>
        <v>0</v>
      </c>
      <c r="L38" s="98">
        <f>IFERROR(INDEX(Velas_máscara!$C$8:$W$52,MATCH(Velas!$A38,Velas_máscara!$A$8:$A$52,0),MATCH(Velas!L$7,Velas_máscara!$C$7:$W$7,0))*qtdsemana,"")</f>
        <v>0</v>
      </c>
      <c r="M38" s="98">
        <f>IFERROR(INDEX(Velas_máscara!$C$8:$W$52,MATCH(Velas!$A38,Velas_máscara!$A$8:$A$52,0),MATCH(Velas!M$7,Velas_máscara!$C$7:$W$7,0))*qtdsemana,"")</f>
        <v>0</v>
      </c>
      <c r="N38" s="98">
        <f>IFERROR(INDEX(Velas_máscara!$C$8:$W$52,MATCH(Velas!$A38,Velas_máscara!$A$8:$A$52,0),MATCH(Velas!N$7,Velas_máscara!$C$7:$W$7,0))*qtdsemana,"")</f>
        <v>0</v>
      </c>
      <c r="O38" s="98">
        <f>IFERROR(INDEX(Velas_máscara!$C$8:$W$52,MATCH(Velas!$A38,Velas_máscara!$A$8:$A$52,0),MATCH(Velas!O$7,Velas_máscara!$C$7:$W$7,0))*qtdsemana,"")</f>
        <v>0</v>
      </c>
      <c r="P38" s="98">
        <f>IFERROR(INDEX(Velas_máscara!$C$8:$W$52,MATCH(Velas!$A38,Velas_máscara!$A$8:$A$52,0),MATCH(Velas!P$7,Velas_máscara!$C$7:$W$7,0))*qtdsemana,"")</f>
        <v>0</v>
      </c>
      <c r="Q38" s="98">
        <f>IFERROR(INDEX(Velas_máscara!$C$8:$W$52,MATCH(Velas!$A38,Velas_máscara!$A$8:$A$52,0),MATCH(Velas!Q$7,Velas_máscara!$C$7:$W$7,0))*qtdsemana,"")</f>
        <v>0</v>
      </c>
      <c r="R38" s="98">
        <f>IFERROR(INDEX(Velas_máscara!$C$8:$W$52,MATCH(Velas!$A38,Velas_máscara!$A$8:$A$52,0),MATCH(Velas!R$7,Velas_máscara!$C$7:$W$7,0))*qtdsemana,"")</f>
        <v>0</v>
      </c>
      <c r="S38" s="88">
        <f>IFERROR(INDEX(Velas_máscara!$C$8:$W$52,MATCH(Velas!$A38,Velas_máscara!$A$8:$A$52,0),MATCH(Velas!S$7,Velas_máscara!$C$7:$W$7,0))*qtdsemana,"")</f>
        <v>0</v>
      </c>
      <c r="T38" s="98">
        <f>IFERROR(INDEX(Velas_máscara!$C$8:$W$52,MATCH(Velas!$A38,Velas_máscara!$A$8:$A$52,0),MATCH(Velas!T$7,Velas_máscara!$C$7:$W$7,0))*qtdsemana,"")</f>
        <v>0</v>
      </c>
      <c r="U38" s="98">
        <f>IFERROR(INDEX(Velas_máscara!$C$8:$W$52,MATCH(Velas!$A38,Velas_máscara!$A$8:$A$52,0),MATCH(Velas!U$7,Velas_máscara!$C$7:$W$7,0))*qtdsemana,"")</f>
        <v>0</v>
      </c>
      <c r="V38" s="98">
        <f>IFERROR(INDEX(Velas_máscara!$C$8:$W$52,MATCH(Velas!$A38,Velas_máscara!$A$8:$A$52,0),MATCH(Velas!V$7,Velas_máscara!$C$7:$W$7,0))*qtdsemana,"")</f>
        <v>0</v>
      </c>
      <c r="W38" s="98">
        <f>IFERROR(INDEX(Velas_máscara!$C$8:$W$52,MATCH(Velas!$A38,Velas_máscara!$A$8:$A$52,0),MATCH(Velas!W$7,Velas_máscara!$C$7:$W$7,0))*qtdsemana,"")</f>
        <v>0</v>
      </c>
      <c r="X38" s="94">
        <f t="shared" si="3"/>
        <v>0</v>
      </c>
      <c r="Y38" s="139">
        <f t="shared" si="4"/>
        <v>0</v>
      </c>
      <c r="Z38" s="86">
        <f t="shared" si="5"/>
        <v>0</v>
      </c>
    </row>
    <row r="39" spans="1:28" s="94" customFormat="1">
      <c r="A39" s="97" t="s">
        <v>30</v>
      </c>
      <c r="B39" s="97"/>
      <c r="C39" s="88">
        <f>IFERROR(INDEX(Velas_máscara!$C$8:$W$52,MATCH(Velas!$A39,Velas_máscara!$A$8:$A$52,0),MATCH(Velas!C$7,Velas_máscara!$C$7:$W$7,0))*qtdsemana,"")</f>
        <v>0</v>
      </c>
      <c r="D39" s="88">
        <f>IFERROR(INDEX(Velas_máscara!$C$8:$W$52,MATCH(Velas!$A39,Velas_máscara!$A$8:$A$52,0),MATCH(Velas!D$7,Velas_máscara!$C$7:$W$7,0))*qtdsemana,"")</f>
        <v>0</v>
      </c>
      <c r="E39" s="88">
        <f>IFERROR(INDEX(Velas_máscara!$C$8:$W$52,MATCH(Velas!$A39,Velas_máscara!$A$8:$A$52,0),MATCH(Velas!E$7,Velas_máscara!$C$7:$W$7,0))*qtdsemana,"")</f>
        <v>0</v>
      </c>
      <c r="F39" s="88">
        <f>IFERROR(INDEX(Velas_máscara!$C$8:$W$52,MATCH(Velas!$A39,Velas_máscara!$A$8:$A$52,0),MATCH(Velas!F$7,Velas_máscara!$C$7:$W$7,0))*qtdsemana,"")</f>
        <v>0</v>
      </c>
      <c r="G39" s="88">
        <f>IFERROR(INDEX(Velas_máscara!$C$8:$W$52,MATCH(Velas!$A39,Velas_máscara!$A$8:$A$52,0),MATCH(Velas!G$7,Velas_máscara!$C$7:$W$7,0))*qtdsemana,"")</f>
        <v>0</v>
      </c>
      <c r="H39" s="88">
        <f>IFERROR(INDEX(Velas_máscara!$C$8:$W$52,MATCH(Velas!$A39,Velas_máscara!$A$8:$A$52,0),MATCH(Velas!H$7,Velas_máscara!$C$7:$W$7,0))*qtdsemana,"")</f>
        <v>0</v>
      </c>
      <c r="I39" s="88">
        <f>IFERROR(INDEX(Velas_máscara!$C$8:$W$52,MATCH(Velas!$A39,Velas_máscara!$A$8:$A$52,0),MATCH(Velas!I$7,Velas_máscara!$C$7:$W$7,0))*qtdsemana,"")</f>
        <v>0</v>
      </c>
      <c r="J39" s="88">
        <f>IFERROR(INDEX(Velas_máscara!$C$8:$W$52,MATCH(Velas!$A39,Velas_máscara!$A$8:$A$52,0),MATCH(Velas!J$7,Velas_máscara!$C$7:$W$7,0))*qtdsemana,"")</f>
        <v>0</v>
      </c>
      <c r="K39" s="88">
        <f>IFERROR(INDEX(Velas_máscara!$C$8:$W$52,MATCH(Velas!$A39,Velas_máscara!$A$8:$A$52,0),MATCH(Velas!K$7,Velas_máscara!$C$7:$W$7,0))*qtdsemana,"")</f>
        <v>0</v>
      </c>
      <c r="L39" s="88">
        <f>IFERROR(INDEX(Velas_máscara!$C$8:$W$52,MATCH(Velas!$A39,Velas_máscara!$A$8:$A$52,0),MATCH(Velas!L$7,Velas_máscara!$C$7:$W$7,0))*qtdsemana,"")</f>
        <v>0</v>
      </c>
      <c r="M39" s="88">
        <f>IFERROR(INDEX(Velas_máscara!$C$8:$W$52,MATCH(Velas!$A39,Velas_máscara!$A$8:$A$52,0),MATCH(Velas!M$7,Velas_máscara!$C$7:$W$7,0))*qtdsemana,"")</f>
        <v>0</v>
      </c>
      <c r="N39" s="88">
        <f>IFERROR(INDEX(Velas_máscara!$C$8:$W$52,MATCH(Velas!$A39,Velas_máscara!$A$8:$A$52,0),MATCH(Velas!N$7,Velas_máscara!$C$7:$W$7,0))*qtdsemana,"")</f>
        <v>0</v>
      </c>
      <c r="O39" s="88">
        <f>IFERROR(INDEX(Velas_máscara!$C$8:$W$52,MATCH(Velas!$A39,Velas_máscara!$A$8:$A$52,0),MATCH(Velas!O$7,Velas_máscara!$C$7:$W$7,0))*qtdsemana,"")</f>
        <v>0</v>
      </c>
      <c r="P39" s="88">
        <f>IFERROR(INDEX(Velas_máscara!$C$8:$W$52,MATCH(Velas!$A39,Velas_máscara!$A$8:$A$52,0),MATCH(Velas!P$7,Velas_máscara!$C$7:$W$7,0))*qtdsemana,"")</f>
        <v>4</v>
      </c>
      <c r="Q39" s="88">
        <f>IFERROR(INDEX(Velas_máscara!$C$8:$W$52,MATCH(Velas!$A39,Velas_máscara!$A$8:$A$52,0),MATCH(Velas!Q$7,Velas_máscara!$C$7:$W$7,0))*qtdsemana,"")</f>
        <v>0</v>
      </c>
      <c r="R39" s="88">
        <f>IFERROR(INDEX(Velas_máscara!$C$8:$W$52,MATCH(Velas!$A39,Velas_máscara!$A$8:$A$52,0),MATCH(Velas!R$7,Velas_máscara!$C$7:$W$7,0))*qtdsemana,"")</f>
        <v>4</v>
      </c>
      <c r="S39" s="88">
        <f>IFERROR(INDEX(Velas_máscara!$C$8:$W$52,MATCH(Velas!$A39,Velas_máscara!$A$8:$A$52,0),MATCH(Velas!S$7,Velas_máscara!$C$7:$W$7,0))*qtdsemana,"")</f>
        <v>0</v>
      </c>
      <c r="T39" s="88">
        <f>IFERROR(INDEX(Velas_máscara!$C$8:$W$52,MATCH(Velas!$A39,Velas_máscara!$A$8:$A$52,0),MATCH(Velas!T$7,Velas_máscara!$C$7:$W$7,0))*qtdsemana,"")</f>
        <v>0</v>
      </c>
      <c r="U39" s="88">
        <f>IFERROR(INDEX(Velas_máscara!$C$8:$W$52,MATCH(Velas!$A39,Velas_máscara!$A$8:$A$52,0),MATCH(Velas!U$7,Velas_máscara!$C$7:$W$7,0))*qtdsemana,"")</f>
        <v>0</v>
      </c>
      <c r="V39" s="88">
        <f>IFERROR(INDEX(Velas_máscara!$C$8:$W$52,MATCH(Velas!$A39,Velas_máscara!$A$8:$A$52,0),MATCH(Velas!V$7,Velas_máscara!$C$7:$W$7,0))*qtdsemana,"")</f>
        <v>0</v>
      </c>
      <c r="W39" s="88">
        <f>IFERROR(INDEX(Velas_máscara!$C$8:$W$52,MATCH(Velas!$A39,Velas_máscara!$A$8:$A$52,0),MATCH(Velas!W$7,Velas_máscara!$C$7:$W$7,0))*qtdsemana,"")</f>
        <v>4</v>
      </c>
      <c r="X39" s="94">
        <f t="shared" si="3"/>
        <v>12</v>
      </c>
      <c r="Y39" s="139">
        <f t="shared" si="4"/>
        <v>34.799999999999997</v>
      </c>
      <c r="Z39" s="86">
        <f t="shared" si="5"/>
        <v>42</v>
      </c>
      <c r="AB39" s="136"/>
    </row>
    <row r="40" spans="1:28" s="94" customFormat="1">
      <c r="A40" s="97" t="s">
        <v>42</v>
      </c>
      <c r="B40" s="97"/>
      <c r="C40" s="98">
        <f>IFERROR(INDEX(Velas_máscara!$C$8:$W$52,MATCH(Velas!$A40,Velas_máscara!$A$8:$A$52,0),MATCH(Velas!C$7,Velas_máscara!$C$7:$W$7,0))*qtdsemana,"")</f>
        <v>0</v>
      </c>
      <c r="D40" s="98">
        <f>IFERROR(INDEX(Velas_máscara!$C$8:$W$52,MATCH(Velas!$A40,Velas_máscara!$A$8:$A$52,0),MATCH(Velas!D$7,Velas_máscara!$C$7:$W$7,0))*qtdsemana,"")</f>
        <v>0</v>
      </c>
      <c r="E40" s="98">
        <f>IFERROR(INDEX(Velas_máscara!$C$8:$W$52,MATCH(Velas!$A40,Velas_máscara!$A$8:$A$52,0),MATCH(Velas!E$7,Velas_máscara!$C$7:$W$7,0))*qtdsemana,"")</f>
        <v>0</v>
      </c>
      <c r="F40" s="98">
        <f>IFERROR(INDEX(Velas_máscara!$C$8:$W$52,MATCH(Velas!$A40,Velas_máscara!$A$8:$A$52,0),MATCH(Velas!F$7,Velas_máscara!$C$7:$W$7,0))*qtdsemana,"")</f>
        <v>0</v>
      </c>
      <c r="G40" s="98">
        <f>IFERROR(INDEX(Velas_máscara!$C$8:$W$52,MATCH(Velas!$A40,Velas_máscara!$A$8:$A$52,0),MATCH(Velas!G$7,Velas_máscara!$C$7:$W$7,0))*qtdsemana,"")</f>
        <v>0</v>
      </c>
      <c r="H40" s="98">
        <f>IFERROR(INDEX(Velas_máscara!$C$8:$W$52,MATCH(Velas!$A40,Velas_máscara!$A$8:$A$52,0),MATCH(Velas!H$7,Velas_máscara!$C$7:$W$7,0))*qtdsemana,"")</f>
        <v>0</v>
      </c>
      <c r="I40" s="98">
        <f>IFERROR(INDEX(Velas_máscara!$C$8:$W$52,MATCH(Velas!$A40,Velas_máscara!$A$8:$A$52,0),MATCH(Velas!I$7,Velas_máscara!$C$7:$W$7,0))*qtdsemana,"")</f>
        <v>0</v>
      </c>
      <c r="J40" s="98">
        <f>IFERROR(INDEX(Velas_máscara!$C$8:$W$52,MATCH(Velas!$A40,Velas_máscara!$A$8:$A$52,0),MATCH(Velas!J$7,Velas_máscara!$C$7:$W$7,0))*qtdsemana,"")</f>
        <v>0</v>
      </c>
      <c r="K40" s="98">
        <f>IFERROR(INDEX(Velas_máscara!$C$8:$W$52,MATCH(Velas!$A40,Velas_máscara!$A$8:$A$52,0),MATCH(Velas!K$7,Velas_máscara!$C$7:$W$7,0))*qtdsemana,"")</f>
        <v>0</v>
      </c>
      <c r="L40" s="98">
        <f>IFERROR(INDEX(Velas_máscara!$C$8:$W$52,MATCH(Velas!$A40,Velas_máscara!$A$8:$A$52,0),MATCH(Velas!L$7,Velas_máscara!$C$7:$W$7,0))*qtdsemana,"")</f>
        <v>0</v>
      </c>
      <c r="M40" s="98">
        <f>IFERROR(INDEX(Velas_máscara!$C$8:$W$52,MATCH(Velas!$A40,Velas_máscara!$A$8:$A$52,0),MATCH(Velas!M$7,Velas_máscara!$C$7:$W$7,0))*qtdsemana,"")</f>
        <v>0</v>
      </c>
      <c r="N40" s="98">
        <f>IFERROR(INDEX(Velas_máscara!$C$8:$W$52,MATCH(Velas!$A40,Velas_máscara!$A$8:$A$52,0),MATCH(Velas!N$7,Velas_máscara!$C$7:$W$7,0))*qtdsemana,"")</f>
        <v>0</v>
      </c>
      <c r="O40" s="98">
        <f>IFERROR(INDEX(Velas_máscara!$C$8:$W$52,MATCH(Velas!$A40,Velas_máscara!$A$8:$A$52,0),MATCH(Velas!O$7,Velas_máscara!$C$7:$W$7,0))*qtdsemana,"")</f>
        <v>0</v>
      </c>
      <c r="P40" s="98">
        <f>IFERROR(INDEX(Velas_máscara!$C$8:$W$52,MATCH(Velas!$A40,Velas_máscara!$A$8:$A$52,0),MATCH(Velas!P$7,Velas_máscara!$C$7:$W$7,0))*qtdsemana,"")</f>
        <v>0</v>
      </c>
      <c r="Q40" s="98">
        <f>IFERROR(INDEX(Velas_máscara!$C$8:$W$52,MATCH(Velas!$A40,Velas_máscara!$A$8:$A$52,0),MATCH(Velas!Q$7,Velas_máscara!$C$7:$W$7,0))*qtdsemana,"")</f>
        <v>0</v>
      </c>
      <c r="R40" s="98">
        <f>IFERROR(INDEX(Velas_máscara!$C$8:$W$52,MATCH(Velas!$A40,Velas_máscara!$A$8:$A$52,0),MATCH(Velas!R$7,Velas_máscara!$C$7:$W$7,0))*qtdsemana,"")</f>
        <v>0</v>
      </c>
      <c r="S40" s="88">
        <f>IFERROR(INDEX(Velas_máscara!$C$8:$W$52,MATCH(Velas!$A40,Velas_máscara!$A$8:$A$52,0),MATCH(Velas!S$7,Velas_máscara!$C$7:$W$7,0))*qtdsemana,"")</f>
        <v>0</v>
      </c>
      <c r="T40" s="98">
        <f>IFERROR(INDEX(Velas_máscara!$C$8:$W$52,MATCH(Velas!$A40,Velas_máscara!$A$8:$A$52,0),MATCH(Velas!T$7,Velas_máscara!$C$7:$W$7,0))*qtdsemana,"")</f>
        <v>0</v>
      </c>
      <c r="U40" s="98">
        <f>IFERROR(INDEX(Velas_máscara!$C$8:$W$52,MATCH(Velas!$A40,Velas_máscara!$A$8:$A$52,0),MATCH(Velas!U$7,Velas_máscara!$C$7:$W$7,0))*qtdsemana,"")</f>
        <v>0</v>
      </c>
      <c r="V40" s="98">
        <f>IFERROR(INDEX(Velas_máscara!$C$8:$W$52,MATCH(Velas!$A40,Velas_máscara!$A$8:$A$52,0),MATCH(Velas!V$7,Velas_máscara!$C$7:$W$7,0))*qtdsemana,"")</f>
        <v>0</v>
      </c>
      <c r="W40" s="98">
        <f>IFERROR(INDEX(Velas_máscara!$C$8:$W$52,MATCH(Velas!$A40,Velas_máscara!$A$8:$A$52,0),MATCH(Velas!W$7,Velas_máscara!$C$7:$W$7,0))*qtdsemana,"")</f>
        <v>0</v>
      </c>
      <c r="X40" s="94">
        <f t="shared" si="3"/>
        <v>0</v>
      </c>
      <c r="Y40" s="139">
        <f t="shared" si="4"/>
        <v>0</v>
      </c>
      <c r="Z40" s="86">
        <f t="shared" si="5"/>
        <v>0</v>
      </c>
    </row>
    <row r="41" spans="1:28" s="94" customFormat="1">
      <c r="A41" s="97" t="s">
        <v>50</v>
      </c>
      <c r="B41" s="97"/>
      <c r="C41" s="88">
        <f>IFERROR(INDEX(Velas_máscara!$C$8:$W$52,MATCH(Velas!$A41,Velas_máscara!$A$8:$A$52,0),MATCH(Velas!C$7,Velas_máscara!$C$7:$W$7,0))*qtdsemana,"")</f>
        <v>0</v>
      </c>
      <c r="D41" s="88">
        <f>IFERROR(INDEX(Velas_máscara!$C$8:$W$52,MATCH(Velas!$A41,Velas_máscara!$A$8:$A$52,0),MATCH(Velas!D$7,Velas_máscara!$C$7:$W$7,0))*qtdsemana,"")</f>
        <v>0</v>
      </c>
      <c r="E41" s="88">
        <f>IFERROR(INDEX(Velas_máscara!$C$8:$W$52,MATCH(Velas!$A41,Velas_máscara!$A$8:$A$52,0),MATCH(Velas!E$7,Velas_máscara!$C$7:$W$7,0))*qtdsemana,"")</f>
        <v>0</v>
      </c>
      <c r="F41" s="88">
        <f>IFERROR(INDEX(Velas_máscara!$C$8:$W$52,MATCH(Velas!$A41,Velas_máscara!$A$8:$A$52,0),MATCH(Velas!F$7,Velas_máscara!$C$7:$W$7,0))*qtdsemana,"")</f>
        <v>0</v>
      </c>
      <c r="G41" s="88">
        <f>IFERROR(INDEX(Velas_máscara!$C$8:$W$52,MATCH(Velas!$A41,Velas_máscara!$A$8:$A$52,0),MATCH(Velas!G$7,Velas_máscara!$C$7:$W$7,0))*qtdsemana,"")</f>
        <v>0</v>
      </c>
      <c r="H41" s="88">
        <f>IFERROR(INDEX(Velas_máscara!$C$8:$W$52,MATCH(Velas!$A41,Velas_máscara!$A$8:$A$52,0),MATCH(Velas!H$7,Velas_máscara!$C$7:$W$7,0))*qtdsemana,"")</f>
        <v>0</v>
      </c>
      <c r="I41" s="88">
        <f>IFERROR(INDEX(Velas_máscara!$C$8:$W$52,MATCH(Velas!$A41,Velas_máscara!$A$8:$A$52,0),MATCH(Velas!I$7,Velas_máscara!$C$7:$W$7,0))*qtdsemana,"")</f>
        <v>0</v>
      </c>
      <c r="J41" s="88">
        <v>4</v>
      </c>
      <c r="K41" s="88">
        <f>IFERROR(INDEX(Velas_máscara!$C$8:$W$52,MATCH(Velas!$A41,Velas_máscara!$A$8:$A$52,0),MATCH(Velas!K$7,Velas_máscara!$C$7:$W$7,0))*qtdsemana,"")</f>
        <v>0</v>
      </c>
      <c r="L41" s="88">
        <f>IFERROR(INDEX(Velas_máscara!$C$8:$W$52,MATCH(Velas!$A41,Velas_máscara!$A$8:$A$52,0),MATCH(Velas!L$7,Velas_máscara!$C$7:$W$7,0))*qtdsemana,"")</f>
        <v>0</v>
      </c>
      <c r="M41" s="88">
        <f>IFERROR(INDEX(Velas_máscara!$C$8:$W$52,MATCH(Velas!$A41,Velas_máscara!$A$8:$A$52,0),MATCH(Velas!M$7,Velas_máscara!$C$7:$W$7,0))*qtdsemana,"")</f>
        <v>0</v>
      </c>
      <c r="N41" s="88">
        <f>IFERROR(INDEX(Velas_máscara!$C$8:$W$52,MATCH(Velas!$A41,Velas_máscara!$A$8:$A$52,0),MATCH(Velas!N$7,Velas_máscara!$C$7:$W$7,0))*qtdsemana,"")</f>
        <v>0</v>
      </c>
      <c r="O41" s="88">
        <f>IFERROR(INDEX(Velas_máscara!$C$8:$W$52,MATCH(Velas!$A41,Velas_máscara!$A$8:$A$52,0),MATCH(Velas!O$7,Velas_máscara!$C$7:$W$7,0))*qtdsemana,"")</f>
        <v>0</v>
      </c>
      <c r="P41" s="88">
        <f>IFERROR(INDEX(Velas_máscara!$C$8:$W$52,MATCH(Velas!$A41,Velas_máscara!$A$8:$A$52,0),MATCH(Velas!P$7,Velas_máscara!$C$7:$W$7,0))*qtdsemana,"")</f>
        <v>4</v>
      </c>
      <c r="Q41" s="88">
        <f>IFERROR(INDEX(Velas_máscara!$C$8:$W$52,MATCH(Velas!$A41,Velas_máscara!$A$8:$A$52,0),MATCH(Velas!Q$7,Velas_máscara!$C$7:$W$7,0))*qtdsemana,"")</f>
        <v>0</v>
      </c>
      <c r="R41" s="88">
        <f>IFERROR(INDEX(Velas_máscara!$C$8:$W$52,MATCH(Velas!$A41,Velas_máscara!$A$8:$A$52,0),MATCH(Velas!R$7,Velas_máscara!$C$7:$W$7,0))*qtdsemana,"")</f>
        <v>0</v>
      </c>
      <c r="S41" s="88">
        <f>IFERROR(INDEX(Velas_máscara!$C$8:$W$52,MATCH(Velas!$A41,Velas_máscara!$A$8:$A$52,0),MATCH(Velas!S$7,Velas_máscara!$C$7:$W$7,0))*qtdsemana,"")</f>
        <v>0</v>
      </c>
      <c r="T41" s="88">
        <f>IFERROR(INDEX(Velas_máscara!$C$8:$W$52,MATCH(Velas!$A41,Velas_máscara!$A$8:$A$52,0),MATCH(Velas!T$7,Velas_máscara!$C$7:$W$7,0))*qtdsemana,"")</f>
        <v>0</v>
      </c>
      <c r="U41" s="88">
        <f>IFERROR(INDEX(Velas_máscara!$C$8:$W$52,MATCH(Velas!$A41,Velas_máscara!$A$8:$A$52,0),MATCH(Velas!U$7,Velas_máscara!$C$7:$W$7,0))*qtdsemana,"")</f>
        <v>0</v>
      </c>
      <c r="V41" s="88">
        <f>IFERROR(INDEX(Velas_máscara!$C$8:$W$52,MATCH(Velas!$A41,Velas_máscara!$A$8:$A$52,0),MATCH(Velas!V$7,Velas_máscara!$C$7:$W$7,0))*qtdsemana,"")</f>
        <v>0</v>
      </c>
      <c r="W41" s="88">
        <f>IFERROR(INDEX(Velas_máscara!$C$8:$W$52,MATCH(Velas!$A41,Velas_máscara!$A$8:$A$52,0),MATCH(Velas!W$7,Velas_máscara!$C$7:$W$7,0))*qtdsemana,"")</f>
        <v>0</v>
      </c>
      <c r="X41" s="94">
        <f t="shared" si="3"/>
        <v>8</v>
      </c>
      <c r="Y41" s="139">
        <f t="shared" si="4"/>
        <v>23.2</v>
      </c>
      <c r="Z41" s="86">
        <f t="shared" si="5"/>
        <v>28</v>
      </c>
      <c r="AB41" s="136"/>
    </row>
    <row r="42" spans="1:28" s="94" customFormat="1">
      <c r="A42" s="97" t="s">
        <v>192</v>
      </c>
      <c r="B42" s="97"/>
      <c r="C42" s="88">
        <f>IFERROR(INDEX(Velas_máscara!$C$8:$W$52,MATCH(Velas!$A42,Velas_máscara!$A$8:$A$52,0),MATCH(Velas!C$7,Velas_máscara!$C$7:$W$7,0))*qtdsemana,"")</f>
        <v>4</v>
      </c>
      <c r="D42" s="88">
        <f>IFERROR(INDEX(Velas_máscara!$C$8:$W$52,MATCH(Velas!$A42,Velas_máscara!$A$8:$A$52,0),MATCH(Velas!D$7,Velas_máscara!$C$7:$W$7,0))*qtdsemana,"")</f>
        <v>0</v>
      </c>
      <c r="E42" s="88">
        <f>IFERROR(INDEX(Velas_máscara!$C$8:$W$52,MATCH(Velas!$A42,Velas_máscara!$A$8:$A$52,0),MATCH(Velas!E$7,Velas_máscara!$C$7:$W$7,0))*qtdsemana,"")</f>
        <v>4</v>
      </c>
      <c r="F42" s="88">
        <f>IFERROR(INDEX(Velas_máscara!$C$8:$W$52,MATCH(Velas!$A42,Velas_máscara!$A$8:$A$52,0),MATCH(Velas!F$7,Velas_máscara!$C$7:$W$7,0))*qtdsemana,"")</f>
        <v>4</v>
      </c>
      <c r="G42" s="88">
        <f>IFERROR(INDEX(Velas_máscara!$C$8:$W$52,MATCH(Velas!$A42,Velas_máscara!$A$8:$A$52,0),MATCH(Velas!G$7,Velas_máscara!$C$7:$W$7,0))*qtdsemana,"")</f>
        <v>0</v>
      </c>
      <c r="H42" s="88">
        <f>IFERROR(INDEX(Velas_máscara!$C$8:$W$52,MATCH(Velas!$A42,Velas_máscara!$A$8:$A$52,0),MATCH(Velas!H$7,Velas_máscara!$C$7:$W$7,0))*qtdsemana,"")</f>
        <v>0</v>
      </c>
      <c r="I42" s="88">
        <f>IFERROR(INDEX(Velas_máscara!$C$8:$W$52,MATCH(Velas!$A42,Velas_máscara!$A$8:$A$52,0),MATCH(Velas!I$7,Velas_máscara!$C$7:$W$7,0))*qtdsemana,"")</f>
        <v>0</v>
      </c>
      <c r="J42" s="88">
        <f>IFERROR(INDEX(Velas_máscara!$C$8:$W$52,MATCH(Velas!$A42,Velas_máscara!$A$8:$A$52,0),MATCH(Velas!J$7,Velas_máscara!$C$7:$W$7,0))*qtdsemana,"")</f>
        <v>4</v>
      </c>
      <c r="K42" s="88">
        <f>IFERROR(INDEX(Velas_máscara!$C$8:$W$52,MATCH(Velas!$A42,Velas_máscara!$A$8:$A$52,0),MATCH(Velas!K$7,Velas_máscara!$C$7:$W$7,0))*qtdsemana,"")</f>
        <v>0</v>
      </c>
      <c r="L42" s="88">
        <f>IFERROR(INDEX(Velas_máscara!$C$8:$W$52,MATCH(Velas!$A42,Velas_máscara!$A$8:$A$52,0),MATCH(Velas!L$7,Velas_máscara!$C$7:$W$7,0))*qtdsemana,"")</f>
        <v>0</v>
      </c>
      <c r="M42" s="88">
        <f>IFERROR(INDEX(Velas_máscara!$C$8:$W$52,MATCH(Velas!$A42,Velas_máscara!$A$8:$A$52,0),MATCH(Velas!M$7,Velas_máscara!$C$7:$W$7,0))*qtdsemana,"")</f>
        <v>0</v>
      </c>
      <c r="N42" s="88">
        <f>IFERROR(INDEX(Velas_máscara!$C$8:$W$52,MATCH(Velas!$A42,Velas_máscara!$A$8:$A$52,0),MATCH(Velas!N$7,Velas_máscara!$C$7:$W$7,0))*qtdsemana,"")</f>
        <v>0</v>
      </c>
      <c r="O42" s="88">
        <f>IFERROR(INDEX(Velas_máscara!$C$8:$W$52,MATCH(Velas!$A42,Velas_máscara!$A$8:$A$52,0),MATCH(Velas!O$7,Velas_máscara!$C$7:$W$7,0))*qtdsemana,"")</f>
        <v>0</v>
      </c>
      <c r="P42" s="88">
        <f>IFERROR(INDEX(Velas_máscara!$C$8:$W$52,MATCH(Velas!$A42,Velas_máscara!$A$8:$A$52,0),MATCH(Velas!P$7,Velas_máscara!$C$7:$W$7,0))*qtdsemana,"")</f>
        <v>0</v>
      </c>
      <c r="Q42" s="88">
        <f>IFERROR(INDEX(Velas_máscara!$C$8:$W$52,MATCH(Velas!$A42,Velas_máscara!$A$8:$A$52,0),MATCH(Velas!Q$7,Velas_máscara!$C$7:$W$7,0))*qtdsemana,"")</f>
        <v>4</v>
      </c>
      <c r="R42" s="88">
        <f>IFERROR(INDEX(Velas_máscara!$C$8:$W$52,MATCH(Velas!$A42,Velas_máscara!$A$8:$A$52,0),MATCH(Velas!R$7,Velas_máscara!$C$7:$W$7,0))*qtdsemana,"")</f>
        <v>4</v>
      </c>
      <c r="S42" s="88">
        <f>IFERROR(INDEX(Velas_máscara!$C$8:$W$52,MATCH(Velas!$A42,Velas_máscara!$A$8:$A$52,0),MATCH(Velas!S$7,Velas_máscara!$C$7:$W$7,0))*qtdsemana,"")</f>
        <v>4</v>
      </c>
      <c r="T42" s="88">
        <f>IFERROR(INDEX(Velas_máscara!$C$8:$W$52,MATCH(Velas!$A42,Velas_máscara!$A$8:$A$52,0),MATCH(Velas!T$7,Velas_máscara!$C$7:$W$7,0))*qtdsemana,"")</f>
        <v>0</v>
      </c>
      <c r="U42" s="88">
        <f>IFERROR(INDEX(Velas_máscara!$C$8:$W$52,MATCH(Velas!$A42,Velas_máscara!$A$8:$A$52,0),MATCH(Velas!U$7,Velas_máscara!$C$7:$W$7,0))*qtdsemana,"")</f>
        <v>8</v>
      </c>
      <c r="V42" s="88">
        <f>IFERROR(INDEX(Velas_máscara!$C$8:$W$52,MATCH(Velas!$A42,Velas_máscara!$A$8:$A$52,0),MATCH(Velas!V$7,Velas_máscara!$C$7:$W$7,0))*qtdsemana,"")</f>
        <v>4</v>
      </c>
      <c r="W42" s="88">
        <f>IFERROR(INDEX(Velas_máscara!$C$8:$W$52,MATCH(Velas!$A42,Velas_máscara!$A$8:$A$52,0),MATCH(Velas!W$7,Velas_máscara!$C$7:$W$7,0))*qtdsemana,"")</f>
        <v>4</v>
      </c>
      <c r="X42" s="94">
        <f t="shared" si="3"/>
        <v>44</v>
      </c>
      <c r="Y42" s="139">
        <f t="shared" si="4"/>
        <v>134</v>
      </c>
      <c r="Z42" s="86">
        <f t="shared" si="5"/>
        <v>160.4</v>
      </c>
      <c r="AA42" s="94" t="s">
        <v>284</v>
      </c>
      <c r="AB42" s="138"/>
    </row>
    <row r="43" spans="1:28" s="94" customFormat="1">
      <c r="A43" s="97" t="s">
        <v>45</v>
      </c>
      <c r="B43" s="97"/>
      <c r="C43" s="98">
        <f>IFERROR(INDEX(Velas_máscara!$C$8:$W$52,MATCH(Velas!$A43,Velas_máscara!$A$8:$A$52,0),MATCH(Velas!C$7,Velas_máscara!$C$7:$W$7,0))*qtdsemana,"")</f>
        <v>0</v>
      </c>
      <c r="D43" s="98">
        <f>IFERROR(INDEX(Velas_máscara!$C$8:$W$52,MATCH(Velas!$A43,Velas_máscara!$A$8:$A$52,0),MATCH(Velas!D$7,Velas_máscara!$C$7:$W$7,0))*qtdsemana,"")</f>
        <v>0</v>
      </c>
      <c r="E43" s="98">
        <f>IFERROR(INDEX(Velas_máscara!$C$8:$W$52,MATCH(Velas!$A43,Velas_máscara!$A$8:$A$52,0),MATCH(Velas!E$7,Velas_máscara!$C$7:$W$7,0))*qtdsemana,"")</f>
        <v>0</v>
      </c>
      <c r="F43" s="98">
        <f>IFERROR(INDEX(Velas_máscara!$C$8:$W$52,MATCH(Velas!$A43,Velas_máscara!$A$8:$A$52,0),MATCH(Velas!F$7,Velas_máscara!$C$7:$W$7,0))*qtdsemana,"")</f>
        <v>0</v>
      </c>
      <c r="G43" s="98">
        <f>IFERROR(INDEX(Velas_máscara!$C$8:$W$52,MATCH(Velas!$A43,Velas_máscara!$A$8:$A$52,0),MATCH(Velas!G$7,Velas_máscara!$C$7:$W$7,0))*qtdsemana,"")</f>
        <v>0</v>
      </c>
      <c r="H43" s="98">
        <f>IFERROR(INDEX(Velas_máscara!$C$8:$W$52,MATCH(Velas!$A43,Velas_máscara!$A$8:$A$52,0),MATCH(Velas!H$7,Velas_máscara!$C$7:$W$7,0))*qtdsemana,"")</f>
        <v>0</v>
      </c>
      <c r="I43" s="98">
        <f>IFERROR(INDEX(Velas_máscara!$C$8:$W$52,MATCH(Velas!$A43,Velas_máscara!$A$8:$A$52,0),MATCH(Velas!I$7,Velas_máscara!$C$7:$W$7,0))*qtdsemana,"")</f>
        <v>0</v>
      </c>
      <c r="J43" s="98">
        <f>IFERROR(INDEX(Velas_máscara!$C$8:$W$52,MATCH(Velas!$A43,Velas_máscara!$A$8:$A$52,0),MATCH(Velas!J$7,Velas_máscara!$C$7:$W$7,0))*qtdsemana,"")</f>
        <v>4</v>
      </c>
      <c r="K43" s="98">
        <f>IFERROR(INDEX(Velas_máscara!$C$8:$W$52,MATCH(Velas!$A43,Velas_máscara!$A$8:$A$52,0),MATCH(Velas!K$7,Velas_máscara!$C$7:$W$7,0))*qtdsemana,"")</f>
        <v>0</v>
      </c>
      <c r="L43" s="98">
        <f>IFERROR(INDEX(Velas_máscara!$C$8:$W$52,MATCH(Velas!$A43,Velas_máscara!$A$8:$A$52,0),MATCH(Velas!L$7,Velas_máscara!$C$7:$W$7,0))*qtdsemana,"")</f>
        <v>0</v>
      </c>
      <c r="M43" s="98">
        <f>IFERROR(INDEX(Velas_máscara!$C$8:$W$52,MATCH(Velas!$A43,Velas_máscara!$A$8:$A$52,0),MATCH(Velas!M$7,Velas_máscara!$C$7:$W$7,0))*qtdsemana,"")</f>
        <v>0</v>
      </c>
      <c r="N43" s="98">
        <f>IFERROR(INDEX(Velas_máscara!$C$8:$W$52,MATCH(Velas!$A43,Velas_máscara!$A$8:$A$52,0),MATCH(Velas!N$7,Velas_máscara!$C$7:$W$7,0))*qtdsemana,"")</f>
        <v>0</v>
      </c>
      <c r="O43" s="98">
        <f>IFERROR(INDEX(Velas_máscara!$C$8:$W$52,MATCH(Velas!$A43,Velas_máscara!$A$8:$A$52,0),MATCH(Velas!O$7,Velas_máscara!$C$7:$W$7,0))*qtdsemana,"")</f>
        <v>0</v>
      </c>
      <c r="P43" s="98">
        <f>IFERROR(INDEX(Velas_máscara!$C$8:$W$52,MATCH(Velas!$A43,Velas_máscara!$A$8:$A$52,0),MATCH(Velas!P$7,Velas_máscara!$C$7:$W$7,0))*qtdsemana,"")</f>
        <v>8</v>
      </c>
      <c r="Q43" s="98">
        <f>IFERROR(INDEX(Velas_máscara!$C$8:$W$52,MATCH(Velas!$A43,Velas_máscara!$A$8:$A$52,0),MATCH(Velas!Q$7,Velas_máscara!$C$7:$W$7,0))*qtdsemana,"")</f>
        <v>0</v>
      </c>
      <c r="R43" s="98">
        <f>IFERROR(INDEX(Velas_máscara!$C$8:$W$52,MATCH(Velas!$A43,Velas_máscara!$A$8:$A$52,0),MATCH(Velas!R$7,Velas_máscara!$C$7:$W$7,0))*qtdsemana,"")</f>
        <v>4</v>
      </c>
      <c r="S43" s="88">
        <f>IFERROR(INDEX(Velas_máscara!$C$8:$W$52,MATCH(Velas!$A43,Velas_máscara!$A$8:$A$52,0),MATCH(Velas!S$7,Velas_máscara!$C$7:$W$7,0))*qtdsemana,"")</f>
        <v>0</v>
      </c>
      <c r="T43" s="98">
        <f>IFERROR(INDEX(Velas_máscara!$C$8:$W$52,MATCH(Velas!$A43,Velas_máscara!$A$8:$A$52,0),MATCH(Velas!T$7,Velas_máscara!$C$7:$W$7,0))*qtdsemana,"")</f>
        <v>0</v>
      </c>
      <c r="U43" s="98">
        <f>IFERROR(INDEX(Velas_máscara!$C$8:$W$52,MATCH(Velas!$A43,Velas_máscara!$A$8:$A$52,0),MATCH(Velas!U$7,Velas_máscara!$C$7:$W$7,0))*qtdsemana,"")</f>
        <v>0</v>
      </c>
      <c r="V43" s="98">
        <f>IFERROR(INDEX(Velas_máscara!$C$8:$W$52,MATCH(Velas!$A43,Velas_máscara!$A$8:$A$52,0),MATCH(Velas!V$7,Velas_máscara!$C$7:$W$7,0))*qtdsemana,"")</f>
        <v>0</v>
      </c>
      <c r="W43" s="98">
        <f>IFERROR(INDEX(Velas_máscara!$C$8:$W$52,MATCH(Velas!$A43,Velas_máscara!$A$8:$A$52,0),MATCH(Velas!W$7,Velas_máscara!$C$7:$W$7,0))*qtdsemana,"")</f>
        <v>4</v>
      </c>
      <c r="X43" s="94">
        <f t="shared" si="3"/>
        <v>20</v>
      </c>
      <c r="Y43" s="139">
        <f t="shared" si="4"/>
        <v>58</v>
      </c>
      <c r="Z43" s="86">
        <f t="shared" si="5"/>
        <v>70</v>
      </c>
    </row>
    <row r="44" spans="1:28" s="94" customFormat="1">
      <c r="A44" s="97" t="s">
        <v>103</v>
      </c>
      <c r="B44" s="97"/>
      <c r="C44" s="98">
        <f>IFERROR(INDEX(Velas_máscara!$C$8:$W$52,MATCH(Velas!$A44,Velas_máscara!$A$8:$A$52,0),MATCH(Velas!C$7,Velas_máscara!$C$7:$W$7,0))*qtdsemana,"")</f>
        <v>0</v>
      </c>
      <c r="D44" s="98">
        <f>IFERROR(INDEX(Velas_máscara!$C$8:$W$52,MATCH(Velas!$A44,Velas_máscara!$A$8:$A$52,0),MATCH(Velas!D$7,Velas_máscara!$C$7:$W$7,0))*qtdsemana,"")</f>
        <v>0</v>
      </c>
      <c r="E44" s="98">
        <f>IFERROR(INDEX(Velas_máscara!$C$8:$W$52,MATCH(Velas!$A44,Velas_máscara!$A$8:$A$52,0),MATCH(Velas!E$7,Velas_máscara!$C$7:$W$7,0))*qtdsemana,"")</f>
        <v>0</v>
      </c>
      <c r="F44" s="98">
        <f>IFERROR(INDEX(Velas_máscara!$C$8:$W$52,MATCH(Velas!$A44,Velas_máscara!$A$8:$A$52,0),MATCH(Velas!F$7,Velas_máscara!$C$7:$W$7,0))*qtdsemana,"")</f>
        <v>0</v>
      </c>
      <c r="G44" s="98">
        <f>IFERROR(INDEX(Velas_máscara!$C$8:$W$52,MATCH(Velas!$A44,Velas_máscara!$A$8:$A$52,0),MATCH(Velas!G$7,Velas_máscara!$C$7:$W$7,0))*qtdsemana,"")</f>
        <v>0</v>
      </c>
      <c r="H44" s="98">
        <f>IFERROR(INDEX(Velas_máscara!$C$8:$W$52,MATCH(Velas!$A44,Velas_máscara!$A$8:$A$52,0),MATCH(Velas!H$7,Velas_máscara!$C$7:$W$7,0))*qtdsemana,"")</f>
        <v>0</v>
      </c>
      <c r="I44" s="98">
        <f>IFERROR(INDEX(Velas_máscara!$C$8:$W$52,MATCH(Velas!$A44,Velas_máscara!$A$8:$A$52,0),MATCH(Velas!I$7,Velas_máscara!$C$7:$W$7,0))*qtdsemana,"")</f>
        <v>0</v>
      </c>
      <c r="J44" s="98">
        <f>IFERROR(INDEX(Velas_máscara!$C$8:$W$52,MATCH(Velas!$A44,Velas_máscara!$A$8:$A$52,0),MATCH(Velas!J$7,Velas_máscara!$C$7:$W$7,0))*qtdsemana,"")</f>
        <v>0</v>
      </c>
      <c r="K44" s="98">
        <f>IFERROR(INDEX(Velas_máscara!$C$8:$W$52,MATCH(Velas!$A44,Velas_máscara!$A$8:$A$52,0),MATCH(Velas!K$7,Velas_máscara!$C$7:$W$7,0))*qtdsemana,"")</f>
        <v>0</v>
      </c>
      <c r="L44" s="98">
        <f>IFERROR(INDEX(Velas_máscara!$C$8:$W$52,MATCH(Velas!$A44,Velas_máscara!$A$8:$A$52,0),MATCH(Velas!L$7,Velas_máscara!$C$7:$W$7,0))*qtdsemana,"")</f>
        <v>0</v>
      </c>
      <c r="M44" s="98">
        <f>IFERROR(INDEX(Velas_máscara!$C$8:$W$52,MATCH(Velas!$A44,Velas_máscara!$A$8:$A$52,0),MATCH(Velas!M$7,Velas_máscara!$C$7:$W$7,0))*qtdsemana,"")</f>
        <v>0</v>
      </c>
      <c r="N44" s="98">
        <f>IFERROR(INDEX(Velas_máscara!$C$8:$W$52,MATCH(Velas!$A44,Velas_máscara!$A$8:$A$52,0),MATCH(Velas!N$7,Velas_máscara!$C$7:$W$7,0))*qtdsemana,"")</f>
        <v>0</v>
      </c>
      <c r="O44" s="98">
        <f>IFERROR(INDEX(Velas_máscara!$C$8:$W$52,MATCH(Velas!$A44,Velas_máscara!$A$8:$A$52,0),MATCH(Velas!O$7,Velas_máscara!$C$7:$W$7,0))*qtdsemana,"")</f>
        <v>0</v>
      </c>
      <c r="P44" s="98">
        <f>IFERROR(INDEX(Velas_máscara!$C$8:$W$52,MATCH(Velas!$A44,Velas_máscara!$A$8:$A$52,0),MATCH(Velas!P$7,Velas_máscara!$C$7:$W$7,0))*qtdsemana,"")</f>
        <v>0</v>
      </c>
      <c r="Q44" s="98">
        <f>IFERROR(INDEX(Velas_máscara!$C$8:$W$52,MATCH(Velas!$A44,Velas_máscara!$A$8:$A$52,0),MATCH(Velas!Q$7,Velas_máscara!$C$7:$W$7,0))*qtdsemana,"")</f>
        <v>0</v>
      </c>
      <c r="R44" s="98">
        <f>IFERROR(INDEX(Velas_máscara!$C$8:$W$52,MATCH(Velas!$A44,Velas_máscara!$A$8:$A$52,0),MATCH(Velas!R$7,Velas_máscara!$C$7:$W$7,0))*qtdsemana,"")</f>
        <v>0</v>
      </c>
      <c r="S44" s="88">
        <f>IFERROR(INDEX(Velas_máscara!$C$8:$W$52,MATCH(Velas!$A44,Velas_máscara!$A$8:$A$52,0),MATCH(Velas!S$7,Velas_máscara!$C$7:$W$7,0))*qtdsemana,"")</f>
        <v>0</v>
      </c>
      <c r="T44" s="98">
        <f>IFERROR(INDEX(Velas_máscara!$C$8:$W$52,MATCH(Velas!$A44,Velas_máscara!$A$8:$A$52,0),MATCH(Velas!T$7,Velas_máscara!$C$7:$W$7,0))*qtdsemana,"")</f>
        <v>0</v>
      </c>
      <c r="U44" s="98">
        <f>IFERROR(INDEX(Velas_máscara!$C$8:$W$52,MATCH(Velas!$A44,Velas_máscara!$A$8:$A$52,0),MATCH(Velas!U$7,Velas_máscara!$C$7:$W$7,0))*qtdsemana,"")</f>
        <v>0</v>
      </c>
      <c r="V44" s="98">
        <f>IFERROR(INDEX(Velas_máscara!$C$8:$W$52,MATCH(Velas!$A44,Velas_máscara!$A$8:$A$52,0),MATCH(Velas!V$7,Velas_máscara!$C$7:$W$7,0))*qtdsemana,"")</f>
        <v>0</v>
      </c>
      <c r="W44" s="98">
        <f>IFERROR(INDEX(Velas_máscara!$C$8:$W$52,MATCH(Velas!$A44,Velas_máscara!$A$8:$A$52,0),MATCH(Velas!W$7,Velas_máscara!$C$7:$W$7,0))*qtdsemana,"")</f>
        <v>0</v>
      </c>
      <c r="Y44" s="139">
        <f t="shared" si="4"/>
        <v>0</v>
      </c>
      <c r="Z44" s="86">
        <f t="shared" si="5"/>
        <v>0</v>
      </c>
    </row>
    <row r="45" spans="1:28" s="94" customFormat="1">
      <c r="A45" s="97" t="s">
        <v>275</v>
      </c>
      <c r="B45" s="97"/>
      <c r="C45" s="98">
        <f>IFERROR(INDEX(Velas_máscara!$C$8:$W$52,MATCH(Velas!$A45,Velas_máscara!$A$8:$A$52,0),MATCH(Velas!C$7,Velas_máscara!$C$7:$W$7,0))*qtdsemana,"")</f>
        <v>0</v>
      </c>
      <c r="D45" s="98">
        <f>IFERROR(INDEX(Velas_máscara!$C$8:$W$52,MATCH(Velas!$A45,Velas_máscara!$A$8:$A$52,0),MATCH(Velas!D$7,Velas_máscara!$C$7:$W$7,0))*qtdsemana,"")</f>
        <v>0</v>
      </c>
      <c r="E45" s="98">
        <f>IFERROR(INDEX(Velas_máscara!$C$8:$W$52,MATCH(Velas!$A45,Velas_máscara!$A$8:$A$52,0),MATCH(Velas!E$7,Velas_máscara!$C$7:$W$7,0))*qtdsemana,"")</f>
        <v>0</v>
      </c>
      <c r="F45" s="98">
        <f>IFERROR(INDEX(Velas_máscara!$C$8:$W$52,MATCH(Velas!$A45,Velas_máscara!$A$8:$A$52,0),MATCH(Velas!F$7,Velas_máscara!$C$7:$W$7,0))*qtdsemana,"")</f>
        <v>0</v>
      </c>
      <c r="G45" s="98">
        <f>IFERROR(INDEX(Velas_máscara!$C$8:$W$52,MATCH(Velas!$A45,Velas_máscara!$A$8:$A$52,0),MATCH(Velas!G$7,Velas_máscara!$C$7:$W$7,0))*qtdsemana,"")</f>
        <v>0</v>
      </c>
      <c r="H45" s="98">
        <f>IFERROR(INDEX(Velas_máscara!$C$8:$W$52,MATCH(Velas!$A45,Velas_máscara!$A$8:$A$52,0),MATCH(Velas!H$7,Velas_máscara!$C$7:$W$7,0))*qtdsemana,"")</f>
        <v>0</v>
      </c>
      <c r="I45" s="98">
        <f>IFERROR(INDEX(Velas_máscara!$C$8:$W$52,MATCH(Velas!$A45,Velas_máscara!$A$8:$A$52,0),MATCH(Velas!I$7,Velas_máscara!$C$7:$W$7,0))*qtdsemana,"")</f>
        <v>0</v>
      </c>
      <c r="J45" s="98">
        <f>IFERROR(INDEX(Velas_máscara!$C$8:$W$52,MATCH(Velas!$A45,Velas_máscara!$A$8:$A$52,0),MATCH(Velas!J$7,Velas_máscara!$C$7:$W$7,0))*qtdsemana,"")</f>
        <v>4</v>
      </c>
      <c r="K45" s="98">
        <f>IFERROR(INDEX(Velas_máscara!$C$8:$W$52,MATCH(Velas!$A45,Velas_máscara!$A$8:$A$52,0),MATCH(Velas!K$7,Velas_máscara!$C$7:$W$7,0))*qtdsemana,"")</f>
        <v>0</v>
      </c>
      <c r="L45" s="98">
        <f>IFERROR(INDEX(Velas_máscara!$C$8:$W$52,MATCH(Velas!$A45,Velas_máscara!$A$8:$A$52,0),MATCH(Velas!L$7,Velas_máscara!$C$7:$W$7,0))*qtdsemana,"")</f>
        <v>0</v>
      </c>
      <c r="M45" s="98">
        <f>IFERROR(INDEX(Velas_máscara!$C$8:$W$52,MATCH(Velas!$A45,Velas_máscara!$A$8:$A$52,0),MATCH(Velas!M$7,Velas_máscara!$C$7:$W$7,0))*qtdsemana,"")</f>
        <v>0</v>
      </c>
      <c r="N45" s="98">
        <f>IFERROR(INDEX(Velas_máscara!$C$8:$W$52,MATCH(Velas!$A45,Velas_máscara!$A$8:$A$52,0),MATCH(Velas!N$7,Velas_máscara!$C$7:$W$7,0))*qtdsemana,"")</f>
        <v>0</v>
      </c>
      <c r="O45" s="98">
        <f>IFERROR(INDEX(Velas_máscara!$C$8:$W$52,MATCH(Velas!$A45,Velas_máscara!$A$8:$A$52,0),MATCH(Velas!O$7,Velas_máscara!$C$7:$W$7,0))*qtdsemana,"")</f>
        <v>0</v>
      </c>
      <c r="P45" s="98">
        <f>IFERROR(INDEX(Velas_máscara!$C$8:$W$52,MATCH(Velas!$A45,Velas_máscara!$A$8:$A$52,0),MATCH(Velas!P$7,Velas_máscara!$C$7:$W$7,0))*qtdsemana,"")</f>
        <v>4</v>
      </c>
      <c r="Q45" s="98">
        <f>IFERROR(INDEX(Velas_máscara!$C$8:$W$52,MATCH(Velas!$A45,Velas_máscara!$A$8:$A$52,0),MATCH(Velas!Q$7,Velas_máscara!$C$7:$W$7,0))*qtdsemana,"")</f>
        <v>0</v>
      </c>
      <c r="R45" s="98">
        <f>IFERROR(INDEX(Velas_máscara!$C$8:$W$52,MATCH(Velas!$A45,Velas_máscara!$A$8:$A$52,0),MATCH(Velas!R$7,Velas_máscara!$C$7:$W$7,0))*qtdsemana,"")</f>
        <v>4</v>
      </c>
      <c r="S45" s="88">
        <f>IFERROR(INDEX(Velas_máscara!$C$8:$W$52,MATCH(Velas!$A45,Velas_máscara!$A$8:$A$52,0),MATCH(Velas!S$7,Velas_máscara!$C$7:$W$7,0))*qtdsemana,"")</f>
        <v>0</v>
      </c>
      <c r="T45" s="98">
        <f>IFERROR(INDEX(Velas_máscara!$C$8:$W$52,MATCH(Velas!$A45,Velas_máscara!$A$8:$A$52,0),MATCH(Velas!T$7,Velas_máscara!$C$7:$W$7,0))*qtdsemana,"")</f>
        <v>0</v>
      </c>
      <c r="U45" s="98">
        <f>IFERROR(INDEX(Velas_máscara!$C$8:$W$52,MATCH(Velas!$A45,Velas_máscara!$A$8:$A$52,0),MATCH(Velas!U$7,Velas_máscara!$C$7:$W$7,0))*qtdsemana,"")</f>
        <v>0</v>
      </c>
      <c r="V45" s="98">
        <f>IFERROR(INDEX(Velas_máscara!$C$8:$W$52,MATCH(Velas!$A45,Velas_máscara!$A$8:$A$52,0),MATCH(Velas!V$7,Velas_máscara!$C$7:$W$7,0))*qtdsemana,"")</f>
        <v>0</v>
      </c>
      <c r="W45" s="98">
        <f>IFERROR(INDEX(Velas_máscara!$C$8:$W$52,MATCH(Velas!$A45,Velas_máscara!$A$8:$A$52,0),MATCH(Velas!W$7,Velas_máscara!$C$7:$W$7,0))*qtdsemana,"")</f>
        <v>4</v>
      </c>
      <c r="X45" s="94">
        <f>SUBTOTAL(9,X8:X43)</f>
        <v>0</v>
      </c>
      <c r="Y45" s="139">
        <f t="shared" si="4"/>
        <v>46.4</v>
      </c>
      <c r="Z45" s="86">
        <f t="shared" si="5"/>
        <v>56</v>
      </c>
    </row>
    <row r="46" spans="1:28" s="94" customFormat="1">
      <c r="A46" s="97" t="s">
        <v>51</v>
      </c>
      <c r="B46" s="97"/>
      <c r="C46" s="88">
        <f>IFERROR(INDEX(Velas_máscara!$C$8:$W$52,MATCH(Velas!$A46,Velas_máscara!$A$8:$A$52,0),MATCH(Velas!C$7,Velas_máscara!$C$7:$W$7,0))*qtdsemana,"")</f>
        <v>0</v>
      </c>
      <c r="D46" s="88">
        <f>IFERROR(INDEX(Velas_máscara!$C$8:$W$52,MATCH(Velas!$A46,Velas_máscara!$A$8:$A$52,0),MATCH(Velas!D$7,Velas_máscara!$C$7:$W$7,0))*qtdsemana,"")</f>
        <v>0</v>
      </c>
      <c r="E46" s="88">
        <f>IFERROR(INDEX(Velas_máscara!$C$8:$W$52,MATCH(Velas!$A46,Velas_máscara!$A$8:$A$52,0),MATCH(Velas!E$7,Velas_máscara!$C$7:$W$7,0))*qtdsemana,"")</f>
        <v>0</v>
      </c>
      <c r="F46" s="88">
        <f>IFERROR(INDEX(Velas_máscara!$C$8:$W$52,MATCH(Velas!$A46,Velas_máscara!$A$8:$A$52,0),MATCH(Velas!F$7,Velas_máscara!$C$7:$W$7,0))*qtdsemana,"")</f>
        <v>0</v>
      </c>
      <c r="G46" s="88">
        <f>IFERROR(INDEX(Velas_máscara!$C$8:$W$52,MATCH(Velas!$A46,Velas_máscara!$A$8:$A$52,0),MATCH(Velas!G$7,Velas_máscara!$C$7:$W$7,0))*qtdsemana,"")</f>
        <v>0</v>
      </c>
      <c r="H46" s="88">
        <f>IFERROR(INDEX(Velas_máscara!$C$8:$W$52,MATCH(Velas!$A46,Velas_máscara!$A$8:$A$52,0),MATCH(Velas!H$7,Velas_máscara!$C$7:$W$7,0))*qtdsemana,"")</f>
        <v>0</v>
      </c>
      <c r="I46" s="88">
        <f>IFERROR(INDEX(Velas_máscara!$C$8:$W$52,MATCH(Velas!$A46,Velas_máscara!$A$8:$A$52,0),MATCH(Velas!I$7,Velas_máscara!$C$7:$W$7,0))*qtdsemana,"")</f>
        <v>0</v>
      </c>
      <c r="J46" s="88">
        <f>IFERROR(INDEX(Velas_máscara!$C$8:$W$52,MATCH(Velas!$A46,Velas_máscara!$A$8:$A$52,0),MATCH(Velas!J$7,Velas_máscara!$C$7:$W$7,0))*qtdsemana,"")</f>
        <v>16</v>
      </c>
      <c r="K46" s="88">
        <f>IFERROR(INDEX(Velas_máscara!$C$8:$W$52,MATCH(Velas!$A46,Velas_máscara!$A$8:$A$52,0),MATCH(Velas!K$7,Velas_máscara!$C$7:$W$7,0))*qtdsemana,"")</f>
        <v>0</v>
      </c>
      <c r="L46" s="88">
        <f>IFERROR(INDEX(Velas_máscara!$C$8:$W$52,MATCH(Velas!$A46,Velas_máscara!$A$8:$A$52,0),MATCH(Velas!L$7,Velas_máscara!$C$7:$W$7,0))*qtdsemana,"")</f>
        <v>0</v>
      </c>
      <c r="M46" s="88">
        <f>IFERROR(INDEX(Velas_máscara!$C$8:$W$52,MATCH(Velas!$A46,Velas_máscara!$A$8:$A$52,0),MATCH(Velas!M$7,Velas_máscara!$C$7:$W$7,0))*qtdsemana,"")</f>
        <v>0</v>
      </c>
      <c r="N46" s="88">
        <f>IFERROR(INDEX(Velas_máscara!$C$8:$W$52,MATCH(Velas!$A46,Velas_máscara!$A$8:$A$52,0),MATCH(Velas!N$7,Velas_máscara!$C$7:$W$7,0))*qtdsemana,"")</f>
        <v>0</v>
      </c>
      <c r="O46" s="88">
        <f>IFERROR(INDEX(Velas_máscara!$C$8:$W$52,MATCH(Velas!$A46,Velas_máscara!$A$8:$A$52,0),MATCH(Velas!O$7,Velas_máscara!$C$7:$W$7,0))*qtdsemana,"")</f>
        <v>0</v>
      </c>
      <c r="P46" s="88">
        <f>IFERROR(INDEX(Velas_máscara!$C$8:$W$52,MATCH(Velas!$A46,Velas_máscara!$A$8:$A$52,0),MATCH(Velas!P$7,Velas_máscara!$C$7:$W$7,0))*qtdsemana,"")</f>
        <v>0</v>
      </c>
      <c r="Q46" s="88">
        <f>IFERROR(INDEX(Velas_máscara!$C$8:$W$52,MATCH(Velas!$A46,Velas_máscara!$A$8:$A$52,0),MATCH(Velas!Q$7,Velas_máscara!$C$7:$W$7,0))*qtdsemana,"")</f>
        <v>0</v>
      </c>
      <c r="R46" s="88">
        <f>IFERROR(INDEX(Velas_máscara!$C$8:$W$52,MATCH(Velas!$A46,Velas_máscara!$A$8:$A$52,0),MATCH(Velas!R$7,Velas_máscara!$C$7:$W$7,0))*qtdsemana,"")</f>
        <v>0</v>
      </c>
      <c r="S46" s="88">
        <f>IFERROR(INDEX(Velas_máscara!$C$8:$W$52,MATCH(Velas!$A46,Velas_máscara!$A$8:$A$52,0),MATCH(Velas!S$7,Velas_máscara!$C$7:$W$7,0))*qtdsemana,"")</f>
        <v>0</v>
      </c>
      <c r="T46" s="88">
        <f>IFERROR(INDEX(Velas_máscara!$C$8:$W$52,MATCH(Velas!$A46,Velas_máscara!$A$8:$A$52,0),MATCH(Velas!T$7,Velas_máscara!$C$7:$W$7,0))*qtdsemana,"")</f>
        <v>0</v>
      </c>
      <c r="U46" s="88">
        <f>IFERROR(INDEX(Velas_máscara!$C$8:$W$52,MATCH(Velas!$A46,Velas_máscara!$A$8:$A$52,0),MATCH(Velas!U$7,Velas_máscara!$C$7:$W$7,0))*qtdsemana,"")</f>
        <v>0</v>
      </c>
      <c r="V46" s="88">
        <f>IFERROR(INDEX(Velas_máscara!$C$8:$W$52,MATCH(Velas!$A46,Velas_máscara!$A$8:$A$52,0),MATCH(Velas!V$7,Velas_máscara!$C$7:$W$7,0))*qtdsemana,"")</f>
        <v>0</v>
      </c>
      <c r="W46" s="88">
        <f>IFERROR(INDEX(Velas_máscara!$C$8:$W$52,MATCH(Velas!$A46,Velas_máscara!$A$8:$A$52,0),MATCH(Velas!W$7,Velas_máscara!$C$7:$W$7,0))*qtdsemana,"")</f>
        <v>0</v>
      </c>
      <c r="X46" s="94">
        <f t="shared" ref="X46:X50" si="6">SUBTOTAL(9,C46:W46)</f>
        <v>16</v>
      </c>
      <c r="Y46" s="139">
        <f t="shared" si="4"/>
        <v>46.4</v>
      </c>
      <c r="Z46" s="86">
        <f t="shared" si="5"/>
        <v>56</v>
      </c>
      <c r="AB46" s="136"/>
    </row>
    <row r="47" spans="1:28" s="94" customFormat="1">
      <c r="A47" s="97" t="s">
        <v>104</v>
      </c>
      <c r="B47" s="97"/>
      <c r="C47" s="88">
        <f>IFERROR(INDEX(Velas_máscara!$C$8:$W$52,MATCH(Velas!$A47,Velas_máscara!$A$8:$A$52,0),MATCH(Velas!C$7,Velas_máscara!$C$7:$W$7,0))*qtdsemana,"")</f>
        <v>0</v>
      </c>
      <c r="D47" s="88">
        <f>IFERROR(INDEX(Velas_máscara!$C$8:$W$52,MATCH(Velas!$A47,Velas_máscara!$A$8:$A$52,0),MATCH(Velas!D$7,Velas_máscara!$C$7:$W$7,0))*qtdsemana,"")</f>
        <v>4</v>
      </c>
      <c r="E47" s="88">
        <f>IFERROR(INDEX(Velas_máscara!$C$8:$W$52,MATCH(Velas!$A47,Velas_máscara!$A$8:$A$52,0),MATCH(Velas!E$7,Velas_máscara!$C$7:$W$7,0))*qtdsemana,"")</f>
        <v>0</v>
      </c>
      <c r="F47" s="88">
        <f>IFERROR(INDEX(Velas_máscara!$C$8:$W$52,MATCH(Velas!$A47,Velas_máscara!$A$8:$A$52,0),MATCH(Velas!F$7,Velas_máscara!$C$7:$W$7,0))*qtdsemana,"")</f>
        <v>4</v>
      </c>
      <c r="G47" s="88">
        <f>IFERROR(INDEX(Velas_máscara!$C$8:$W$52,MATCH(Velas!$A47,Velas_máscara!$A$8:$A$52,0),MATCH(Velas!G$7,Velas_máscara!$C$7:$W$7,0))*qtdsemana,"")</f>
        <v>0</v>
      </c>
      <c r="H47" s="88">
        <f>IFERROR(INDEX(Velas_máscara!$C$8:$W$52,MATCH(Velas!$A47,Velas_máscara!$A$8:$A$52,0),MATCH(Velas!H$7,Velas_máscara!$C$7:$W$7,0))*qtdsemana,"")</f>
        <v>0</v>
      </c>
      <c r="I47" s="88">
        <f>IFERROR(INDEX(Velas_máscara!$C$8:$W$52,MATCH(Velas!$A47,Velas_máscara!$A$8:$A$52,0),MATCH(Velas!I$7,Velas_máscara!$C$7:$W$7,0))*qtdsemana,"")</f>
        <v>8</v>
      </c>
      <c r="J47" s="88">
        <f>IFERROR(INDEX(Velas_máscara!$C$8:$W$52,MATCH(Velas!$A47,Velas_máscara!$A$8:$A$52,0),MATCH(Velas!J$7,Velas_máscara!$C$7:$W$7,0))*qtdsemana,"")</f>
        <v>4</v>
      </c>
      <c r="K47" s="88">
        <f>IFERROR(INDEX(Velas_máscara!$C$8:$W$52,MATCH(Velas!$A47,Velas_máscara!$A$8:$A$52,0),MATCH(Velas!K$7,Velas_máscara!$C$7:$W$7,0))*qtdsemana,"")</f>
        <v>0</v>
      </c>
      <c r="L47" s="88">
        <f>IFERROR(INDEX(Velas_máscara!$C$8:$W$52,MATCH(Velas!$A47,Velas_máscara!$A$8:$A$52,0),MATCH(Velas!L$7,Velas_máscara!$C$7:$W$7,0))*qtdsemana,"")</f>
        <v>0</v>
      </c>
      <c r="M47" s="88">
        <f>IFERROR(INDEX(Velas_máscara!$C$8:$W$52,MATCH(Velas!$A47,Velas_máscara!$A$8:$A$52,0),MATCH(Velas!M$7,Velas_máscara!$C$7:$W$7,0))*qtdsemana,"")</f>
        <v>0</v>
      </c>
      <c r="N47" s="88">
        <f>IFERROR(INDEX(Velas_máscara!$C$8:$W$52,MATCH(Velas!$A47,Velas_máscara!$A$8:$A$52,0),MATCH(Velas!N$7,Velas_máscara!$C$7:$W$7,0))*qtdsemana,"")</f>
        <v>0</v>
      </c>
      <c r="O47" s="88">
        <f>IFERROR(INDEX(Velas_máscara!$C$8:$W$52,MATCH(Velas!$A47,Velas_máscara!$A$8:$A$52,0),MATCH(Velas!O$7,Velas_máscara!$C$7:$W$7,0))*qtdsemana,"")</f>
        <v>0</v>
      </c>
      <c r="P47" s="88">
        <f>IFERROR(INDEX(Velas_máscara!$C$8:$W$52,MATCH(Velas!$A47,Velas_máscara!$A$8:$A$52,0),MATCH(Velas!P$7,Velas_máscara!$C$7:$W$7,0))*qtdsemana,"")</f>
        <v>4</v>
      </c>
      <c r="Q47" s="88">
        <f>IFERROR(INDEX(Velas_máscara!$C$8:$W$52,MATCH(Velas!$A47,Velas_máscara!$A$8:$A$52,0),MATCH(Velas!Q$7,Velas_máscara!$C$7:$W$7,0))*qtdsemana,"")</f>
        <v>0</v>
      </c>
      <c r="R47" s="88">
        <f>IFERROR(INDEX(Velas_máscara!$C$8:$W$52,MATCH(Velas!$A47,Velas_máscara!$A$8:$A$52,0),MATCH(Velas!R$7,Velas_máscara!$C$7:$W$7,0))*qtdsemana,"")</f>
        <v>0</v>
      </c>
      <c r="S47" s="88">
        <f>IFERROR(INDEX(Velas_máscara!$C$8:$W$52,MATCH(Velas!$A47,Velas_máscara!$A$8:$A$52,0),MATCH(Velas!S$7,Velas_máscara!$C$7:$W$7,0))*qtdsemana,"")</f>
        <v>0</v>
      </c>
      <c r="T47" s="88">
        <f>IFERROR(INDEX(Velas_máscara!$C$8:$W$52,MATCH(Velas!$A47,Velas_máscara!$A$8:$A$52,0),MATCH(Velas!T$7,Velas_máscara!$C$7:$W$7,0))*qtdsemana,"")</f>
        <v>0</v>
      </c>
      <c r="U47" s="88">
        <f>IFERROR(INDEX(Velas_máscara!$C$8:$W$52,MATCH(Velas!$A47,Velas_máscara!$A$8:$A$52,0),MATCH(Velas!U$7,Velas_máscara!$C$7:$W$7,0))*qtdsemana,"")</f>
        <v>0</v>
      </c>
      <c r="V47" s="88">
        <f>IFERROR(INDEX(Velas_máscara!$C$8:$W$52,MATCH(Velas!$A47,Velas_máscara!$A$8:$A$52,0),MATCH(Velas!V$7,Velas_máscara!$C$7:$W$7,0))*qtdsemana,"")</f>
        <v>4</v>
      </c>
      <c r="W47" s="88">
        <f>IFERROR(INDEX(Velas_máscara!$C$8:$W$52,MATCH(Velas!$A47,Velas_máscara!$A$8:$A$52,0),MATCH(Velas!W$7,Velas_máscara!$C$7:$W$7,0))*qtdsemana,"")</f>
        <v>0</v>
      </c>
      <c r="X47" s="94">
        <f t="shared" si="6"/>
        <v>28</v>
      </c>
      <c r="Y47" s="139">
        <f t="shared" si="4"/>
        <v>81.199999999999989</v>
      </c>
      <c r="Z47" s="86">
        <f t="shared" si="5"/>
        <v>98</v>
      </c>
      <c r="AA47" s="94" t="s">
        <v>284</v>
      </c>
      <c r="AB47" s="136"/>
    </row>
    <row r="48" spans="1:28" s="94" customFormat="1">
      <c r="A48" s="97" t="s">
        <v>67</v>
      </c>
      <c r="B48" s="97"/>
      <c r="C48" s="88">
        <f>IFERROR(INDEX(Velas_máscara!$C$8:$W$52,MATCH(Velas!$A48,Velas_máscara!$A$8:$A$52,0),MATCH(Velas!C$7,Velas_máscara!$C$7:$W$7,0))*qtdsemana,"")</f>
        <v>0</v>
      </c>
      <c r="D48" s="88">
        <f>IFERROR(INDEX(Velas_máscara!$C$8:$W$52,MATCH(Velas!$A48,Velas_máscara!$A$8:$A$52,0),MATCH(Velas!D$7,Velas_máscara!$C$7:$W$7,0))*qtdsemana,"")</f>
        <v>0</v>
      </c>
      <c r="E48" s="88">
        <f>IFERROR(INDEX(Velas_máscara!$C$8:$W$52,MATCH(Velas!$A48,Velas_máscara!$A$8:$A$52,0),MATCH(Velas!E$7,Velas_máscara!$C$7:$W$7,0))*qtdsemana,"")</f>
        <v>0</v>
      </c>
      <c r="F48" s="88">
        <f>IFERROR(INDEX(Velas_máscara!$C$8:$W$52,MATCH(Velas!$A48,Velas_máscara!$A$8:$A$52,0),MATCH(Velas!F$7,Velas_máscara!$C$7:$W$7,0))*qtdsemana,"")</f>
        <v>0</v>
      </c>
      <c r="G48" s="88">
        <f>IFERROR(INDEX(Velas_máscara!$C$8:$W$52,MATCH(Velas!$A48,Velas_máscara!$A$8:$A$52,0),MATCH(Velas!G$7,Velas_máscara!$C$7:$W$7,0))*qtdsemana,"")</f>
        <v>0</v>
      </c>
      <c r="H48" s="88">
        <f>IFERROR(INDEX(Velas_máscara!$C$8:$W$52,MATCH(Velas!$A48,Velas_máscara!$A$8:$A$52,0),MATCH(Velas!H$7,Velas_máscara!$C$7:$W$7,0))*qtdsemana,"")</f>
        <v>0</v>
      </c>
      <c r="I48" s="88">
        <f>IFERROR(INDEX(Velas_máscara!$C$8:$W$52,MATCH(Velas!$A48,Velas_máscara!$A$8:$A$52,0),MATCH(Velas!I$7,Velas_máscara!$C$7:$W$7,0))*qtdsemana,"")</f>
        <v>0</v>
      </c>
      <c r="J48" s="88">
        <f>IFERROR(INDEX(Velas_máscara!$C$8:$W$52,MATCH(Velas!$A48,Velas_máscara!$A$8:$A$52,0),MATCH(Velas!J$7,Velas_máscara!$C$7:$W$7,0))*qtdsemana,"")</f>
        <v>4</v>
      </c>
      <c r="K48" s="88">
        <f>IFERROR(INDEX(Velas_máscara!$C$8:$W$52,MATCH(Velas!$A48,Velas_máscara!$A$8:$A$52,0),MATCH(Velas!K$7,Velas_máscara!$C$7:$W$7,0))*qtdsemana,"")</f>
        <v>0</v>
      </c>
      <c r="L48" s="88">
        <f>IFERROR(INDEX(Velas_máscara!$C$8:$W$52,MATCH(Velas!$A48,Velas_máscara!$A$8:$A$52,0),MATCH(Velas!L$7,Velas_máscara!$C$7:$W$7,0))*qtdsemana,"")</f>
        <v>0</v>
      </c>
      <c r="M48" s="88">
        <f>IFERROR(INDEX(Velas_máscara!$C$8:$W$52,MATCH(Velas!$A48,Velas_máscara!$A$8:$A$52,0),MATCH(Velas!M$7,Velas_máscara!$C$7:$W$7,0))*qtdsemana,"")</f>
        <v>0</v>
      </c>
      <c r="N48" s="88">
        <f>IFERROR(INDEX(Velas_máscara!$C$8:$W$52,MATCH(Velas!$A48,Velas_máscara!$A$8:$A$52,0),MATCH(Velas!N$7,Velas_máscara!$C$7:$W$7,0))*qtdsemana,"")</f>
        <v>0</v>
      </c>
      <c r="O48" s="88">
        <f>IFERROR(INDEX(Velas_máscara!$C$8:$W$52,MATCH(Velas!$A48,Velas_máscara!$A$8:$A$52,0),MATCH(Velas!O$7,Velas_máscara!$C$7:$W$7,0))*qtdsemana,"")</f>
        <v>0</v>
      </c>
      <c r="P48" s="88">
        <f>IFERROR(INDEX(Velas_máscara!$C$8:$W$52,MATCH(Velas!$A48,Velas_máscara!$A$8:$A$52,0),MATCH(Velas!P$7,Velas_máscara!$C$7:$W$7,0))*qtdsemana,"")</f>
        <v>4</v>
      </c>
      <c r="Q48" s="88">
        <f>IFERROR(INDEX(Velas_máscara!$C$8:$W$52,MATCH(Velas!$A48,Velas_máscara!$A$8:$A$52,0),MATCH(Velas!Q$7,Velas_máscara!$C$7:$W$7,0))*qtdsemana,"")</f>
        <v>0</v>
      </c>
      <c r="R48" s="88">
        <f>IFERROR(INDEX(Velas_máscara!$C$8:$W$52,MATCH(Velas!$A48,Velas_máscara!$A$8:$A$52,0),MATCH(Velas!R$7,Velas_máscara!$C$7:$W$7,0))*qtdsemana,"")</f>
        <v>4</v>
      </c>
      <c r="S48" s="88">
        <f>IFERROR(INDEX(Velas_máscara!$C$8:$W$52,MATCH(Velas!$A48,Velas_máscara!$A$8:$A$52,0),MATCH(Velas!S$7,Velas_máscara!$C$7:$W$7,0))*qtdsemana,"")</f>
        <v>0</v>
      </c>
      <c r="T48" s="88">
        <f>IFERROR(INDEX(Velas_máscara!$C$8:$W$52,MATCH(Velas!$A48,Velas_máscara!$A$8:$A$52,0),MATCH(Velas!T$7,Velas_máscara!$C$7:$W$7,0))*qtdsemana,"")</f>
        <v>0</v>
      </c>
      <c r="U48" s="88">
        <f>IFERROR(INDEX(Velas_máscara!$C$8:$W$52,MATCH(Velas!$A48,Velas_máscara!$A$8:$A$52,0),MATCH(Velas!U$7,Velas_máscara!$C$7:$W$7,0))*qtdsemana,"")</f>
        <v>0</v>
      </c>
      <c r="V48" s="88">
        <f>IFERROR(INDEX(Velas_máscara!$C$8:$W$52,MATCH(Velas!$A48,Velas_máscara!$A$8:$A$52,0),MATCH(Velas!V$7,Velas_máscara!$C$7:$W$7,0))*qtdsemana,"")</f>
        <v>0</v>
      </c>
      <c r="W48" s="88">
        <f>IFERROR(INDEX(Velas_máscara!$C$8:$W$52,MATCH(Velas!$A48,Velas_máscara!$A$8:$A$52,0),MATCH(Velas!W$7,Velas_máscara!$C$7:$W$7,0))*qtdsemana,"")</f>
        <v>4</v>
      </c>
      <c r="X48" s="94">
        <f t="shared" si="6"/>
        <v>16</v>
      </c>
      <c r="Y48" s="139">
        <f t="shared" ref="Y48" si="7">SUMPRODUCT(C48:W48,$C$2:$W$2)</f>
        <v>46.4</v>
      </c>
      <c r="Z48" s="86">
        <f t="shared" si="5"/>
        <v>56</v>
      </c>
      <c r="AB48" s="136"/>
    </row>
    <row r="49" spans="1:26" s="94" customFormat="1">
      <c r="A49" s="97" t="s">
        <v>277</v>
      </c>
      <c r="B49" s="97"/>
      <c r="C49" s="98">
        <f>IFERROR(INDEX(Velas_máscara!$C$8:$W$52,MATCH(Velas!$A49,Velas_máscara!$A$8:$A$52,0),MATCH(Velas!C$7,Velas_máscara!$C$7:$W$7,0))*qtdsemana,"")</f>
        <v>0</v>
      </c>
      <c r="D49" s="98">
        <f>IFERROR(INDEX(Velas_máscara!$C$8:$W$52,MATCH(Velas!$A49,Velas_máscara!$A$8:$A$52,0),MATCH(Velas!D$7,Velas_máscara!$C$7:$W$7,0))*qtdsemana,"")</f>
        <v>0</v>
      </c>
      <c r="E49" s="98">
        <f>IFERROR(INDEX(Velas_máscara!$C$8:$W$52,MATCH(Velas!$A49,Velas_máscara!$A$8:$A$52,0),MATCH(Velas!E$7,Velas_máscara!$C$7:$W$7,0))*qtdsemana,"")</f>
        <v>0</v>
      </c>
      <c r="F49" s="98">
        <f>IFERROR(INDEX(Velas_máscara!$C$8:$W$52,MATCH(Velas!$A49,Velas_máscara!$A$8:$A$52,0),MATCH(Velas!F$7,Velas_máscara!$C$7:$W$7,0))*qtdsemana,"")</f>
        <v>0</v>
      </c>
      <c r="G49" s="98">
        <f>IFERROR(INDEX(Velas_máscara!$C$8:$W$52,MATCH(Velas!$A49,Velas_máscara!$A$8:$A$52,0),MATCH(Velas!G$7,Velas_máscara!$C$7:$W$7,0))*qtdsemana,"")</f>
        <v>0</v>
      </c>
      <c r="H49" s="98">
        <f>IFERROR(INDEX(Velas_máscara!$C$8:$W$52,MATCH(Velas!$A49,Velas_máscara!$A$8:$A$52,0),MATCH(Velas!H$7,Velas_máscara!$C$7:$W$7,0))*qtdsemana,"")</f>
        <v>0</v>
      </c>
      <c r="I49" s="98">
        <f>IFERROR(INDEX(Velas_máscara!$C$8:$W$52,MATCH(Velas!$A49,Velas_máscara!$A$8:$A$52,0),MATCH(Velas!I$7,Velas_máscara!$C$7:$W$7,0))*qtdsemana,"")</f>
        <v>0</v>
      </c>
      <c r="J49" s="98">
        <f>IFERROR(INDEX(Velas_máscara!$C$8:$W$52,MATCH(Velas!$A49,Velas_máscara!$A$8:$A$52,0),MATCH(Velas!J$7,Velas_máscara!$C$7:$W$7,0))*qtdsemana,"")</f>
        <v>4</v>
      </c>
      <c r="K49" s="98">
        <f>IFERROR(INDEX(Velas_máscara!$C$8:$W$52,MATCH(Velas!$A49,Velas_máscara!$A$8:$A$52,0),MATCH(Velas!K$7,Velas_máscara!$C$7:$W$7,0))*qtdsemana,"")</f>
        <v>0</v>
      </c>
      <c r="L49" s="98">
        <f>IFERROR(INDEX(Velas_máscara!$C$8:$W$52,MATCH(Velas!$A49,Velas_máscara!$A$8:$A$52,0),MATCH(Velas!L$7,Velas_máscara!$C$7:$W$7,0))*qtdsemana,"")</f>
        <v>0</v>
      </c>
      <c r="M49" s="98">
        <f>IFERROR(INDEX(Velas_máscara!$C$8:$W$52,MATCH(Velas!$A49,Velas_máscara!$A$8:$A$52,0),MATCH(Velas!M$7,Velas_máscara!$C$7:$W$7,0))*qtdsemana,"")</f>
        <v>0</v>
      </c>
      <c r="N49" s="98">
        <f>IFERROR(INDEX(Velas_máscara!$C$8:$W$52,MATCH(Velas!$A49,Velas_máscara!$A$8:$A$52,0),MATCH(Velas!N$7,Velas_máscara!$C$7:$W$7,0))*qtdsemana,"")</f>
        <v>0</v>
      </c>
      <c r="O49" s="98">
        <f>IFERROR(INDEX(Velas_máscara!$C$8:$W$52,MATCH(Velas!$A49,Velas_máscara!$A$8:$A$52,0),MATCH(Velas!O$7,Velas_máscara!$C$7:$W$7,0))*qtdsemana,"")</f>
        <v>0</v>
      </c>
      <c r="P49" s="98">
        <f>IFERROR(INDEX(Velas_máscara!$C$8:$W$52,MATCH(Velas!$A49,Velas_máscara!$A$8:$A$52,0),MATCH(Velas!P$7,Velas_máscara!$C$7:$W$7,0))*qtdsemana,"")</f>
        <v>0</v>
      </c>
      <c r="Q49" s="98">
        <f>IFERROR(INDEX(Velas_máscara!$C$8:$W$52,MATCH(Velas!$A49,Velas_máscara!$A$8:$A$52,0),MATCH(Velas!Q$7,Velas_máscara!$C$7:$W$7,0))*qtdsemana,"")</f>
        <v>0</v>
      </c>
      <c r="R49" s="98">
        <f>IFERROR(INDEX(Velas_máscara!$C$8:$W$52,MATCH(Velas!$A49,Velas_máscara!$A$8:$A$52,0),MATCH(Velas!R$7,Velas_máscara!$C$7:$W$7,0))*qtdsemana,"")</f>
        <v>0</v>
      </c>
      <c r="S49" s="88">
        <f>IFERROR(INDEX(Velas_máscara!$C$8:$W$52,MATCH(Velas!$A49,Velas_máscara!$A$8:$A$52,0),MATCH(Velas!S$7,Velas_máscara!$C$7:$W$7,0))*qtdsemana,"")</f>
        <v>0</v>
      </c>
      <c r="T49" s="98">
        <f>IFERROR(INDEX(Velas_máscara!$C$8:$W$52,MATCH(Velas!$A49,Velas_máscara!$A$8:$A$52,0),MATCH(Velas!T$7,Velas_máscara!$C$7:$W$7,0))*qtdsemana,"")</f>
        <v>0</v>
      </c>
      <c r="U49" s="98">
        <f>IFERROR(INDEX(Velas_máscara!$C$8:$W$52,MATCH(Velas!$A49,Velas_máscara!$A$8:$A$52,0),MATCH(Velas!U$7,Velas_máscara!$C$7:$W$7,0))*qtdsemana,"")</f>
        <v>0</v>
      </c>
      <c r="V49" s="98">
        <f>IFERROR(INDEX(Velas_máscara!$C$8:$W$52,MATCH(Velas!$A49,Velas_máscara!$A$8:$A$52,0),MATCH(Velas!V$7,Velas_máscara!$C$7:$W$7,0))*qtdsemana,"")</f>
        <v>0</v>
      </c>
      <c r="W49" s="98">
        <f>IFERROR(INDEX(Velas_máscara!$C$8:$W$52,MATCH(Velas!$A49,Velas_máscara!$A$8:$A$52,0),MATCH(Velas!W$7,Velas_máscara!$C$7:$W$7,0))*qtdsemana,"")</f>
        <v>0</v>
      </c>
      <c r="X49" s="94">
        <f t="shared" si="6"/>
        <v>4</v>
      </c>
      <c r="Y49" s="139">
        <f t="shared" si="4"/>
        <v>11.6</v>
      </c>
      <c r="Z49" s="86">
        <f t="shared" si="5"/>
        <v>14</v>
      </c>
    </row>
    <row r="50" spans="1:26" s="94" customFormat="1">
      <c r="A50" s="97" t="s">
        <v>276</v>
      </c>
      <c r="B50" s="97"/>
      <c r="C50" s="98">
        <f>IFERROR(INDEX(Velas_máscara!$C$8:$W$52,MATCH(Velas!$A50,Velas_máscara!$A$8:$A$52,0),MATCH(Velas!C$7,Velas_máscara!$C$7:$W$7,0))*qtdsemana,"")</f>
        <v>0</v>
      </c>
      <c r="D50" s="98">
        <f>IFERROR(INDEX(Velas_máscara!$C$8:$W$52,MATCH(Velas!$A50,Velas_máscara!$A$8:$A$52,0),MATCH(Velas!D$7,Velas_máscara!$C$7:$W$7,0))*qtdsemana,"")</f>
        <v>0</v>
      </c>
      <c r="E50" s="98">
        <f>IFERROR(INDEX(Velas_máscara!$C$8:$W$52,MATCH(Velas!$A50,Velas_máscara!$A$8:$A$52,0),MATCH(Velas!E$7,Velas_máscara!$C$7:$W$7,0))*qtdsemana,"")</f>
        <v>0</v>
      </c>
      <c r="F50" s="98">
        <f>IFERROR(INDEX(Velas_máscara!$C$8:$W$52,MATCH(Velas!$A50,Velas_máscara!$A$8:$A$52,0),MATCH(Velas!F$7,Velas_máscara!$C$7:$W$7,0))*qtdsemana,"")</f>
        <v>0</v>
      </c>
      <c r="G50" s="98">
        <f>IFERROR(INDEX(Velas_máscara!$C$8:$W$52,MATCH(Velas!$A50,Velas_máscara!$A$8:$A$52,0),MATCH(Velas!G$7,Velas_máscara!$C$7:$W$7,0))*qtdsemana,"")</f>
        <v>0</v>
      </c>
      <c r="H50" s="98">
        <f>IFERROR(INDEX(Velas_máscara!$C$8:$W$52,MATCH(Velas!$A50,Velas_máscara!$A$8:$A$52,0),MATCH(Velas!H$7,Velas_máscara!$C$7:$W$7,0))*qtdsemana,"")</f>
        <v>0</v>
      </c>
      <c r="I50" s="98">
        <f>IFERROR(INDEX(Velas_máscara!$C$8:$W$52,MATCH(Velas!$A50,Velas_máscara!$A$8:$A$52,0),MATCH(Velas!I$7,Velas_máscara!$C$7:$W$7,0))*qtdsemana,"")</f>
        <v>0</v>
      </c>
      <c r="J50" s="98">
        <f>IFERROR(INDEX(Velas_máscara!$C$8:$W$52,MATCH(Velas!$A50,Velas_máscara!$A$8:$A$52,0),MATCH(Velas!J$7,Velas_máscara!$C$7:$W$7,0))*qtdsemana,"")</f>
        <v>0</v>
      </c>
      <c r="K50" s="98">
        <f>IFERROR(INDEX(Velas_máscara!$C$8:$W$52,MATCH(Velas!$A50,Velas_máscara!$A$8:$A$52,0),MATCH(Velas!K$7,Velas_máscara!$C$7:$W$7,0))*qtdsemana,"")</f>
        <v>0</v>
      </c>
      <c r="L50" s="98">
        <f>IFERROR(INDEX(Velas_máscara!$C$8:$W$52,MATCH(Velas!$A50,Velas_máscara!$A$8:$A$52,0),MATCH(Velas!L$7,Velas_máscara!$C$7:$W$7,0))*qtdsemana,"")</f>
        <v>0</v>
      </c>
      <c r="M50" s="98">
        <f>IFERROR(INDEX(Velas_máscara!$C$8:$W$52,MATCH(Velas!$A50,Velas_máscara!$A$8:$A$52,0),MATCH(Velas!M$7,Velas_máscara!$C$7:$W$7,0))*qtdsemana,"")</f>
        <v>0</v>
      </c>
      <c r="N50" s="98">
        <f>IFERROR(INDEX(Velas_máscara!$C$8:$W$52,MATCH(Velas!$A50,Velas_máscara!$A$8:$A$52,0),MATCH(Velas!N$7,Velas_máscara!$C$7:$W$7,0))*qtdsemana,"")</f>
        <v>0</v>
      </c>
      <c r="O50" s="98">
        <f>IFERROR(INDEX(Velas_máscara!$C$8:$W$52,MATCH(Velas!$A50,Velas_máscara!$A$8:$A$52,0),MATCH(Velas!O$7,Velas_máscara!$C$7:$W$7,0))*qtdsemana,"")</f>
        <v>0</v>
      </c>
      <c r="P50" s="98">
        <f>IFERROR(INDEX(Velas_máscara!$C$8:$W$52,MATCH(Velas!$A50,Velas_máscara!$A$8:$A$52,0),MATCH(Velas!P$7,Velas_máscara!$C$7:$W$7,0))*qtdsemana,"")</f>
        <v>0</v>
      </c>
      <c r="Q50" s="98">
        <f>IFERROR(INDEX(Velas_máscara!$C$8:$W$52,MATCH(Velas!$A50,Velas_máscara!$A$8:$A$52,0),MATCH(Velas!Q$7,Velas_máscara!$C$7:$W$7,0))*qtdsemana,"")</f>
        <v>0</v>
      </c>
      <c r="R50" s="98">
        <f>IFERROR(INDEX(Velas_máscara!$C$8:$W$52,MATCH(Velas!$A50,Velas_máscara!$A$8:$A$52,0),MATCH(Velas!R$7,Velas_máscara!$C$7:$W$7,0))*qtdsemana,"")</f>
        <v>0</v>
      </c>
      <c r="S50" s="88">
        <f>IFERROR(INDEX(Velas_máscara!$C$8:$W$52,MATCH(Velas!$A50,Velas_máscara!$A$8:$A$52,0),MATCH(Velas!S$7,Velas_máscara!$C$7:$W$7,0))*qtdsemana,"")</f>
        <v>0</v>
      </c>
      <c r="T50" s="98">
        <f>IFERROR(INDEX(Velas_máscara!$C$8:$W$52,MATCH(Velas!$A50,Velas_máscara!$A$8:$A$52,0),MATCH(Velas!T$7,Velas_máscara!$C$7:$W$7,0))*qtdsemana,"")</f>
        <v>0</v>
      </c>
      <c r="U50" s="98">
        <f>IFERROR(INDEX(Velas_máscara!$C$8:$W$52,MATCH(Velas!$A50,Velas_máscara!$A$8:$A$52,0),MATCH(Velas!U$7,Velas_máscara!$C$7:$W$7,0))*qtdsemana,"")</f>
        <v>0</v>
      </c>
      <c r="V50" s="98">
        <f>IFERROR(INDEX(Velas_máscara!$C$8:$W$52,MATCH(Velas!$A50,Velas_máscara!$A$8:$A$52,0),MATCH(Velas!V$7,Velas_máscara!$C$7:$W$7,0))*qtdsemana,"")</f>
        <v>0</v>
      </c>
      <c r="W50" s="98">
        <f>IFERROR(INDEX(Velas_máscara!$C$8:$W$52,MATCH(Velas!$A50,Velas_máscara!$A$8:$A$52,0),MATCH(Velas!W$7,Velas_máscara!$C$7:$W$7,0))*qtdsemana,"")</f>
        <v>0</v>
      </c>
      <c r="X50" s="94">
        <f t="shared" si="6"/>
        <v>0</v>
      </c>
      <c r="Y50" s="139">
        <f t="shared" si="4"/>
        <v>0</v>
      </c>
      <c r="Z50" s="86">
        <f t="shared" si="5"/>
        <v>0</v>
      </c>
    </row>
    <row r="51" spans="1:26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T51" s="136"/>
      <c r="U51" s="136"/>
      <c r="V51" s="136"/>
      <c r="W51" s="136"/>
      <c r="X51" s="136"/>
      <c r="Y51" s="86">
        <f>SUMIF(AA:AA,"OK",Y:Y)</f>
        <v>516.79999999999995</v>
      </c>
      <c r="Z51" s="86">
        <f t="shared" si="5"/>
        <v>0</v>
      </c>
    </row>
    <row r="52" spans="1:26">
      <c r="A52" s="136"/>
      <c r="C52" s="136"/>
      <c r="D52" s="136"/>
      <c r="E52" s="136"/>
      <c r="F52" s="136"/>
      <c r="G52" s="99"/>
      <c r="H52" s="99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T52" s="136"/>
      <c r="U52" s="136"/>
      <c r="V52" s="136"/>
      <c r="W52" s="136"/>
      <c r="X52" s="136"/>
      <c r="Y52" s="136"/>
      <c r="Z52" s="136"/>
    </row>
    <row r="53" spans="1:26">
      <c r="A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T53" s="136"/>
      <c r="U53" s="136"/>
      <c r="V53" s="136"/>
      <c r="W53" s="136"/>
      <c r="X53" s="136"/>
      <c r="Y53" s="112">
        <f>SUMIF($AA$8:$AA$51,"OK",Y8:Y51)</f>
        <v>516.79999999999995</v>
      </c>
      <c r="Z53" s="112">
        <f>SUMIF($AA$8:$AA$51,"OK",Z8:Z51)</f>
        <v>622.4</v>
      </c>
    </row>
    <row r="57" spans="1:26" ht="15">
      <c r="A57" s="142" t="s">
        <v>285</v>
      </c>
      <c r="C57" s="100">
        <v>43647</v>
      </c>
      <c r="D57" s="100">
        <v>43677</v>
      </c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T57" s="136"/>
      <c r="U57" s="136"/>
      <c r="V57" s="136"/>
      <c r="W57" s="136"/>
      <c r="X57" s="136"/>
      <c r="Y57" s="136"/>
      <c r="Z57" s="136"/>
    </row>
    <row r="58" spans="1:26" ht="15">
      <c r="A58" s="142" t="s">
        <v>286</v>
      </c>
      <c r="C58" s="101">
        <f>ROUNDDOWN(D58,0)</f>
        <v>4</v>
      </c>
      <c r="D58" s="102">
        <f>INT(WEEKDAY(C57-1)-C57+D57)/7</f>
        <v>4.4285714285714288</v>
      </c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T58" s="136"/>
      <c r="U58" s="136"/>
      <c r="V58" s="136"/>
      <c r="W58" s="136"/>
      <c r="X58" s="136"/>
      <c r="Y58" s="136"/>
      <c r="Z58" s="136"/>
    </row>
  </sheetData>
  <autoFilter ref="A7:AA49"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I4:L16"/>
  <sheetViews>
    <sheetView showGridLines="0" tabSelected="1" workbookViewId="0">
      <selection activeCell="K11" sqref="K11"/>
    </sheetView>
  </sheetViews>
  <sheetFormatPr defaultRowHeight="14.25"/>
  <cols>
    <col min="8" max="8" width="8.625" customWidth="1"/>
    <col min="9" max="9" width="8.5" hidden="1" customWidth="1"/>
    <col min="10" max="10" width="25.875" customWidth="1"/>
    <col min="11" max="11" width="10" bestFit="1" customWidth="1"/>
  </cols>
  <sheetData>
    <row r="4" spans="9:12">
      <c r="I4" s="152"/>
      <c r="J4" s="152"/>
      <c r="K4" s="152"/>
      <c r="L4" s="152"/>
    </row>
    <row r="8" spans="9:12" ht="15">
      <c r="I8" s="85"/>
      <c r="J8" s="153" t="s">
        <v>270</v>
      </c>
      <c r="K8" s="153"/>
      <c r="L8" s="136"/>
    </row>
    <row r="10" spans="9:12" ht="15.75">
      <c r="I10" s="136"/>
      <c r="J10" s="103" t="s">
        <v>287</v>
      </c>
      <c r="K10" s="103" t="s">
        <v>288</v>
      </c>
      <c r="L10" s="136"/>
    </row>
    <row r="11" spans="9:12">
      <c r="I11" s="136"/>
      <c r="J11" s="136" t="s">
        <v>254</v>
      </c>
      <c r="K11" s="136">
        <v>4</v>
      </c>
      <c r="L11" s="136"/>
    </row>
    <row r="12" spans="9:12">
      <c r="I12" s="136"/>
      <c r="J12" s="136"/>
      <c r="K12" s="136"/>
      <c r="L12" s="136"/>
    </row>
    <row r="16" spans="9:12">
      <c r="I16" s="136"/>
      <c r="J16" s="136"/>
      <c r="K16" s="136"/>
      <c r="L16" s="138"/>
    </row>
  </sheetData>
  <mergeCells count="2">
    <mergeCell ref="I4:L4"/>
    <mergeCell ref="J8:K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Data_base!$B:$B</xm:f>
          </x14:formula1>
          <xm:sqref>J8:K8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D7:N20"/>
  <sheetViews>
    <sheetView showGridLines="0" zoomScaleNormal="100" workbookViewId="0">
      <selection activeCell="G9" sqref="G9"/>
    </sheetView>
  </sheetViews>
  <sheetFormatPr defaultRowHeight="14.25"/>
  <cols>
    <col min="4" max="4" width="11.625" bestFit="1" customWidth="1"/>
    <col min="5" max="5" width="11.625" customWidth="1"/>
    <col min="6" max="6" width="17.25" bestFit="1" customWidth="1"/>
    <col min="8" max="8" width="10" bestFit="1" customWidth="1"/>
    <col min="9" max="9" width="10.25" bestFit="1" customWidth="1"/>
  </cols>
  <sheetData>
    <row r="7" spans="4:14">
      <c r="D7" s="136" t="str">
        <f t="array" ref="D7">IF(ROWS($1:2)&gt;COUNTIF(Velas!$A$8:$A$102,$D$4),"",INDEX(Relatório_velas!#REF!,SMALL(IF(Velas!$A$8:$A$102=$D$4,ROW(Velas!$A$8:$A$102)-ROW($D$4)+1,FALSE),ROWS($1:2))))</f>
        <v/>
      </c>
      <c r="E7" s="136"/>
      <c r="F7" s="154" t="s">
        <v>32</v>
      </c>
      <c r="G7" s="154"/>
      <c r="H7" s="154"/>
      <c r="I7" s="154"/>
      <c r="J7" s="136"/>
      <c r="K7" s="136"/>
      <c r="L7" s="136"/>
      <c r="M7" s="136"/>
      <c r="N7" s="136"/>
    </row>
    <row r="8" spans="4:14">
      <c r="D8" s="136" t="str">
        <f t="array" ref="D8">IF(ROWS($1:3)&gt;COUNTIF(Velas!$A$8:$A$102,$D$4),"",INDEX(Relatório_velas!#REF!,SMALL(IF(Velas!$A$8:$A$102=$D$4,ROW(Velas!$A$8:$A$102)-ROW($D$4)+1,FALSE),ROWS($1:3))))</f>
        <v/>
      </c>
      <c r="E8" s="136"/>
      <c r="F8" s="154"/>
      <c r="G8" s="154"/>
      <c r="H8" s="154"/>
      <c r="I8" s="154"/>
      <c r="J8" s="136"/>
      <c r="K8" s="136"/>
      <c r="L8" s="136"/>
      <c r="M8" s="136"/>
      <c r="N8" s="136"/>
    </row>
    <row r="9" spans="4:14">
      <c r="D9" s="136" t="str">
        <f t="array" ref="D9">IF(ROWS($1:4)&gt;COUNTIF(Velas!$A$8:$A$102,$D$4),"",INDEX(Relatório_velas!#REF!,SMALL(IF(Velas!$A$8:$A$102=$D$4,ROW(Velas!$A$8:$A$102)-ROW($D$4)+1,FALSE),ROWS($1:4))))</f>
        <v/>
      </c>
      <c r="E9" s="136"/>
      <c r="F9" s="136"/>
      <c r="G9" s="136"/>
      <c r="H9" s="136"/>
      <c r="I9" s="136"/>
      <c r="J9" s="136"/>
      <c r="K9" s="136"/>
      <c r="L9" s="136"/>
      <c r="M9" s="136"/>
      <c r="N9" s="136"/>
    </row>
    <row r="10" spans="4:14">
      <c r="D10" s="136" t="str">
        <f t="array" ref="D10">IF(ROWS($1:5)&gt;COUNTIF(Velas!$A$8:$A$102,$D$4),"",INDEX(Relatório_velas!#REF!,SMALL(IF(Velas!$A$8:$A$102=$D$4,ROW(Velas!$A$8:$A$102)-ROW($D$4)+1,FALSE),ROWS($1:5))))</f>
        <v/>
      </c>
      <c r="E10" s="136"/>
      <c r="F10" s="136"/>
      <c r="G10" s="136"/>
      <c r="H10" s="136"/>
      <c r="I10" s="136"/>
      <c r="J10" s="136"/>
      <c r="K10" s="136"/>
      <c r="L10" s="136"/>
      <c r="M10" s="136"/>
      <c r="N10" s="136"/>
    </row>
    <row r="11" spans="4:14" ht="15">
      <c r="D11" s="136" t="str">
        <f t="array" ref="D11">IF(ROWS($1:6)&gt;COUNTIF(Velas!$A$8:$A$102,$D$4),"",INDEX(Relatório_velas!#REF!,SMALL(IF(Velas!$A$8:$A$102=$D$4,ROW(Velas!$A$8:$A$102)-ROW($D$4)+1,FALSE),ROWS($1:6))))</f>
        <v/>
      </c>
      <c r="E11" s="136"/>
      <c r="F11" s="85" t="s">
        <v>289</v>
      </c>
      <c r="G11" s="85"/>
      <c r="H11" s="85" t="s">
        <v>290</v>
      </c>
      <c r="I11" s="85"/>
      <c r="J11" s="136"/>
      <c r="K11" s="136"/>
      <c r="L11" s="136"/>
      <c r="M11" s="136"/>
      <c r="N11" s="136"/>
    </row>
    <row r="12" spans="4:14">
      <c r="D12" s="136" t="str">
        <f t="array" ref="D12">IF(ROWS($1:7)&gt;COUNTIF(Velas!$A$8:$A$102,$D$4),"",INDEX(Relatório_velas!#REF!,SMALL(IF(Velas!$A$8:$A$102=$D$4,ROW(Velas!$A$8:$A$102)-ROW($D$4)+1,FALSE),ROWS($1:7))))</f>
        <v/>
      </c>
      <c r="E12" s="136"/>
      <c r="F12" s="104">
        <f>INDEX(Velas!$X$8:$X$102,MATCH(Relatório_velas!F7,Velas!$A$8:$A$102,0))</f>
        <v>20</v>
      </c>
      <c r="G12" s="104"/>
      <c r="H12" s="105">
        <f>INDEX(Velas!$Y$8:$Y$102,MATCH(Relatório_velas!F7,Velas!$A$8:$A$102,0))</f>
        <v>58</v>
      </c>
      <c r="I12" s="106"/>
      <c r="J12" s="136"/>
      <c r="K12" s="136"/>
      <c r="L12" s="136"/>
      <c r="M12" s="136"/>
      <c r="N12" s="136"/>
    </row>
    <row r="13" spans="4:14">
      <c r="D13" s="136" t="str">
        <f t="array" ref="D13">IF(ROWS($1:8)&gt;COUNTIF(Velas!$A$8:$A$102,$D$4),"",INDEX(Relatório_velas!#REF!,SMALL(IF(Velas!$A$8:$A$102=$D$4,ROW(Velas!$A$8:$A$102)-ROW($D$4)+1,FALSE),ROWS($1:8))))</f>
        <v/>
      </c>
      <c r="E13" s="136"/>
      <c r="F13" s="136"/>
      <c r="G13" s="136"/>
      <c r="H13" s="136"/>
      <c r="I13" s="136"/>
      <c r="J13" s="136"/>
      <c r="K13" s="136"/>
      <c r="L13" s="136"/>
      <c r="M13" s="136"/>
      <c r="N13" s="136"/>
    </row>
    <row r="14" spans="4:14">
      <c r="D14" s="136" t="str">
        <f t="array" ref="D14">IF(ROWS($1:9)&gt;COUNTIF(Velas!$A$8:$A$102,$D$4),"",INDEX(Relatório_velas!#REF!,SMALL(IF(Velas!$A$8:$A$102=$D$4,ROW(Velas!$A$8:$A$102)-ROW($D$4)+1,FALSE),ROWS($1:9))))</f>
        <v/>
      </c>
      <c r="E14" s="136"/>
      <c r="F14" s="136"/>
      <c r="G14" s="136"/>
      <c r="H14" s="136"/>
      <c r="I14" s="136"/>
      <c r="J14" s="136"/>
      <c r="K14" s="136"/>
      <c r="L14" s="136"/>
      <c r="M14" s="136"/>
      <c r="N14" s="136"/>
    </row>
    <row r="15" spans="4:14">
      <c r="D15" s="136" t="str">
        <f t="array" ref="D15">IF(ROWS($1:10)&gt;COUNTIF(Velas!$A$8:$A$102,$D$4),"",INDEX(Relatório_velas!#REF!,SMALL(IF(Velas!$A$8:$A$102=$D$4,ROW(Velas!$A$8:$A$102)-ROW($D$4)+1,FALSE),ROWS($1:10))))</f>
        <v/>
      </c>
      <c r="E15" s="136"/>
      <c r="F15" s="136"/>
      <c r="G15" s="136"/>
      <c r="H15" s="136"/>
      <c r="I15" s="136"/>
      <c r="J15" s="136"/>
      <c r="K15" s="136"/>
      <c r="L15" s="136"/>
      <c r="M15" s="136"/>
      <c r="N15" s="136"/>
    </row>
    <row r="16" spans="4:14">
      <c r="D16" s="136" t="str">
        <f t="array" ref="D16">IF(ROWS($1:11)&gt;COUNTIF(Velas!$A$8:$A$102,$D$4),"",INDEX(Relatório_velas!#REF!,SMALL(IF(Velas!$A$8:$A$102=$D$4,ROW(Velas!$A$8:$A$102)-ROW($D$4)+1,FALSE),ROWS($1:11))))</f>
        <v/>
      </c>
      <c r="E16" s="136"/>
      <c r="F16" s="136"/>
      <c r="G16" s="136"/>
      <c r="H16" s="136"/>
      <c r="I16" s="136"/>
      <c r="J16" s="136"/>
      <c r="K16" s="136"/>
      <c r="L16" s="136"/>
      <c r="M16" s="136"/>
      <c r="N16" s="136" t="s">
        <v>78</v>
      </c>
    </row>
    <row r="17" spans="4:14">
      <c r="D17" s="136" t="str">
        <f t="array" ref="D17">IF(ROWS($1:12)&gt;COUNTIF(Velas!$A$8:$A$102,$D$4),"",INDEX(Relatório_velas!#REF!,SMALL(IF(Velas!$A$8:$A$102=$D$4,ROW(Velas!$A$8:$A$102)-ROW($D$4)+1,FALSE),ROWS($1:12))))</f>
        <v/>
      </c>
      <c r="E17" s="136"/>
      <c r="F17" s="136"/>
      <c r="G17" s="136"/>
      <c r="H17" s="136"/>
      <c r="I17" s="136"/>
      <c r="J17" s="136"/>
      <c r="K17" s="136"/>
      <c r="L17" s="136"/>
      <c r="M17" s="136"/>
      <c r="N17" s="136"/>
    </row>
    <row r="18" spans="4:14">
      <c r="D18" s="136" t="str">
        <f t="array" ref="D18">IF(ROWS($1:13)&gt;COUNTIF(Velas!$A$8:$A$102,$D$4),"",INDEX(Relatório_velas!#REF!,SMALL(IF(Velas!$A$8:$A$102=$D$4,ROW(Velas!$A$8:$A$102)-ROW($D$4)+1,FALSE),ROWS($1:13))))</f>
        <v/>
      </c>
      <c r="E18" s="136"/>
      <c r="F18" s="136"/>
      <c r="G18" s="136"/>
      <c r="H18" s="136"/>
      <c r="I18" s="136"/>
      <c r="J18" s="136"/>
      <c r="K18" s="136"/>
      <c r="L18" s="136"/>
      <c r="M18" s="136"/>
      <c r="N18" s="136"/>
    </row>
    <row r="19" spans="4:14">
      <c r="D19" s="136" t="str">
        <f t="array" ref="D19">IF(ROWS($1:14)&gt;COUNTIF(Velas!$A$8:$A$102,$D$4),"",INDEX(Relatório_velas!#REF!,SMALL(IF(Velas!$A$8:$A$102=$D$4,ROW(Velas!$A$8:$A$102)-ROW($D$4)+1,FALSE),ROWS($1:14))))</f>
        <v/>
      </c>
      <c r="E19" s="136"/>
      <c r="F19" s="136"/>
      <c r="G19" s="136"/>
      <c r="H19" s="136"/>
      <c r="I19" s="136"/>
      <c r="J19" s="136"/>
      <c r="K19" s="136"/>
      <c r="L19" s="136"/>
      <c r="M19" s="136"/>
      <c r="N19" s="136"/>
    </row>
    <row r="20" spans="4:14">
      <c r="D20" s="136" t="str">
        <f t="array" ref="D20">IF(ROWS($1:15)&gt;COUNTIF(Velas!$A$8:$A$102,$D$4),"",INDEX(Relatório_velas!#REF!,SMALL(IF(Velas!$A$8:$A$102=$D$4,ROW(Velas!$A$8:$A$102)-ROW($D$4)+1,FALSE),ROWS($1:15))))</f>
        <v/>
      </c>
      <c r="E20" s="136"/>
      <c r="F20" s="136"/>
      <c r="G20" s="136"/>
      <c r="H20" s="136"/>
      <c r="I20" s="136"/>
      <c r="J20" s="136"/>
      <c r="K20" s="136"/>
      <c r="L20" s="136"/>
      <c r="M20" s="136"/>
      <c r="N20" s="136" t="s">
        <v>291</v>
      </c>
    </row>
  </sheetData>
  <mergeCells count="1">
    <mergeCell ref="F7:I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Data_base!$B:$B</xm:f>
          </x14:formula1>
          <xm:sqref>F7:I8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 filterMode="1"/>
  <dimension ref="H5:Q118"/>
  <sheetViews>
    <sheetView showGridLines="0" topLeftCell="A101" workbookViewId="0">
      <selection activeCell="H119" sqref="H119"/>
    </sheetView>
  </sheetViews>
  <sheetFormatPr defaultRowHeight="14.25"/>
  <cols>
    <col min="3" max="7" width="0" hidden="1" customWidth="1"/>
    <col min="8" max="8" width="35.625" style="61" customWidth="1"/>
    <col min="9" max="9" width="10" style="107" bestFit="1" customWidth="1"/>
    <col min="10" max="10" width="16" style="61" bestFit="1" customWidth="1"/>
    <col min="11" max="11" width="16.125" style="108" bestFit="1" customWidth="1"/>
  </cols>
  <sheetData>
    <row r="5" spans="8:11">
      <c r="H5" s="61" t="s">
        <v>292</v>
      </c>
    </row>
    <row r="9" spans="8:11">
      <c r="H9" s="61" t="s">
        <v>293</v>
      </c>
      <c r="I9" s="107" t="s">
        <v>290</v>
      </c>
      <c r="J9" s="61" t="s">
        <v>294</v>
      </c>
      <c r="K9" s="108" t="s">
        <v>295</v>
      </c>
    </row>
    <row r="10" spans="8:11" hidden="1">
      <c r="H10" s="61" t="s">
        <v>31</v>
      </c>
      <c r="I10" s="107">
        <v>56</v>
      </c>
      <c r="J10" s="108">
        <v>43503</v>
      </c>
      <c r="K10" s="108">
        <v>43503</v>
      </c>
    </row>
    <row r="11" spans="8:11" hidden="1">
      <c r="H11" s="61" t="s">
        <v>100</v>
      </c>
      <c r="I11" s="107">
        <v>14</v>
      </c>
      <c r="J11" s="108">
        <v>43500</v>
      </c>
      <c r="K11" s="108">
        <v>43500</v>
      </c>
    </row>
    <row r="12" spans="8:11" hidden="1">
      <c r="H12" s="61" t="s">
        <v>37</v>
      </c>
      <c r="I12" s="107">
        <v>56</v>
      </c>
      <c r="J12" s="108">
        <v>43477</v>
      </c>
      <c r="K12" s="108">
        <v>43477</v>
      </c>
    </row>
    <row r="13" spans="8:11" hidden="1">
      <c r="H13" s="61" t="s">
        <v>38</v>
      </c>
      <c r="I13" s="107">
        <v>56</v>
      </c>
      <c r="J13" s="108">
        <v>43477</v>
      </c>
      <c r="K13" s="108">
        <v>43477</v>
      </c>
    </row>
    <row r="14" spans="8:11" hidden="1">
      <c r="H14" s="61" t="s">
        <v>32</v>
      </c>
      <c r="I14" s="107">
        <v>70</v>
      </c>
      <c r="J14" s="108">
        <v>43502</v>
      </c>
      <c r="K14" s="108">
        <v>43502</v>
      </c>
    </row>
    <row r="15" spans="8:11" hidden="1">
      <c r="H15" s="61" t="s">
        <v>271</v>
      </c>
      <c r="I15" s="107">
        <v>56</v>
      </c>
      <c r="J15" s="108">
        <v>43500</v>
      </c>
      <c r="K15" s="108">
        <v>43500</v>
      </c>
    </row>
    <row r="16" spans="8:11" hidden="1">
      <c r="H16" s="61" t="s">
        <v>39</v>
      </c>
      <c r="I16" s="107">
        <v>56</v>
      </c>
      <c r="J16" s="108">
        <v>43500</v>
      </c>
      <c r="K16" s="108">
        <v>43500</v>
      </c>
    </row>
    <row r="17" spans="8:12" hidden="1">
      <c r="H17" s="61" t="s">
        <v>272</v>
      </c>
      <c r="I17" s="107">
        <v>76.400000000000006</v>
      </c>
      <c r="J17" s="108">
        <v>43500</v>
      </c>
      <c r="K17" s="108">
        <v>43500</v>
      </c>
      <c r="L17" s="136"/>
    </row>
    <row r="18" spans="8:12" hidden="1">
      <c r="H18" s="61" t="s">
        <v>273</v>
      </c>
      <c r="I18" s="107">
        <v>84</v>
      </c>
      <c r="J18" s="108">
        <v>43491</v>
      </c>
      <c r="K18" s="108">
        <v>43491</v>
      </c>
      <c r="L18" s="136"/>
    </row>
    <row r="19" spans="8:12" hidden="1">
      <c r="H19" s="61" t="s">
        <v>20</v>
      </c>
      <c r="I19" s="107">
        <v>56</v>
      </c>
      <c r="J19" s="108">
        <v>43494</v>
      </c>
      <c r="K19" s="108">
        <v>43494</v>
      </c>
      <c r="L19" s="136"/>
    </row>
    <row r="20" spans="8:12" hidden="1">
      <c r="H20" s="61" t="s">
        <v>23</v>
      </c>
      <c r="I20" s="107">
        <v>34.4</v>
      </c>
      <c r="J20" s="108">
        <v>43494</v>
      </c>
      <c r="K20" s="108">
        <v>43494</v>
      </c>
      <c r="L20" s="136"/>
    </row>
    <row r="21" spans="8:12" hidden="1">
      <c r="H21" s="61" t="s">
        <v>30</v>
      </c>
      <c r="I21" s="107">
        <v>42</v>
      </c>
      <c r="J21" s="108">
        <v>43501</v>
      </c>
      <c r="K21" s="108">
        <v>43501</v>
      </c>
      <c r="L21" s="136"/>
    </row>
    <row r="22" spans="8:12" hidden="1">
      <c r="H22" s="61" t="s">
        <v>192</v>
      </c>
      <c r="I22" s="107">
        <v>126</v>
      </c>
      <c r="J22" s="108">
        <v>43504</v>
      </c>
      <c r="K22" s="108">
        <v>43504</v>
      </c>
      <c r="L22" s="136"/>
    </row>
    <row r="23" spans="8:12" hidden="1">
      <c r="H23" s="61" t="s">
        <v>275</v>
      </c>
      <c r="I23" s="107">
        <v>56</v>
      </c>
      <c r="J23" s="108">
        <v>43500</v>
      </c>
      <c r="K23" s="108">
        <v>43500</v>
      </c>
      <c r="L23" s="136"/>
    </row>
    <row r="24" spans="8:12" hidden="1">
      <c r="H24" s="61" t="s">
        <v>104</v>
      </c>
      <c r="I24" s="107">
        <v>84</v>
      </c>
      <c r="J24" s="108">
        <v>43502</v>
      </c>
      <c r="K24" s="108">
        <v>43502</v>
      </c>
      <c r="L24" s="136"/>
    </row>
    <row r="25" spans="8:12" hidden="1">
      <c r="H25" s="61" t="s">
        <v>25</v>
      </c>
      <c r="I25" s="107">
        <v>56</v>
      </c>
      <c r="J25" s="108">
        <v>43493</v>
      </c>
      <c r="K25" s="108">
        <v>43493</v>
      </c>
      <c r="L25" s="136"/>
    </row>
    <row r="26" spans="8:12" hidden="1">
      <c r="H26" s="61" t="s">
        <v>50</v>
      </c>
      <c r="I26" s="107">
        <v>56</v>
      </c>
      <c r="J26" s="108">
        <v>43501</v>
      </c>
      <c r="K26" s="108">
        <v>43501</v>
      </c>
      <c r="L26" s="136"/>
    </row>
    <row r="27" spans="8:12" hidden="1">
      <c r="H27" s="61" t="s">
        <v>268</v>
      </c>
      <c r="I27" s="107">
        <v>14</v>
      </c>
      <c r="J27" s="108">
        <v>43501</v>
      </c>
      <c r="K27" s="108">
        <v>43501</v>
      </c>
      <c r="L27" s="136"/>
    </row>
    <row r="28" spans="8:12" hidden="1">
      <c r="H28" s="61" t="s">
        <v>51</v>
      </c>
      <c r="I28" s="107">
        <v>56</v>
      </c>
      <c r="J28" s="108">
        <v>43489</v>
      </c>
      <c r="K28" s="108">
        <v>43489</v>
      </c>
      <c r="L28" s="136"/>
    </row>
    <row r="29" spans="8:12" hidden="1">
      <c r="H29" s="61" t="s">
        <v>266</v>
      </c>
      <c r="I29" s="107">
        <v>188.4</v>
      </c>
      <c r="J29" s="108">
        <v>43504</v>
      </c>
      <c r="K29" s="108">
        <v>43504</v>
      </c>
      <c r="L29" s="136"/>
    </row>
    <row r="30" spans="8:12" hidden="1">
      <c r="H30" s="61" t="s">
        <v>52</v>
      </c>
      <c r="I30" s="107">
        <v>14</v>
      </c>
      <c r="J30" s="108">
        <v>43504</v>
      </c>
      <c r="K30" s="108">
        <v>43504</v>
      </c>
      <c r="L30" s="136"/>
    </row>
    <row r="31" spans="8:12" hidden="1">
      <c r="H31" s="61" t="s">
        <v>50</v>
      </c>
      <c r="I31" s="107">
        <f>INDEX(Velas!$Z:$Z,MATCH(Velas_pagamento!H31,Velas!$A:$A,0))</f>
        <v>28</v>
      </c>
      <c r="J31" s="108">
        <v>43556</v>
      </c>
      <c r="K31" s="108">
        <v>43554</v>
      </c>
      <c r="L31" s="136" t="str">
        <f>IF(K31&gt;0,"pago","")</f>
        <v>pago</v>
      </c>
    </row>
    <row r="32" spans="8:12" hidden="1">
      <c r="H32" s="61" t="s">
        <v>274</v>
      </c>
      <c r="I32" s="107">
        <f>INDEX(Velas!$Z:$Z,MATCH(Velas_pagamento!H32,Velas!$A:$A,0))</f>
        <v>28</v>
      </c>
      <c r="J32" s="108">
        <v>43556</v>
      </c>
      <c r="K32" s="108">
        <v>43554</v>
      </c>
      <c r="L32" s="136" t="str">
        <f t="shared" ref="L32:L51" si="0">IF(K32&gt;0,"pago","")</f>
        <v>pago</v>
      </c>
    </row>
    <row r="33" spans="8:13" hidden="1">
      <c r="H33" s="61" t="s">
        <v>32</v>
      </c>
      <c r="I33" s="107">
        <f>INDEX(Velas!$Z:$Z,MATCH(Velas_pagamento!H33,Velas!$A:$A,0))</f>
        <v>70</v>
      </c>
      <c r="J33" s="108">
        <v>43556</v>
      </c>
      <c r="K33" s="108">
        <v>43561</v>
      </c>
      <c r="L33" s="136" t="str">
        <f t="shared" si="0"/>
        <v>pago</v>
      </c>
      <c r="M33" s="136"/>
    </row>
    <row r="34" spans="8:13" hidden="1">
      <c r="H34" s="61" t="s">
        <v>192</v>
      </c>
      <c r="I34" s="107">
        <f>INDEX(Velas!$Z:$Z,MATCH(Velas_pagamento!H34,Velas!$A:$A,0))</f>
        <v>160.4</v>
      </c>
      <c r="J34" s="108">
        <v>43556</v>
      </c>
      <c r="L34" s="136" t="str">
        <f t="shared" si="0"/>
        <v/>
      </c>
      <c r="M34" s="136">
        <v>50</v>
      </c>
    </row>
    <row r="35" spans="8:13" hidden="1">
      <c r="H35" s="61" t="s">
        <v>51</v>
      </c>
      <c r="I35" s="107">
        <f>INDEX(Velas!$Z:$Z,MATCH(Velas_pagamento!H35,Velas!$A:$A,0))</f>
        <v>56</v>
      </c>
      <c r="J35" s="108">
        <v>43556</v>
      </c>
      <c r="K35" s="108">
        <v>43554</v>
      </c>
      <c r="L35" s="136" t="str">
        <f t="shared" si="0"/>
        <v>pago</v>
      </c>
      <c r="M35" s="136">
        <v>20</v>
      </c>
    </row>
    <row r="36" spans="8:13" hidden="1">
      <c r="H36" s="61" t="s">
        <v>25</v>
      </c>
      <c r="I36" s="107">
        <f>INDEX(Velas!$Z:$Z,MATCH(Velas_pagamento!H36,Velas!$A:$A,0))</f>
        <v>56</v>
      </c>
      <c r="J36" s="108">
        <v>43556</v>
      </c>
      <c r="K36" s="108">
        <v>43554</v>
      </c>
      <c r="L36" s="136" t="str">
        <f t="shared" si="0"/>
        <v>pago</v>
      </c>
      <c r="M36" s="136"/>
    </row>
    <row r="37" spans="8:13" hidden="1">
      <c r="H37" s="61" t="s">
        <v>34</v>
      </c>
      <c r="I37" s="107">
        <f>INDEX(Velas!$Z:$Z,MATCH(Velas_pagamento!H37,Velas!$A:$A,0))</f>
        <v>56</v>
      </c>
      <c r="J37" s="108">
        <v>43556</v>
      </c>
      <c r="K37" s="108">
        <v>43545</v>
      </c>
      <c r="L37" s="136" t="str">
        <f t="shared" si="0"/>
        <v>pago</v>
      </c>
      <c r="M37" s="136">
        <f>SUM(M34-M35)</f>
        <v>30</v>
      </c>
    </row>
    <row r="38" spans="8:13" hidden="1">
      <c r="H38" s="61" t="s">
        <v>272</v>
      </c>
      <c r="I38" s="107">
        <f>INDEX(Velas!$Z:$Z,MATCH(Velas_pagamento!H38,Velas!$A:$A,0))</f>
        <v>76.400000000000006</v>
      </c>
      <c r="J38" s="108">
        <v>43556</v>
      </c>
      <c r="K38" s="108">
        <v>43554</v>
      </c>
      <c r="L38" s="136" t="str">
        <f t="shared" si="0"/>
        <v>pago</v>
      </c>
      <c r="M38" s="136"/>
    </row>
    <row r="39" spans="8:13" hidden="1">
      <c r="H39" s="61" t="s">
        <v>20</v>
      </c>
      <c r="I39" s="107">
        <f>INDEX(Velas!$Z:$Z,MATCH(Velas_pagamento!H39,Velas!$A:$A,0))</f>
        <v>70</v>
      </c>
      <c r="J39" s="108">
        <v>43556</v>
      </c>
      <c r="K39" s="108">
        <v>43554</v>
      </c>
      <c r="L39" s="136" t="str">
        <f t="shared" si="0"/>
        <v>pago</v>
      </c>
      <c r="M39" s="136"/>
    </row>
    <row r="40" spans="8:13" hidden="1">
      <c r="H40" s="61" t="s">
        <v>23</v>
      </c>
      <c r="I40" s="107">
        <f>INDEX(Velas!$Z:$Z,MATCH(Velas_pagamento!H40,Velas!$A:$A,0))</f>
        <v>34.4</v>
      </c>
      <c r="J40" s="108">
        <v>43556</v>
      </c>
      <c r="K40" s="108">
        <v>43554</v>
      </c>
      <c r="L40" s="136" t="str">
        <f t="shared" si="0"/>
        <v>pago</v>
      </c>
      <c r="M40" s="136"/>
    </row>
    <row r="41" spans="8:13" hidden="1">
      <c r="H41" s="61" t="s">
        <v>126</v>
      </c>
      <c r="I41" s="107">
        <f>INDEX(Velas!$Z:$Z,MATCH(Velas_pagamento!H41,Velas!$A:$A,0))</f>
        <v>14</v>
      </c>
      <c r="J41" s="108">
        <v>43556</v>
      </c>
      <c r="K41" s="108">
        <v>43554</v>
      </c>
      <c r="L41" s="136" t="str">
        <f t="shared" si="0"/>
        <v>pago</v>
      </c>
      <c r="M41" s="136"/>
    </row>
    <row r="42" spans="8:13" hidden="1">
      <c r="H42" s="61" t="s">
        <v>52</v>
      </c>
      <c r="I42" s="107">
        <f>INDEX(Velas!$Z:$Z,MATCH(Velas_pagamento!H42,Velas!$A:$A,0))</f>
        <v>56</v>
      </c>
      <c r="J42" s="108">
        <v>43556</v>
      </c>
      <c r="K42" s="108">
        <v>43568</v>
      </c>
      <c r="L42" s="136" t="str">
        <f t="shared" si="0"/>
        <v>pago</v>
      </c>
      <c r="M42" s="136"/>
    </row>
    <row r="43" spans="8:13" hidden="1">
      <c r="H43" s="61" t="s">
        <v>273</v>
      </c>
      <c r="I43" s="107">
        <f>INDEX(Velas!$Z:$Z,MATCH(Velas_pagamento!H43,Velas!$A:$A,0))</f>
        <v>84</v>
      </c>
      <c r="J43" s="108">
        <v>43556</v>
      </c>
      <c r="K43" s="108">
        <v>43554</v>
      </c>
      <c r="L43" s="136" t="str">
        <f t="shared" si="0"/>
        <v>pago</v>
      </c>
      <c r="M43" s="136"/>
    </row>
    <row r="44" spans="8:13" hidden="1">
      <c r="H44" s="61" t="s">
        <v>268</v>
      </c>
      <c r="I44" s="107">
        <f>INDEX(Velas!$Z:$Z,MATCH(Velas_pagamento!H44,Velas!$A:$A,0))</f>
        <v>14</v>
      </c>
      <c r="J44" s="108">
        <v>43556</v>
      </c>
      <c r="K44" s="108">
        <v>43554</v>
      </c>
      <c r="L44" s="136" t="str">
        <f t="shared" si="0"/>
        <v>pago</v>
      </c>
      <c r="M44" s="136"/>
    </row>
    <row r="45" spans="8:13" hidden="1">
      <c r="H45" s="61" t="s">
        <v>30</v>
      </c>
      <c r="I45" s="107">
        <f>INDEX(Velas!$Z:$Z,MATCH(Velas_pagamento!H45,Velas!$A:$A,0))</f>
        <v>42</v>
      </c>
      <c r="J45" s="108">
        <v>43556</v>
      </c>
      <c r="K45" s="108">
        <v>43554</v>
      </c>
      <c r="L45" s="136" t="str">
        <f t="shared" si="0"/>
        <v>pago</v>
      </c>
      <c r="M45" s="136"/>
    </row>
    <row r="46" spans="8:13" hidden="1">
      <c r="H46" s="61" t="s">
        <v>31</v>
      </c>
      <c r="I46" s="107">
        <f>INDEX(Velas!$Z:$Z,MATCH(Velas_pagamento!H46,Velas!$A:$A,0))</f>
        <v>56</v>
      </c>
      <c r="J46" s="108">
        <v>43556</v>
      </c>
      <c r="K46" s="108">
        <v>43554</v>
      </c>
      <c r="L46" s="136" t="str">
        <f t="shared" si="0"/>
        <v>pago</v>
      </c>
      <c r="M46" s="136"/>
    </row>
    <row r="47" spans="8:13" hidden="1">
      <c r="H47" s="61" t="s">
        <v>266</v>
      </c>
      <c r="I47" s="107">
        <f>INDEX(Velas!$Z:$Z,MATCH(Velas_pagamento!H47,Velas!$A:$A,0))</f>
        <v>28</v>
      </c>
      <c r="J47" s="108">
        <v>43556</v>
      </c>
      <c r="K47" s="108">
        <v>43568</v>
      </c>
      <c r="L47" s="136" t="str">
        <f t="shared" si="0"/>
        <v>pago</v>
      </c>
      <c r="M47" s="136">
        <f>SUM(56-30)</f>
        <v>26</v>
      </c>
    </row>
    <row r="48" spans="8:13" hidden="1">
      <c r="H48" s="61" t="s">
        <v>104</v>
      </c>
      <c r="I48" s="107">
        <f>INDEX(Velas!$Z:$Z,MATCH(Velas_pagamento!H48,Velas!$A:$A,0))</f>
        <v>98</v>
      </c>
      <c r="J48" s="108">
        <v>43556</v>
      </c>
      <c r="L48" s="136" t="str">
        <f t="shared" si="0"/>
        <v/>
      </c>
      <c r="M48" s="136"/>
    </row>
    <row r="49" spans="8:17" hidden="1">
      <c r="H49" s="61" t="s">
        <v>39</v>
      </c>
      <c r="I49" s="107">
        <v>56</v>
      </c>
      <c r="J49" s="108">
        <v>43556</v>
      </c>
      <c r="K49" s="108">
        <v>43540</v>
      </c>
      <c r="L49" s="136" t="str">
        <f t="shared" si="0"/>
        <v>pago</v>
      </c>
      <c r="M49" s="136"/>
      <c r="N49" s="136"/>
      <c r="O49" s="136"/>
      <c r="P49" s="136"/>
      <c r="Q49" s="136"/>
    </row>
    <row r="50" spans="8:17" hidden="1">
      <c r="H50" s="61" t="s">
        <v>275</v>
      </c>
      <c r="I50" s="107">
        <v>56</v>
      </c>
      <c r="J50" s="108">
        <v>43556</v>
      </c>
      <c r="K50" s="108">
        <v>43540</v>
      </c>
      <c r="L50" s="136" t="str">
        <f t="shared" si="0"/>
        <v>pago</v>
      </c>
      <c r="M50" s="136"/>
      <c r="N50" s="136"/>
      <c r="O50" s="136"/>
      <c r="P50" s="136"/>
      <c r="Q50" s="136"/>
    </row>
    <row r="51" spans="8:17" hidden="1">
      <c r="H51" s="61" t="s">
        <v>277</v>
      </c>
      <c r="I51" s="107">
        <f>INDEX(Velas!$Z:$Z,MATCH(Velas_pagamento!H51,Velas!$A:$A,0))</f>
        <v>14</v>
      </c>
      <c r="J51" s="108">
        <v>43556</v>
      </c>
      <c r="K51" s="108">
        <v>43540</v>
      </c>
      <c r="L51" s="136" t="str">
        <f t="shared" si="0"/>
        <v>pago</v>
      </c>
      <c r="M51" s="136"/>
      <c r="N51" s="136"/>
      <c r="O51" s="136"/>
      <c r="P51" s="136"/>
      <c r="Q51" s="136"/>
    </row>
    <row r="52" spans="8:17">
      <c r="H52" s="61" t="s">
        <v>50</v>
      </c>
      <c r="J52" s="108">
        <v>43586</v>
      </c>
      <c r="K52" s="108">
        <v>43592</v>
      </c>
      <c r="L52" s="136"/>
      <c r="M52" s="136"/>
      <c r="N52" s="136"/>
      <c r="O52" s="136"/>
      <c r="P52" s="136"/>
      <c r="Q52" s="136"/>
    </row>
    <row r="53" spans="8:17">
      <c r="H53" s="61" t="s">
        <v>274</v>
      </c>
      <c r="J53" s="108">
        <v>43586</v>
      </c>
      <c r="K53" s="108">
        <v>43592</v>
      </c>
      <c r="L53" s="136"/>
      <c r="M53" s="136"/>
      <c r="N53" s="136"/>
      <c r="O53" s="136"/>
      <c r="P53" s="136"/>
      <c r="Q53" s="136"/>
    </row>
    <row r="54" spans="8:17">
      <c r="H54" s="61" t="s">
        <v>32</v>
      </c>
      <c r="J54" s="108">
        <v>43586</v>
      </c>
      <c r="K54" s="108">
        <v>43585</v>
      </c>
      <c r="L54" s="136" t="s">
        <v>178</v>
      </c>
      <c r="M54" s="136"/>
      <c r="N54" s="136"/>
      <c r="O54" s="136"/>
      <c r="P54" s="136"/>
      <c r="Q54" s="136"/>
    </row>
    <row r="55" spans="8:17">
      <c r="H55" s="61" t="s">
        <v>192</v>
      </c>
      <c r="J55" s="108">
        <v>43586</v>
      </c>
      <c r="K55" s="108">
        <v>43591</v>
      </c>
      <c r="L55" s="136" t="s">
        <v>178</v>
      </c>
      <c r="M55" s="136"/>
      <c r="N55" s="136"/>
      <c r="O55" s="136"/>
      <c r="P55" s="136"/>
      <c r="Q55" s="136"/>
    </row>
    <row r="56" spans="8:17">
      <c r="H56" s="61" t="s">
        <v>51</v>
      </c>
      <c r="J56" s="108">
        <v>43586</v>
      </c>
      <c r="L56" s="136"/>
      <c r="M56" s="136"/>
      <c r="N56" s="136"/>
      <c r="O56" s="136"/>
      <c r="P56" s="136"/>
      <c r="Q56" s="136"/>
    </row>
    <row r="57" spans="8:17">
      <c r="H57" s="61" t="s">
        <v>25</v>
      </c>
      <c r="J57" s="108">
        <v>43586</v>
      </c>
      <c r="L57" s="136"/>
      <c r="M57" s="136"/>
      <c r="N57" s="136"/>
      <c r="O57" s="136"/>
      <c r="P57" s="136"/>
      <c r="Q57" s="136"/>
    </row>
    <row r="58" spans="8:17">
      <c r="H58" s="61" t="s">
        <v>34</v>
      </c>
      <c r="J58" s="108">
        <v>43586</v>
      </c>
      <c r="L58" s="136"/>
      <c r="M58" s="136"/>
      <c r="N58" s="136"/>
      <c r="O58" s="136"/>
      <c r="P58" s="136"/>
      <c r="Q58" s="136"/>
    </row>
    <row r="59" spans="8:17">
      <c r="H59" s="61" t="s">
        <v>272</v>
      </c>
      <c r="J59" s="108">
        <v>43586</v>
      </c>
      <c r="K59" s="108">
        <v>43592</v>
      </c>
      <c r="L59" s="136" t="s">
        <v>178</v>
      </c>
      <c r="M59" s="136"/>
      <c r="N59" s="136"/>
      <c r="O59" s="136"/>
      <c r="P59" s="136"/>
      <c r="Q59" s="136"/>
    </row>
    <row r="60" spans="8:17">
      <c r="H60" s="61" t="s">
        <v>20</v>
      </c>
      <c r="J60" s="108">
        <v>43586</v>
      </c>
      <c r="K60" s="108">
        <v>43592</v>
      </c>
      <c r="L60" s="136" t="s">
        <v>178</v>
      </c>
      <c r="M60" s="136"/>
      <c r="N60" s="136"/>
      <c r="O60" s="136"/>
      <c r="P60" s="136"/>
      <c r="Q60" s="136"/>
    </row>
    <row r="61" spans="8:17">
      <c r="H61" s="61" t="s">
        <v>23</v>
      </c>
      <c r="J61" s="108">
        <v>43586</v>
      </c>
      <c r="K61" s="108">
        <v>43592</v>
      </c>
      <c r="L61" s="136" t="s">
        <v>178</v>
      </c>
      <c r="M61" s="136"/>
      <c r="N61" s="136"/>
      <c r="O61" s="136"/>
      <c r="P61" s="136"/>
      <c r="Q61" s="136"/>
    </row>
    <row r="62" spans="8:17">
      <c r="H62" s="61" t="s">
        <v>126</v>
      </c>
      <c r="J62" s="108">
        <v>43586</v>
      </c>
      <c r="K62" s="108">
        <v>43592</v>
      </c>
      <c r="L62" s="136" t="s">
        <v>178</v>
      </c>
      <c r="M62" s="136"/>
      <c r="N62" s="136"/>
      <c r="O62" s="136"/>
      <c r="P62" s="136"/>
      <c r="Q62" s="136"/>
    </row>
    <row r="63" spans="8:17">
      <c r="H63" s="61" t="s">
        <v>52</v>
      </c>
      <c r="J63" s="108">
        <v>43586</v>
      </c>
      <c r="K63" s="108">
        <v>43594</v>
      </c>
      <c r="L63" s="136"/>
      <c r="M63" s="136"/>
      <c r="N63" s="136"/>
      <c r="O63" s="136"/>
      <c r="P63" s="136"/>
      <c r="Q63" s="136"/>
    </row>
    <row r="64" spans="8:17" hidden="1">
      <c r="H64" s="61" t="s">
        <v>273</v>
      </c>
      <c r="J64" s="108"/>
      <c r="L64" s="136"/>
      <c r="M64" s="136" t="s">
        <v>296</v>
      </c>
      <c r="N64" s="136"/>
      <c r="O64" s="136"/>
      <c r="P64" s="136"/>
      <c r="Q64" s="136">
        <v>84</v>
      </c>
    </row>
    <row r="65" spans="8:17" hidden="1">
      <c r="H65" s="61" t="s">
        <v>268</v>
      </c>
      <c r="L65" s="136"/>
      <c r="M65" s="136" t="s">
        <v>296</v>
      </c>
      <c r="N65" s="136"/>
      <c r="O65" s="136"/>
      <c r="P65" s="136"/>
      <c r="Q65" s="136">
        <v>14</v>
      </c>
    </row>
    <row r="66" spans="8:17">
      <c r="H66" s="61" t="s">
        <v>30</v>
      </c>
      <c r="J66" s="108">
        <v>43586</v>
      </c>
      <c r="L66" s="136"/>
      <c r="M66" s="136"/>
      <c r="N66" s="136"/>
      <c r="O66" s="136"/>
      <c r="P66" s="136"/>
      <c r="Q66" s="136"/>
    </row>
    <row r="67" spans="8:17">
      <c r="H67" s="61" t="s">
        <v>31</v>
      </c>
      <c r="J67" s="108">
        <v>43586</v>
      </c>
      <c r="K67" s="108">
        <v>43587</v>
      </c>
      <c r="L67" s="136" t="s">
        <v>178</v>
      </c>
      <c r="M67" s="136"/>
      <c r="N67" s="136"/>
      <c r="O67" s="136"/>
      <c r="P67" s="136"/>
      <c r="Q67" s="136"/>
    </row>
    <row r="68" spans="8:17">
      <c r="H68" s="61" t="s">
        <v>266</v>
      </c>
      <c r="J68" s="108">
        <v>43586</v>
      </c>
      <c r="L68" s="136"/>
      <c r="M68" s="136"/>
      <c r="N68" s="136"/>
      <c r="O68" s="136"/>
      <c r="P68" s="136"/>
      <c r="Q68" s="136"/>
    </row>
    <row r="69" spans="8:17">
      <c r="H69" s="61" t="s">
        <v>104</v>
      </c>
      <c r="J69" s="108">
        <v>43586</v>
      </c>
      <c r="L69" s="136"/>
      <c r="M69" s="136"/>
      <c r="N69" s="136"/>
      <c r="O69" s="136"/>
      <c r="P69" s="136"/>
      <c r="Q69" s="136"/>
    </row>
    <row r="70" spans="8:17">
      <c r="H70" s="61" t="s">
        <v>39</v>
      </c>
      <c r="J70" s="108">
        <v>43586</v>
      </c>
      <c r="K70" s="108">
        <v>43594</v>
      </c>
      <c r="L70" s="136"/>
      <c r="M70" s="136"/>
      <c r="N70" s="136"/>
      <c r="O70" s="136"/>
      <c r="P70" s="136"/>
      <c r="Q70" s="136"/>
    </row>
    <row r="71" spans="8:17">
      <c r="H71" s="61" t="s">
        <v>275</v>
      </c>
      <c r="J71" s="108">
        <v>43586</v>
      </c>
      <c r="K71" s="108">
        <v>43594</v>
      </c>
      <c r="L71" s="136"/>
      <c r="M71" s="136"/>
      <c r="N71" s="136"/>
      <c r="O71" s="136"/>
      <c r="P71" s="136"/>
      <c r="Q71" s="136"/>
    </row>
    <row r="72" spans="8:17" hidden="1">
      <c r="H72" s="61" t="s">
        <v>277</v>
      </c>
      <c r="L72" s="136"/>
      <c r="M72" s="136"/>
      <c r="N72" s="136"/>
      <c r="O72" s="136"/>
      <c r="P72" s="136"/>
      <c r="Q72" s="136"/>
    </row>
    <row r="73" spans="8:17">
      <c r="H73" s="61" t="s">
        <v>45</v>
      </c>
      <c r="J73" s="108">
        <v>43586</v>
      </c>
      <c r="L73" s="136"/>
      <c r="M73" s="136"/>
      <c r="N73" s="136"/>
      <c r="O73" s="136"/>
      <c r="P73" s="136"/>
      <c r="Q73" s="136"/>
    </row>
    <row r="74" spans="8:17">
      <c r="H74" s="61" t="s">
        <v>50</v>
      </c>
      <c r="J74" s="108">
        <v>43617</v>
      </c>
      <c r="L74" s="136"/>
      <c r="M74" s="136"/>
      <c r="N74" s="136"/>
      <c r="O74" s="136"/>
      <c r="P74" s="136"/>
      <c r="Q74" s="136"/>
    </row>
    <row r="75" spans="8:17">
      <c r="H75" s="61" t="s">
        <v>274</v>
      </c>
      <c r="J75" s="108">
        <v>43617</v>
      </c>
      <c r="L75" s="136"/>
      <c r="M75" s="136"/>
      <c r="N75" s="136"/>
      <c r="O75" s="136"/>
      <c r="P75" s="136"/>
      <c r="Q75" s="136"/>
    </row>
    <row r="76" spans="8:17">
      <c r="H76" s="61" t="s">
        <v>32</v>
      </c>
      <c r="J76" s="108">
        <v>43617</v>
      </c>
      <c r="L76" s="136"/>
      <c r="M76" s="136"/>
      <c r="N76" s="136"/>
      <c r="O76" s="136"/>
      <c r="P76" s="136"/>
      <c r="Q76" s="136"/>
    </row>
    <row r="77" spans="8:17">
      <c r="H77" s="61" t="s">
        <v>192</v>
      </c>
      <c r="J77" s="108">
        <v>43617</v>
      </c>
      <c r="L77" s="136"/>
      <c r="M77" s="136"/>
      <c r="N77" s="136"/>
      <c r="O77" s="136"/>
      <c r="P77" s="136"/>
      <c r="Q77" s="136"/>
    </row>
    <row r="78" spans="8:17">
      <c r="H78" s="61" t="s">
        <v>51</v>
      </c>
      <c r="J78" s="108">
        <v>43617</v>
      </c>
      <c r="L78" s="136"/>
      <c r="M78" s="136"/>
      <c r="N78" s="136"/>
      <c r="O78" s="136"/>
      <c r="P78" s="136"/>
      <c r="Q78" s="136"/>
    </row>
    <row r="79" spans="8:17">
      <c r="H79" s="61" t="s">
        <v>25</v>
      </c>
      <c r="J79" s="108">
        <v>43617</v>
      </c>
      <c r="L79" s="136"/>
      <c r="M79" s="136"/>
      <c r="N79" s="136"/>
      <c r="O79" s="136"/>
      <c r="P79" s="136"/>
      <c r="Q79" s="136"/>
    </row>
    <row r="80" spans="8:17">
      <c r="H80" s="61" t="s">
        <v>34</v>
      </c>
      <c r="J80" s="108">
        <v>43617</v>
      </c>
      <c r="L80" s="136"/>
      <c r="M80" s="136"/>
      <c r="N80" s="136"/>
      <c r="O80" s="136"/>
      <c r="P80" s="136"/>
      <c r="Q80" s="136"/>
    </row>
    <row r="81" spans="8:10">
      <c r="H81" s="61" t="s">
        <v>272</v>
      </c>
      <c r="J81" s="108">
        <v>43617</v>
      </c>
    </row>
    <row r="82" spans="8:10">
      <c r="H82" s="61" t="s">
        <v>20</v>
      </c>
      <c r="J82" s="108">
        <v>43617</v>
      </c>
    </row>
    <row r="83" spans="8:10">
      <c r="H83" s="61" t="s">
        <v>23</v>
      </c>
      <c r="J83" s="108">
        <v>43617</v>
      </c>
    </row>
    <row r="84" spans="8:10">
      <c r="H84" s="61" t="s">
        <v>126</v>
      </c>
      <c r="J84" s="108">
        <v>43617</v>
      </c>
    </row>
    <row r="85" spans="8:10">
      <c r="H85" s="61" t="s">
        <v>52</v>
      </c>
      <c r="J85" s="108">
        <v>43617</v>
      </c>
    </row>
    <row r="86" spans="8:10">
      <c r="H86" s="61" t="s">
        <v>30</v>
      </c>
      <c r="J86" s="108">
        <v>43617</v>
      </c>
    </row>
    <row r="87" spans="8:10">
      <c r="H87" s="61" t="s">
        <v>31</v>
      </c>
      <c r="J87" s="108">
        <v>43617</v>
      </c>
    </row>
    <row r="88" spans="8:10">
      <c r="H88" s="61" t="s">
        <v>266</v>
      </c>
      <c r="J88" s="108">
        <v>43617</v>
      </c>
    </row>
    <row r="89" spans="8:10">
      <c r="H89" s="61" t="s">
        <v>104</v>
      </c>
      <c r="J89" s="108">
        <v>43617</v>
      </c>
    </row>
    <row r="90" spans="8:10">
      <c r="H90" s="61" t="s">
        <v>39</v>
      </c>
      <c r="J90" s="108">
        <v>43617</v>
      </c>
    </row>
    <row r="91" spans="8:10">
      <c r="H91" s="61" t="s">
        <v>275</v>
      </c>
      <c r="J91" s="108">
        <v>43617</v>
      </c>
    </row>
    <row r="92" spans="8:10">
      <c r="H92" s="61" t="s">
        <v>45</v>
      </c>
      <c r="J92" s="108">
        <v>43617</v>
      </c>
    </row>
    <row r="93" spans="8:10">
      <c r="H93" s="61" t="s">
        <v>67</v>
      </c>
      <c r="J93" s="108">
        <v>43617</v>
      </c>
    </row>
    <row r="94" spans="8:10">
      <c r="H94" s="61" t="s">
        <v>270</v>
      </c>
      <c r="J94" s="108">
        <v>43617</v>
      </c>
    </row>
    <row r="95" spans="8:10">
      <c r="H95" s="61" t="s">
        <v>192</v>
      </c>
      <c r="J95" s="108">
        <v>43647</v>
      </c>
    </row>
    <row r="96" spans="8:10">
      <c r="H96" s="61" t="s">
        <v>34</v>
      </c>
      <c r="J96" s="108">
        <v>43647</v>
      </c>
    </row>
    <row r="97" spans="8:10">
      <c r="H97" s="61" t="s">
        <v>31</v>
      </c>
      <c r="J97" s="108">
        <v>43647</v>
      </c>
    </row>
    <row r="98" spans="8:10">
      <c r="H98" s="61" t="s">
        <v>37</v>
      </c>
      <c r="J98" s="108">
        <v>43647</v>
      </c>
    </row>
    <row r="99" spans="8:10">
      <c r="H99" s="61" t="s">
        <v>38</v>
      </c>
      <c r="J99" s="108">
        <v>43647</v>
      </c>
    </row>
    <row r="100" spans="8:10">
      <c r="H100" s="61" t="s">
        <v>104</v>
      </c>
      <c r="J100" s="108">
        <v>43647</v>
      </c>
    </row>
    <row r="101" spans="8:10">
      <c r="H101" s="61" t="s">
        <v>266</v>
      </c>
      <c r="J101" s="108">
        <v>43647</v>
      </c>
    </row>
    <row r="102" spans="8:10">
      <c r="H102" s="61" t="s">
        <v>20</v>
      </c>
      <c r="J102" s="108">
        <v>43647</v>
      </c>
    </row>
    <row r="103" spans="8:10">
      <c r="H103" s="61" t="s">
        <v>23</v>
      </c>
      <c r="J103" s="108">
        <v>43647</v>
      </c>
    </row>
    <row r="104" spans="8:10">
      <c r="H104" s="61" t="s">
        <v>52</v>
      </c>
      <c r="J104" s="108">
        <v>43647</v>
      </c>
    </row>
    <row r="105" spans="8:10">
      <c r="H105" s="61" t="s">
        <v>272</v>
      </c>
      <c r="J105" s="108">
        <v>43647</v>
      </c>
    </row>
    <row r="106" spans="8:10">
      <c r="H106" s="61" t="s">
        <v>50</v>
      </c>
      <c r="J106" s="108">
        <v>43647</v>
      </c>
    </row>
    <row r="107" spans="8:10">
      <c r="H107" s="61" t="s">
        <v>274</v>
      </c>
      <c r="J107" s="108">
        <v>43647</v>
      </c>
    </row>
    <row r="108" spans="8:10">
      <c r="H108" s="61" t="s">
        <v>32</v>
      </c>
      <c r="J108" s="108">
        <v>43647</v>
      </c>
    </row>
    <row r="109" spans="8:10">
      <c r="H109" s="61" t="s">
        <v>45</v>
      </c>
      <c r="J109" s="108">
        <v>43647</v>
      </c>
    </row>
    <row r="110" spans="8:10">
      <c r="H110" s="61" t="s">
        <v>32</v>
      </c>
      <c r="J110" s="108">
        <v>43709</v>
      </c>
    </row>
    <row r="111" spans="8:10">
      <c r="H111" s="61" t="s">
        <v>52</v>
      </c>
      <c r="J111" s="108">
        <v>43709</v>
      </c>
    </row>
    <row r="112" spans="8:10">
      <c r="H112" s="61" t="s">
        <v>20</v>
      </c>
      <c r="J112" s="108">
        <v>43709</v>
      </c>
    </row>
    <row r="113" spans="8:10">
      <c r="H113" s="61" t="s">
        <v>192</v>
      </c>
      <c r="J113" s="108">
        <v>43709</v>
      </c>
    </row>
    <row r="114" spans="8:10">
      <c r="H114" s="61" t="s">
        <v>104</v>
      </c>
      <c r="J114" s="108">
        <v>43709</v>
      </c>
    </row>
    <row r="115" spans="8:10">
      <c r="H115" s="61" t="s">
        <v>270</v>
      </c>
      <c r="J115" s="108">
        <v>43709</v>
      </c>
    </row>
    <row r="116" spans="8:10">
      <c r="H116" s="61" t="s">
        <v>266</v>
      </c>
      <c r="J116" s="108">
        <v>43709</v>
      </c>
    </row>
    <row r="117" spans="8:10">
      <c r="H117" s="61" t="s">
        <v>37</v>
      </c>
      <c r="J117" s="108">
        <v>43709</v>
      </c>
    </row>
    <row r="118" spans="8:10">
      <c r="H118" s="61" t="s">
        <v>38</v>
      </c>
      <c r="J118" s="108">
        <v>43709</v>
      </c>
    </row>
  </sheetData>
  <autoFilter ref="H9:K73">
    <filterColumn colId="2">
      <filters>
        <dateGroupItem year="2019" month="5" dateTimeGrouping="month"/>
      </filters>
    </filterColumn>
  </autoFilter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5:K43"/>
  <sheetViews>
    <sheetView showGridLines="0" view="pageLayout" topLeftCell="A5" zoomScale="85" zoomScaleNormal="100" zoomScalePageLayoutView="85" workbookViewId="0">
      <selection activeCell="H10" sqref="H10"/>
    </sheetView>
  </sheetViews>
  <sheetFormatPr defaultColWidth="8" defaultRowHeight="14.25"/>
  <cols>
    <col min="1" max="1" width="7.625" style="109" customWidth="1"/>
    <col min="2" max="2" width="8" style="109" hidden="1" customWidth="1"/>
    <col min="3" max="3" width="8" style="109"/>
    <col min="4" max="4" width="3.5" style="109" customWidth="1"/>
    <col min="5" max="5" width="1.875" style="109" customWidth="1"/>
    <col min="6" max="6" width="3.125" style="109" customWidth="1"/>
    <col min="7" max="7" width="3.125" style="109" bestFit="1" customWidth="1"/>
    <col min="8" max="8" width="34.75" style="109" customWidth="1"/>
    <col min="9" max="9" width="10.25" style="109" bestFit="1" customWidth="1"/>
    <col min="10" max="10" width="10.625" style="109" customWidth="1"/>
    <col min="11" max="16384" width="8" style="109"/>
  </cols>
  <sheetData>
    <row r="5" spans="1:11" ht="26.25">
      <c r="A5" s="120"/>
      <c r="B5" s="120"/>
      <c r="C5" s="120"/>
      <c r="D5" s="120"/>
      <c r="E5" s="120"/>
      <c r="F5" s="120"/>
      <c r="G5" s="120"/>
      <c r="H5" s="155">
        <v>43709</v>
      </c>
      <c r="I5" s="155"/>
      <c r="J5" s="120"/>
      <c r="K5" s="120"/>
    </row>
    <row r="8" spans="1:11" ht="15">
      <c r="A8" s="120"/>
      <c r="B8" s="120"/>
      <c r="C8" s="120"/>
      <c r="D8" s="120"/>
      <c r="E8" s="120"/>
      <c r="F8" s="120"/>
      <c r="G8" s="120"/>
      <c r="H8" s="110" t="s">
        <v>293</v>
      </c>
      <c r="I8" s="110" t="s">
        <v>290</v>
      </c>
      <c r="J8" s="110" t="s">
        <v>285</v>
      </c>
      <c r="K8" s="120"/>
    </row>
    <row r="9" spans="1:11">
      <c r="A9" s="156" t="s">
        <v>162</v>
      </c>
      <c r="B9" s="156"/>
      <c r="C9" s="156"/>
      <c r="D9" s="120"/>
      <c r="E9" s="120"/>
      <c r="F9" s="120"/>
      <c r="G9" s="120"/>
      <c r="H9" s="120"/>
      <c r="I9" s="120"/>
      <c r="J9" s="144"/>
      <c r="K9" s="145"/>
    </row>
    <row r="10" spans="1:11">
      <c r="A10" s="157">
        <v>505.2</v>
      </c>
      <c r="B10" s="156"/>
      <c r="C10" s="156"/>
      <c r="D10" s="120"/>
      <c r="E10" s="120"/>
      <c r="F10" s="120"/>
      <c r="G10" s="120"/>
      <c r="H10" s="146" t="s">
        <v>266</v>
      </c>
      <c r="I10" s="147">
        <v>23.2</v>
      </c>
      <c r="J10" s="148">
        <v>43709</v>
      </c>
      <c r="K10" s="145"/>
    </row>
    <row r="11" spans="1:11" ht="15">
      <c r="A11" s="120"/>
      <c r="B11" s="120"/>
      <c r="C11" s="111"/>
      <c r="D11" s="120"/>
      <c r="E11" s="120"/>
      <c r="F11" s="120"/>
      <c r="G11" s="120"/>
      <c r="H11" s="146" t="s">
        <v>270</v>
      </c>
      <c r="I11" s="147">
        <v>34.799999999999997</v>
      </c>
      <c r="J11" s="148">
        <v>43709</v>
      </c>
      <c r="K11" s="120"/>
    </row>
    <row r="12" spans="1:11">
      <c r="A12" s="156"/>
      <c r="B12" s="156"/>
      <c r="C12" s="156"/>
      <c r="D12" s="120"/>
      <c r="E12" s="120"/>
      <c r="F12" s="120"/>
      <c r="G12" s="120"/>
      <c r="H12" s="146" t="s">
        <v>37</v>
      </c>
      <c r="I12" s="147">
        <v>46.4</v>
      </c>
      <c r="J12" s="148">
        <v>43709</v>
      </c>
      <c r="K12" s="120"/>
    </row>
    <row r="13" spans="1:11">
      <c r="A13" s="156"/>
      <c r="B13" s="156"/>
      <c r="C13" s="156"/>
      <c r="D13" s="120"/>
      <c r="E13" s="120"/>
      <c r="F13" s="120"/>
      <c r="G13" s="120"/>
      <c r="H13" s="146" t="s">
        <v>52</v>
      </c>
      <c r="I13" s="147">
        <v>46.4</v>
      </c>
      <c r="J13" s="148">
        <v>43709</v>
      </c>
      <c r="K13" s="120"/>
    </row>
    <row r="14" spans="1:11">
      <c r="A14" s="120"/>
      <c r="B14" s="120"/>
      <c r="C14" s="120"/>
      <c r="D14" s="120"/>
      <c r="E14" s="144"/>
      <c r="F14" s="120"/>
      <c r="G14" s="120"/>
      <c r="H14" s="146" t="s">
        <v>38</v>
      </c>
      <c r="I14" s="147">
        <v>34.799999999999997</v>
      </c>
      <c r="J14" s="148">
        <v>43709</v>
      </c>
      <c r="K14" s="120"/>
    </row>
    <row r="15" spans="1:11">
      <c r="A15" s="120"/>
      <c r="B15" s="120"/>
      <c r="C15" s="120"/>
      <c r="D15" s="120"/>
      <c r="E15" s="120"/>
      <c r="F15" s="120"/>
      <c r="G15" s="120"/>
      <c r="H15" s="146" t="s">
        <v>32</v>
      </c>
      <c r="I15" s="147">
        <v>58</v>
      </c>
      <c r="J15" s="148">
        <v>43709</v>
      </c>
      <c r="K15" s="120"/>
    </row>
    <row r="16" spans="1:11">
      <c r="A16" s="120"/>
      <c r="B16" s="120"/>
      <c r="C16" s="120"/>
      <c r="D16" s="120"/>
      <c r="E16" s="120"/>
      <c r="F16" s="120"/>
      <c r="G16" s="120"/>
      <c r="H16" s="146" t="s">
        <v>20</v>
      </c>
      <c r="I16" s="147">
        <v>58</v>
      </c>
      <c r="J16" s="148">
        <v>43709</v>
      </c>
      <c r="K16" s="120"/>
    </row>
    <row r="17" spans="7:10">
      <c r="G17" s="120"/>
      <c r="H17" s="146" t="s">
        <v>192</v>
      </c>
      <c r="I17" s="147">
        <v>134</v>
      </c>
      <c r="J17" s="148">
        <v>43709</v>
      </c>
    </row>
    <row r="18" spans="7:10">
      <c r="G18" s="120"/>
      <c r="H18" s="146" t="s">
        <v>104</v>
      </c>
      <c r="I18" s="147">
        <v>69.599999999999994</v>
      </c>
      <c r="J18" s="148">
        <v>43709</v>
      </c>
    </row>
    <row r="19" spans="7:10">
      <c r="G19" s="120"/>
      <c r="H19" s="146"/>
      <c r="I19" s="147"/>
      <c r="J19" s="148"/>
    </row>
    <row r="20" spans="7:10">
      <c r="G20" s="120"/>
      <c r="H20" s="146"/>
      <c r="I20" s="147"/>
      <c r="J20" s="148"/>
    </row>
    <row r="21" spans="7:10">
      <c r="G21" s="120"/>
      <c r="H21" s="146"/>
      <c r="I21" s="147"/>
      <c r="J21" s="148"/>
    </row>
    <row r="22" spans="7:10">
      <c r="G22" s="120"/>
      <c r="H22" s="146"/>
      <c r="I22" s="147"/>
      <c r="J22" s="148"/>
    </row>
    <row r="23" spans="7:10">
      <c r="G23" s="120"/>
      <c r="H23" s="146"/>
      <c r="I23" s="147"/>
      <c r="J23" s="148"/>
    </row>
    <row r="24" spans="7:10">
      <c r="G24" s="120"/>
      <c r="H24" s="146"/>
      <c r="I24" s="147"/>
      <c r="J24" s="148"/>
    </row>
    <row r="25" spans="7:10">
      <c r="G25" s="120"/>
      <c r="H25" s="146"/>
      <c r="I25" s="147"/>
      <c r="J25" s="148"/>
    </row>
    <row r="26" spans="7:10">
      <c r="G26" s="120"/>
      <c r="H26" s="146"/>
      <c r="I26" s="147"/>
      <c r="J26" s="148"/>
    </row>
    <row r="27" spans="7:10">
      <c r="G27" s="120"/>
      <c r="H27" s="146"/>
      <c r="I27" s="147"/>
      <c r="J27" s="148"/>
    </row>
    <row r="28" spans="7:10">
      <c r="G28" s="120"/>
      <c r="H28" s="146"/>
      <c r="I28" s="147"/>
      <c r="J28" s="148"/>
    </row>
    <row r="29" spans="7:10">
      <c r="G29" s="120"/>
      <c r="H29" s="146"/>
      <c r="I29" s="147"/>
      <c r="J29" s="148"/>
    </row>
    <row r="30" spans="7:10">
      <c r="G30" s="120"/>
      <c r="H30" s="146"/>
      <c r="I30" s="147"/>
      <c r="J30" s="148"/>
    </row>
    <row r="31" spans="7:10">
      <c r="G31" s="120"/>
      <c r="H31" s="146"/>
      <c r="I31" s="147"/>
      <c r="J31" s="148"/>
    </row>
    <row r="32" spans="7:10">
      <c r="G32" s="120"/>
      <c r="H32" s="146"/>
      <c r="I32" s="146"/>
      <c r="J32" s="147"/>
    </row>
    <row r="33" spans="8:10">
      <c r="H33" s="146"/>
      <c r="I33" s="146"/>
      <c r="J33" s="147"/>
    </row>
    <row r="34" spans="8:10">
      <c r="H34" s="146"/>
      <c r="I34" s="146"/>
      <c r="J34" s="147"/>
    </row>
    <row r="35" spans="8:10">
      <c r="H35" s="146"/>
      <c r="I35" s="146"/>
      <c r="J35" s="147"/>
    </row>
    <row r="36" spans="8:10">
      <c r="H36" s="146"/>
      <c r="I36" s="146"/>
      <c r="J36" s="147"/>
    </row>
    <row r="37" spans="8:10">
      <c r="H37" s="146"/>
      <c r="I37" s="146"/>
      <c r="J37" s="147"/>
    </row>
    <row r="38" spans="8:10">
      <c r="H38" s="146"/>
      <c r="I38" s="146"/>
      <c r="J38" s="147"/>
    </row>
    <row r="39" spans="8:10">
      <c r="H39" s="146"/>
      <c r="I39" s="146"/>
      <c r="J39" s="147"/>
    </row>
    <row r="40" spans="8:10">
      <c r="H40" s="146"/>
      <c r="I40" s="146"/>
      <c r="J40" s="147"/>
    </row>
    <row r="41" spans="8:10">
      <c r="H41" s="146"/>
      <c r="I41" s="146"/>
      <c r="J41" s="147"/>
    </row>
    <row r="42" spans="8:10">
      <c r="H42" s="146"/>
      <c r="I42" s="146"/>
      <c r="J42" s="147"/>
    </row>
    <row r="43" spans="8:10">
      <c r="H43" s="146"/>
      <c r="I43" s="146"/>
      <c r="J43" s="147"/>
    </row>
  </sheetData>
  <mergeCells count="5">
    <mergeCell ref="H5:I5"/>
    <mergeCell ref="A9:C9"/>
    <mergeCell ref="A10:C10"/>
    <mergeCell ref="A12:C12"/>
    <mergeCell ref="A13:C13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headerFooter>
    <oddHeader xml:space="preserve">&amp;CTEMPLO TRABALHADORES DE IANSÃ, OGUM E PAI JOSÉ DAS ALMAS
</oddHead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 filterMode="1"/>
  <dimension ref="A1:J47"/>
  <sheetViews>
    <sheetView showGridLines="0" view="pageLayout" topLeftCell="A4" zoomScaleNormal="100" workbookViewId="0">
      <selection activeCell="E14" sqref="E14:F14"/>
    </sheetView>
  </sheetViews>
  <sheetFormatPr defaultRowHeight="14.25"/>
  <cols>
    <col min="7" max="7" width="5.5" customWidth="1"/>
    <col min="10" max="10" width="4.875" customWidth="1"/>
  </cols>
  <sheetData>
    <row r="1" spans="1:10">
      <c r="A1" s="136"/>
      <c r="B1" s="136"/>
      <c r="C1" s="136"/>
      <c r="D1" s="136"/>
      <c r="E1" s="136"/>
      <c r="F1" s="136"/>
      <c r="G1" s="136"/>
      <c r="H1" s="136"/>
      <c r="I1" s="93" t="s">
        <v>279</v>
      </c>
      <c r="J1" s="136"/>
    </row>
    <row r="2" spans="1:10" ht="15">
      <c r="A2" s="136"/>
      <c r="B2" s="136"/>
      <c r="C2" s="136"/>
      <c r="D2" s="136"/>
      <c r="E2" s="136"/>
      <c r="F2" s="136"/>
      <c r="G2" s="136"/>
      <c r="H2" s="153" t="s">
        <v>297</v>
      </c>
      <c r="I2" s="153"/>
      <c r="J2" s="153"/>
    </row>
    <row r="3" spans="1:10" ht="15" thickBot="1">
      <c r="A3" s="136"/>
      <c r="B3" s="136"/>
      <c r="C3" s="136"/>
      <c r="D3" s="136"/>
      <c r="E3" s="136"/>
      <c r="F3" s="136"/>
      <c r="G3" s="136"/>
      <c r="H3" s="160">
        <f>somacusto</f>
        <v>516.79999999999995</v>
      </c>
      <c r="I3" s="160"/>
      <c r="J3" s="160"/>
    </row>
    <row r="4" spans="1:10" ht="15" thickTop="1">
      <c r="A4" s="136"/>
      <c r="B4" s="136"/>
      <c r="C4" s="136"/>
      <c r="D4" s="136"/>
      <c r="E4" s="136"/>
      <c r="F4" s="136" t="s">
        <v>298</v>
      </c>
      <c r="G4" s="136"/>
      <c r="H4" s="136"/>
      <c r="I4" s="136"/>
      <c r="J4" s="136"/>
    </row>
    <row r="12" spans="1:10" ht="15">
      <c r="A12" s="153" t="s">
        <v>299</v>
      </c>
      <c r="B12" s="153"/>
      <c r="C12" s="153"/>
      <c r="D12" s="153"/>
      <c r="E12" s="153" t="s">
        <v>288</v>
      </c>
      <c r="F12" s="153"/>
      <c r="G12" s="136"/>
      <c r="H12" s="136"/>
      <c r="I12" s="136"/>
      <c r="J12" s="136"/>
    </row>
    <row r="13" spans="1:10" ht="15">
      <c r="A13" s="84">
        <v>1</v>
      </c>
      <c r="B13" s="152" t="str">
        <f>INDEX(Velas!$C$7:$W$7,MATCH(Pedido_velas!A13,Velas!$C$6:$W$6,0))</f>
        <v>7 linhas</v>
      </c>
      <c r="C13" s="152"/>
      <c r="D13" s="136"/>
      <c r="E13" s="152">
        <f>INDEX(Velas!$C$3:$W$3,MATCH(Pedido_velas!B13,Velas!$C$7:$W$7,0))</f>
        <v>4</v>
      </c>
      <c r="F13" s="152"/>
      <c r="G13" s="136"/>
      <c r="H13" s="95"/>
      <c r="I13" s="136"/>
      <c r="J13" s="136"/>
    </row>
    <row r="14" spans="1:10" ht="15">
      <c r="A14" s="84">
        <v>2</v>
      </c>
      <c r="B14" s="152" t="str">
        <f>INDEX(Velas!$C$7:$W$7,MATCH(Pedido_velas!A14,Velas!$C$6:$W$6,0))</f>
        <v xml:space="preserve">Amarela </v>
      </c>
      <c r="C14" s="152"/>
      <c r="D14" s="136"/>
      <c r="E14" s="152">
        <f>INDEX(Velas!$C$3:$W$3,MATCH(Pedido_velas!B14,Velas!$C$7:$W$7,0))</f>
        <v>4</v>
      </c>
      <c r="F14" s="152"/>
      <c r="G14" s="136"/>
      <c r="H14" s="95"/>
      <c r="I14" s="136"/>
      <c r="J14" s="136"/>
    </row>
    <row r="15" spans="1:10" ht="15">
      <c r="A15" s="84">
        <v>3</v>
      </c>
      <c r="B15" s="152" t="str">
        <f>INDEX(Velas!$C$7:$W$7,MATCH(Pedido_velas!A15,Velas!$C$6:$W$6,0))</f>
        <v>Am. Vermelha</v>
      </c>
      <c r="C15" s="152"/>
      <c r="D15" s="136"/>
      <c r="E15" s="152">
        <f>INDEX(Velas!$C$3:$W$3,MATCH(Pedido_velas!B15,Velas!$C$7:$W$7,0))</f>
        <v>4</v>
      </c>
      <c r="F15" s="152"/>
      <c r="G15" s="136"/>
      <c r="H15" s="95"/>
      <c r="I15" s="136"/>
      <c r="J15" s="136"/>
    </row>
    <row r="16" spans="1:10" ht="15">
      <c r="A16" s="84">
        <v>4</v>
      </c>
      <c r="B16" s="152" t="str">
        <f>INDEX(Velas!$C$7:$W$7,MATCH(Pedido_velas!A16,Velas!$C$6:$W$6,0))</f>
        <v>Azul claro</v>
      </c>
      <c r="C16" s="152"/>
      <c r="D16" s="136"/>
      <c r="E16" s="152">
        <f>INDEX(Velas!$C$3:$W$3,MATCH(Pedido_velas!B16,Velas!$C$7:$W$7,0))</f>
        <v>12</v>
      </c>
      <c r="F16" s="152"/>
      <c r="G16" s="136"/>
      <c r="H16" s="95"/>
      <c r="I16" s="136"/>
      <c r="J16" s="136"/>
    </row>
    <row r="17" spans="1:8" ht="15" hidden="1">
      <c r="A17" s="84">
        <v>5</v>
      </c>
      <c r="B17" s="152" t="str">
        <f>INDEX(Velas!$C$7:$W$7,MATCH(Pedido_velas!A17,Velas!$C$6:$W$6,0))</f>
        <v>Azul e preta</v>
      </c>
      <c r="C17" s="152"/>
      <c r="D17" s="136"/>
      <c r="E17" s="152">
        <f>INDEX(Velas!$C$3:$W$3,MATCH(Pedido_velas!B17,Velas!$C$7:$W$7,0))</f>
        <v>0</v>
      </c>
      <c r="F17" s="152"/>
      <c r="G17" s="136"/>
      <c r="H17" s="95"/>
    </row>
    <row r="18" spans="1:8" ht="15" hidden="1">
      <c r="A18" s="84">
        <v>6</v>
      </c>
      <c r="B18" s="152" t="str">
        <f>INDEX(Velas!$C$7:$W$7,MATCH(Pedido_velas!A18,Velas!$C$6:$W$6,0))</f>
        <v>Azul e Rosa</v>
      </c>
      <c r="C18" s="152"/>
      <c r="D18" s="136"/>
      <c r="E18" s="152">
        <f>INDEX(Velas!$C$3:$W$3,MATCH(Pedido_velas!B18,Velas!$C$7:$W$7,0))</f>
        <v>0</v>
      </c>
      <c r="F18" s="152"/>
      <c r="G18" s="136"/>
      <c r="H18" s="95"/>
    </row>
    <row r="19" spans="1:8" ht="15">
      <c r="A19" s="84">
        <v>7</v>
      </c>
      <c r="B19" s="152" t="str">
        <f>INDEX(Velas!$C$7:$W$7,MATCH(Pedido_velas!A19,Velas!$C$6:$W$6,0))</f>
        <v>Azul escuro</v>
      </c>
      <c r="C19" s="152"/>
      <c r="D19" s="136"/>
      <c r="E19" s="152">
        <f>INDEX(Velas!$C$3:$W$3,MATCH(Pedido_velas!B19,Velas!$C$7:$W$7,0))</f>
        <v>8</v>
      </c>
      <c r="F19" s="152"/>
      <c r="G19" s="136"/>
      <c r="H19" s="95"/>
    </row>
    <row r="20" spans="1:8" ht="15">
      <c r="A20" s="84">
        <v>8</v>
      </c>
      <c r="B20" s="152" t="str">
        <f>INDEX(Velas!$C$7:$W$7,MATCH(Pedido_velas!A20,Velas!$C$6:$W$6,0))</f>
        <v>Branca</v>
      </c>
      <c r="C20" s="152"/>
      <c r="D20" s="136"/>
      <c r="E20" s="152">
        <f>INDEX(Velas!$C$3:$W$3,MATCH(Pedido_velas!B20,Velas!$C$7:$W$7,0))</f>
        <v>36</v>
      </c>
      <c r="F20" s="152"/>
      <c r="G20" s="136"/>
      <c r="H20" s="95"/>
    </row>
    <row r="21" spans="1:8" ht="15" hidden="1">
      <c r="A21" s="84">
        <v>9</v>
      </c>
      <c r="B21" s="152" t="str">
        <f>INDEX(Velas!$C$7:$W$7,MATCH(Pedido_velas!A21,Velas!$C$6:$W$6,0))</f>
        <v>Branca e preta</v>
      </c>
      <c r="C21" s="152"/>
      <c r="D21" s="136"/>
      <c r="E21" s="152">
        <f>INDEX(Velas!$C$3:$W$3,MATCH(Pedido_velas!B21,Velas!$C$7:$W$7,0))</f>
        <v>0</v>
      </c>
      <c r="F21" s="152"/>
      <c r="G21" s="136"/>
      <c r="H21" s="95"/>
    </row>
    <row r="22" spans="1:8" ht="15" hidden="1">
      <c r="A22" s="84">
        <v>10</v>
      </c>
      <c r="B22" s="152" t="str">
        <f>INDEX(Velas!$C$7:$W$7,MATCH(Pedido_velas!A22,Velas!$C$6:$W$6,0))</f>
        <v>Branca e vermelha</v>
      </c>
      <c r="C22" s="152"/>
      <c r="D22" s="136"/>
      <c r="E22" s="152">
        <f>INDEX(Velas!$C$3:$W$3,MATCH(Pedido_velas!B22,Velas!$C$7:$W$7,0))</f>
        <v>0</v>
      </c>
      <c r="F22" s="152"/>
      <c r="G22" s="136"/>
      <c r="H22" s="95"/>
    </row>
    <row r="23" spans="1:8" ht="15" hidden="1">
      <c r="A23" s="84">
        <v>11</v>
      </c>
      <c r="B23" s="152" t="str">
        <f>INDEX(Velas!$C$7:$W$7,MATCH(Pedido_velas!A23,Velas!$C$6:$W$6,0))</f>
        <v>Dourada</v>
      </c>
      <c r="C23" s="152"/>
      <c r="D23" s="136"/>
      <c r="E23" s="152">
        <f>INDEX(Velas!$C$3:$W$3,MATCH(Pedido_velas!B23,Velas!$C$7:$W$7,0))</f>
        <v>0</v>
      </c>
      <c r="F23" s="152"/>
      <c r="G23" s="136"/>
      <c r="H23" s="95"/>
    </row>
    <row r="24" spans="1:8" ht="15" hidden="1">
      <c r="A24" s="84">
        <v>12</v>
      </c>
      <c r="B24" s="152" t="str">
        <f>INDEX(Velas!$C$7:$W$7,MATCH(Pedido_velas!A24,Velas!$C$6:$W$6,0))</f>
        <v>Laranja</v>
      </c>
      <c r="C24" s="152"/>
      <c r="D24" s="136"/>
      <c r="E24" s="152">
        <f>INDEX(Velas!$C$3:$W$3,MATCH(Pedido_velas!B24,Velas!$C$7:$W$7,0))</f>
        <v>0</v>
      </c>
      <c r="F24" s="152"/>
      <c r="G24" s="136"/>
      <c r="H24" s="95"/>
    </row>
    <row r="25" spans="1:8" ht="15" hidden="1">
      <c r="A25" s="84">
        <v>13</v>
      </c>
      <c r="B25" s="152" t="str">
        <f>INDEX(Velas!$C$7:$W$7,MATCH(Pedido_velas!A25,Velas!$C$6:$W$6,0))</f>
        <v>Marrom</v>
      </c>
      <c r="C25" s="152"/>
      <c r="D25" s="136"/>
      <c r="E25" s="152">
        <f>INDEX(Velas!$C$3:$W$3,MATCH(Pedido_velas!B25,Velas!$C$7:$W$7,0))</f>
        <v>0</v>
      </c>
      <c r="F25" s="152"/>
      <c r="G25" s="136"/>
      <c r="H25" s="95"/>
    </row>
    <row r="26" spans="1:8" ht="15">
      <c r="A26" s="84">
        <v>14</v>
      </c>
      <c r="B26" s="152" t="str">
        <f>INDEX(Velas!$C$7:$W$7,MATCH(Pedido_velas!A26,Velas!$C$6:$W$6,0))</f>
        <v>Preta</v>
      </c>
      <c r="C26" s="152"/>
      <c r="D26" s="136"/>
      <c r="E26" s="152">
        <f>INDEX(Velas!$C$3:$W$3,MATCH(Pedido_velas!B26,Velas!$C$7:$W$7,0))</f>
        <v>24</v>
      </c>
      <c r="F26" s="152"/>
      <c r="G26" s="136"/>
      <c r="H26" s="95"/>
    </row>
    <row r="27" spans="1:8">
      <c r="A27" s="84">
        <v>15</v>
      </c>
      <c r="B27" s="152" t="str">
        <f>INDEX(Velas!$C$7:$W$7,MATCH(Pedido_velas!A27,Velas!$C$6:$W$6,0))</f>
        <v>Preta e Verde</v>
      </c>
      <c r="C27" s="152"/>
      <c r="D27" s="136"/>
      <c r="E27" s="152">
        <f>INDEX(Velas!$C$3:$W$3,MATCH(Pedido_velas!B27,Velas!$C$7:$W$7,0))</f>
        <v>8</v>
      </c>
      <c r="F27" s="152"/>
      <c r="G27" s="136"/>
      <c r="H27" s="136"/>
    </row>
    <row r="28" spans="1:8" ht="15">
      <c r="A28" s="84">
        <v>16</v>
      </c>
      <c r="B28" s="152" t="str">
        <f>INDEX(Velas!$C$7:$W$7,MATCH(Pedido_velas!A28,Velas!$C$6:$W$6,0))</f>
        <v>Preta e vermelha</v>
      </c>
      <c r="C28" s="152"/>
      <c r="D28" s="136"/>
      <c r="E28" s="152">
        <f>INDEX(Velas!$C$3:$W$3,MATCH(Pedido_velas!B28,Velas!$C$7:$W$7,0))</f>
        <v>12</v>
      </c>
      <c r="F28" s="152"/>
      <c r="G28" s="136"/>
      <c r="H28" s="95"/>
    </row>
    <row r="29" spans="1:8" ht="15">
      <c r="A29" s="84">
        <v>17</v>
      </c>
      <c r="B29" s="152" t="str">
        <f>INDEX(Velas!$C$7:$W$7,MATCH(Pedido_velas!A29,Velas!$C$6:$W$6,0))</f>
        <v>Rosa claro</v>
      </c>
      <c r="C29" s="152"/>
      <c r="D29" s="136"/>
      <c r="E29" s="152">
        <f>INDEX(Velas!$C$3:$W$3,MATCH(Pedido_velas!B29,Velas!$C$7:$W$7,0))</f>
        <v>4</v>
      </c>
      <c r="F29" s="152"/>
      <c r="G29" s="136"/>
      <c r="H29" s="95"/>
    </row>
    <row r="30" spans="1:8" ht="15" hidden="1">
      <c r="A30" s="84">
        <v>18</v>
      </c>
      <c r="B30" s="152" t="str">
        <f>INDEX(Velas!$C$7:$W$7,MATCH(Pedido_velas!A30,Velas!$C$6:$W$6,0))</f>
        <v>Roxo claro</v>
      </c>
      <c r="C30" s="152"/>
      <c r="D30" s="136"/>
      <c r="E30" s="152">
        <f>INDEX(Velas!$C$3:$W$3,MATCH(Pedido_velas!B30,Velas!$C$7:$W$7,0))</f>
        <v>0</v>
      </c>
      <c r="F30" s="152"/>
      <c r="G30" s="136"/>
      <c r="H30" s="95"/>
    </row>
    <row r="31" spans="1:8" ht="15">
      <c r="A31" s="84">
        <v>19</v>
      </c>
      <c r="B31" s="152" t="str">
        <f>INDEX(Velas!$C$7:$W$7,MATCH(Pedido_velas!A31,Velas!$C$6:$W$6,0))</f>
        <v>Roxo escuro</v>
      </c>
      <c r="C31" s="152"/>
      <c r="D31" s="136"/>
      <c r="E31" s="152">
        <f>INDEX(Velas!$C$3:$W$3,MATCH(Pedido_velas!B31,Velas!$C$7:$W$7,0))</f>
        <v>28</v>
      </c>
      <c r="F31" s="152"/>
      <c r="G31" s="136"/>
      <c r="H31" s="95"/>
    </row>
    <row r="32" spans="1:8" ht="15">
      <c r="A32" s="84">
        <v>20</v>
      </c>
      <c r="B32" s="152" t="str">
        <f>INDEX(Velas!$C$7:$W$7,MATCH(Pedido_velas!A32,Velas!$C$6:$W$6,0))</f>
        <v>Verde</v>
      </c>
      <c r="C32" s="152"/>
      <c r="D32" s="136"/>
      <c r="E32" s="152">
        <f>INDEX(Velas!$C$3:$W$3,MATCH(Pedido_velas!B32,Velas!$C$7:$W$7,0))</f>
        <v>8</v>
      </c>
      <c r="F32" s="152"/>
      <c r="G32" s="136"/>
      <c r="H32" s="95"/>
    </row>
    <row r="33" spans="1:7">
      <c r="A33" s="84">
        <v>21</v>
      </c>
      <c r="B33" s="152" t="str">
        <f>INDEX(Velas!$C$7:$W$7,MATCH(Pedido_velas!A33,Velas!$C$6:$W$6,0))</f>
        <v>Vermelha</v>
      </c>
      <c r="C33" s="152"/>
      <c r="D33" s="136"/>
      <c r="E33" s="152">
        <f>INDEX(Velas!$C$3:$W$3,MATCH(Pedido_velas!B33,Velas!$C$7:$W$7,0))</f>
        <v>24</v>
      </c>
      <c r="F33" s="152"/>
      <c r="G33" s="112"/>
    </row>
    <row r="34" spans="1:7" s="136" customFormat="1">
      <c r="A34" s="84"/>
      <c r="B34" s="149"/>
      <c r="C34" s="149"/>
      <c r="E34" s="149"/>
      <c r="F34" s="149"/>
      <c r="G34" s="112"/>
    </row>
    <row r="35" spans="1:7">
      <c r="B35" s="152"/>
      <c r="C35" s="152"/>
      <c r="D35" s="136"/>
      <c r="E35" s="152">
        <f>SUM(E13:F33)</f>
        <v>176</v>
      </c>
      <c r="F35" s="152"/>
      <c r="G35" s="136"/>
    </row>
    <row r="36" spans="1:7">
      <c r="B36" s="152"/>
      <c r="C36" s="152"/>
      <c r="D36" s="136"/>
      <c r="E36" s="152"/>
      <c r="F36" s="152"/>
      <c r="G36" s="136"/>
    </row>
    <row r="37" spans="1:7">
      <c r="B37" s="152"/>
      <c r="C37" s="152"/>
      <c r="D37" s="136"/>
      <c r="E37" s="152"/>
      <c r="F37" s="152"/>
      <c r="G37" s="136"/>
    </row>
    <row r="38" spans="1:7">
      <c r="B38" s="152"/>
      <c r="C38" s="152"/>
      <c r="D38" s="136"/>
      <c r="E38" s="152"/>
      <c r="F38" s="152"/>
      <c r="G38" s="136"/>
    </row>
    <row r="39" spans="1:7">
      <c r="B39" s="152"/>
      <c r="C39" s="152"/>
      <c r="D39" s="136"/>
      <c r="E39" s="158">
        <f ca="1">TODAY()</f>
        <v>43739</v>
      </c>
      <c r="F39" s="152"/>
      <c r="G39" s="136"/>
    </row>
    <row r="40" spans="1:7">
      <c r="B40" s="152"/>
      <c r="C40" s="152"/>
      <c r="D40" s="136"/>
      <c r="E40" s="159">
        <f ca="1">MONTH(E39)</f>
        <v>10</v>
      </c>
      <c r="F40" s="159"/>
      <c r="G40" s="136"/>
    </row>
    <row r="41" spans="1:7">
      <c r="B41" s="152"/>
      <c r="C41" s="152"/>
      <c r="D41" s="136"/>
      <c r="E41" s="152"/>
      <c r="F41" s="152"/>
      <c r="G41" s="136"/>
    </row>
    <row r="42" spans="1:7">
      <c r="B42" s="152"/>
      <c r="C42" s="152"/>
      <c r="D42" s="136"/>
      <c r="E42" s="152"/>
      <c r="F42" s="152"/>
      <c r="G42" s="136"/>
    </row>
    <row r="43" spans="1:7">
      <c r="B43" s="152"/>
      <c r="C43" s="152"/>
      <c r="D43" s="136"/>
      <c r="E43" s="152"/>
      <c r="F43" s="152"/>
      <c r="G43" s="136"/>
    </row>
    <row r="44" spans="1:7">
      <c r="B44" s="152"/>
      <c r="C44" s="152"/>
      <c r="D44" s="136"/>
      <c r="E44" s="152"/>
      <c r="F44" s="152"/>
      <c r="G44" s="136"/>
    </row>
    <row r="45" spans="1:7">
      <c r="B45" s="152"/>
      <c r="C45" s="152"/>
      <c r="D45" s="136"/>
      <c r="E45" s="152"/>
      <c r="F45" s="152"/>
      <c r="G45" s="136"/>
    </row>
    <row r="46" spans="1:7">
      <c r="B46" s="152"/>
      <c r="C46" s="152"/>
      <c r="D46" s="136"/>
      <c r="E46" s="152"/>
      <c r="F46" s="152"/>
      <c r="G46" s="136"/>
    </row>
    <row r="47" spans="1:7">
      <c r="B47" s="136"/>
      <c r="C47" s="136"/>
      <c r="D47" s="136"/>
      <c r="E47" s="152"/>
      <c r="F47" s="152"/>
      <c r="G47" s="136"/>
    </row>
  </sheetData>
  <autoFilter ref="A12:F33">
    <filterColumn colId="0" showButton="0"/>
    <filterColumn colId="1" showButton="0"/>
    <filterColumn colId="2" showButton="0"/>
    <filterColumn colId="4" showButton="0">
      <filters>
        <filter val="12"/>
        <filter val="24"/>
        <filter val="28"/>
        <filter val="36"/>
        <filter val="4"/>
        <filter val="8"/>
      </filters>
    </filterColumn>
  </autoFilter>
  <mergeCells count="71">
    <mergeCell ref="H2:J2"/>
    <mergeCell ref="H3:J3"/>
    <mergeCell ref="A12:D12"/>
    <mergeCell ref="E12:F12"/>
    <mergeCell ref="B13:C13"/>
    <mergeCell ref="E13:F13"/>
    <mergeCell ref="B14:C14"/>
    <mergeCell ref="E14:F14"/>
    <mergeCell ref="B15:C15"/>
    <mergeCell ref="E15:F15"/>
    <mergeCell ref="B16:C16"/>
    <mergeCell ref="E16:F16"/>
    <mergeCell ref="B17:C17"/>
    <mergeCell ref="E17:F17"/>
    <mergeCell ref="B18:C18"/>
    <mergeCell ref="E18:F18"/>
    <mergeCell ref="B19:C19"/>
    <mergeCell ref="E19:F19"/>
    <mergeCell ref="B20:C20"/>
    <mergeCell ref="E20:F20"/>
    <mergeCell ref="B21:C21"/>
    <mergeCell ref="E21:F21"/>
    <mergeCell ref="B22:C22"/>
    <mergeCell ref="E22:F22"/>
    <mergeCell ref="B23:C23"/>
    <mergeCell ref="E23:F23"/>
    <mergeCell ref="B24:C24"/>
    <mergeCell ref="E24:F24"/>
    <mergeCell ref="B25:C25"/>
    <mergeCell ref="E25:F25"/>
    <mergeCell ref="B26:C26"/>
    <mergeCell ref="E26:F26"/>
    <mergeCell ref="B27:C27"/>
    <mergeCell ref="E27:F27"/>
    <mergeCell ref="B28:C28"/>
    <mergeCell ref="E28:F28"/>
    <mergeCell ref="B29:C29"/>
    <mergeCell ref="E29:F29"/>
    <mergeCell ref="B30:C30"/>
    <mergeCell ref="E30:F30"/>
    <mergeCell ref="B31:C31"/>
    <mergeCell ref="E31:F31"/>
    <mergeCell ref="B32:C32"/>
    <mergeCell ref="E32:F32"/>
    <mergeCell ref="B33:C33"/>
    <mergeCell ref="E33:F33"/>
    <mergeCell ref="B35:C35"/>
    <mergeCell ref="E35:F35"/>
    <mergeCell ref="B36:C36"/>
    <mergeCell ref="E36:F36"/>
    <mergeCell ref="B37:C37"/>
    <mergeCell ref="E37:F37"/>
    <mergeCell ref="B38:C38"/>
    <mergeCell ref="E38:F38"/>
    <mergeCell ref="B39:C39"/>
    <mergeCell ref="E39:F39"/>
    <mergeCell ref="B40:C40"/>
    <mergeCell ref="E40:F40"/>
    <mergeCell ref="B41:C41"/>
    <mergeCell ref="E41:F41"/>
    <mergeCell ref="B42:C42"/>
    <mergeCell ref="E42:F42"/>
    <mergeCell ref="B43:C43"/>
    <mergeCell ref="E43:F43"/>
    <mergeCell ref="B44:C44"/>
    <mergeCell ref="E44:F44"/>
    <mergeCell ref="B45:C45"/>
    <mergeCell ref="E45:F45"/>
    <mergeCell ref="B46:C46"/>
    <mergeCell ref="E46:F46"/>
    <mergeCell ref="E47:F47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headerFooter>
    <oddHeader xml:space="preserve">&amp;C&amp;"-,Negrito"PEDIDO VELAS
</oddHead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E28"/>
  <sheetViews>
    <sheetView workbookViewId="0">
      <selection activeCell="AA10" sqref="AA10"/>
    </sheetView>
  </sheetViews>
  <sheetFormatPr defaultRowHeight="14.25"/>
  <cols>
    <col min="1" max="1" width="20.75" bestFit="1" customWidth="1"/>
    <col min="2" max="2" width="30.125" bestFit="1" customWidth="1"/>
    <col min="3" max="3" width="19.75" hidden="1" customWidth="1"/>
    <col min="4" max="4" width="53.625" hidden="1" customWidth="1"/>
    <col min="5" max="5" width="18.875" hidden="1" customWidth="1"/>
    <col min="6" max="6" width="25.625" hidden="1" customWidth="1"/>
    <col min="7" max="7" width="12.5" hidden="1" customWidth="1"/>
    <col min="8" max="8" width="23.5" hidden="1" customWidth="1"/>
    <col min="9" max="9" width="26.75" hidden="1" customWidth="1"/>
    <col min="10" max="10" width="9.25" hidden="1" customWidth="1"/>
    <col min="11" max="11" width="30.375" hidden="1" customWidth="1"/>
    <col min="12" max="12" width="51" hidden="1" customWidth="1"/>
    <col min="13" max="13" width="49.375" hidden="1" customWidth="1"/>
    <col min="14" max="14" width="62.875" hidden="1" customWidth="1"/>
    <col min="15" max="15" width="15.375" bestFit="1" customWidth="1"/>
    <col min="16" max="16" width="15" bestFit="1" customWidth="1"/>
    <col min="17" max="17" width="26.75" bestFit="1" customWidth="1"/>
    <col min="18" max="18" width="16.5" bestFit="1" customWidth="1"/>
    <col min="19" max="19" width="24.125" bestFit="1" customWidth="1"/>
    <col min="20" max="20" width="16.875" bestFit="1" customWidth="1"/>
    <col min="21" max="21" width="17.625" bestFit="1" customWidth="1"/>
    <col min="22" max="22" width="36.625" bestFit="1" customWidth="1"/>
    <col min="23" max="23" width="14" bestFit="1" customWidth="1"/>
    <col min="24" max="24" width="11.75" bestFit="1" customWidth="1"/>
    <col min="25" max="25" width="16.125" bestFit="1" customWidth="1"/>
    <col min="26" max="26" width="18.75" bestFit="1" customWidth="1"/>
    <col min="27" max="27" width="17.625" bestFit="1" customWidth="1"/>
    <col min="28" max="28" width="29.875" bestFit="1" customWidth="1"/>
    <col min="29" max="29" width="38.75" bestFit="1" customWidth="1"/>
    <col min="30" max="30" width="28.75" bestFit="1" customWidth="1"/>
  </cols>
  <sheetData>
    <row r="1" spans="1:31">
      <c r="A1" s="136" t="s">
        <v>300</v>
      </c>
      <c r="B1" s="136" t="s">
        <v>301</v>
      </c>
      <c r="C1" s="136" t="s">
        <v>302</v>
      </c>
      <c r="D1" s="136" t="s">
        <v>303</v>
      </c>
      <c r="E1" s="136" t="s">
        <v>304</v>
      </c>
      <c r="F1" s="136" t="s">
        <v>305</v>
      </c>
      <c r="G1" s="136" t="s">
        <v>306</v>
      </c>
      <c r="H1" s="136" t="s">
        <v>307</v>
      </c>
      <c r="I1" s="136" t="s">
        <v>308</v>
      </c>
      <c r="J1" s="136" t="s">
        <v>309</v>
      </c>
      <c r="K1" s="136" t="s">
        <v>310</v>
      </c>
      <c r="L1" s="136" t="s">
        <v>311</v>
      </c>
      <c r="M1" s="136" t="s">
        <v>312</v>
      </c>
      <c r="N1" s="136" t="s">
        <v>313</v>
      </c>
      <c r="O1" s="136" t="s">
        <v>314</v>
      </c>
      <c r="P1" s="136" t="s">
        <v>315</v>
      </c>
      <c r="Q1" s="136" t="s">
        <v>316</v>
      </c>
      <c r="R1" s="136" t="s">
        <v>317</v>
      </c>
      <c r="S1" s="136" t="s">
        <v>318</v>
      </c>
      <c r="T1" s="136" t="s">
        <v>319</v>
      </c>
      <c r="U1" s="136" t="s">
        <v>320</v>
      </c>
      <c r="V1" s="136" t="s">
        <v>321</v>
      </c>
      <c r="W1" s="136" t="s">
        <v>322</v>
      </c>
      <c r="X1" s="136" t="s">
        <v>323</v>
      </c>
      <c r="Y1" s="136" t="s">
        <v>324</v>
      </c>
      <c r="Z1" s="136" t="s">
        <v>325</v>
      </c>
      <c r="AA1" s="136" t="s">
        <v>326</v>
      </c>
      <c r="AB1" s="136" t="s">
        <v>156</v>
      </c>
      <c r="AC1" s="136" t="s">
        <v>327</v>
      </c>
      <c r="AD1" s="136" t="s">
        <v>328</v>
      </c>
      <c r="AE1" s="136" t="s">
        <v>329</v>
      </c>
    </row>
    <row r="2" spans="1:31" ht="28.5">
      <c r="A2" s="116">
        <v>43549.860381944447</v>
      </c>
      <c r="B2" s="136" t="s">
        <v>330</v>
      </c>
      <c r="C2" s="100">
        <v>29567</v>
      </c>
      <c r="D2" s="114" t="s">
        <v>331</v>
      </c>
      <c r="E2" s="136">
        <v>11972255194</v>
      </c>
      <c r="F2" s="136" t="s">
        <v>332</v>
      </c>
      <c r="G2" s="136" t="s">
        <v>333</v>
      </c>
      <c r="H2" s="136" t="s">
        <v>334</v>
      </c>
      <c r="I2" s="136" t="s">
        <v>335</v>
      </c>
      <c r="J2" s="136" t="s">
        <v>336</v>
      </c>
      <c r="K2" s="136" t="s">
        <v>337</v>
      </c>
      <c r="L2" s="136" t="s">
        <v>338</v>
      </c>
      <c r="M2" s="136" t="s">
        <v>339</v>
      </c>
      <c r="N2" s="136" t="s">
        <v>340</v>
      </c>
      <c r="O2" s="136" t="s">
        <v>341</v>
      </c>
      <c r="P2" s="136" t="s">
        <v>342</v>
      </c>
      <c r="Q2" s="136" t="s">
        <v>343</v>
      </c>
      <c r="R2" s="136" t="s">
        <v>344</v>
      </c>
      <c r="S2" s="136" t="s">
        <v>345</v>
      </c>
      <c r="T2" s="136" t="s">
        <v>345</v>
      </c>
      <c r="U2" s="136" t="s">
        <v>345</v>
      </c>
      <c r="V2" s="136" t="s">
        <v>345</v>
      </c>
      <c r="W2" s="136" t="s">
        <v>345</v>
      </c>
      <c r="X2" s="136" t="s">
        <v>345</v>
      </c>
      <c r="Y2" s="136" t="s">
        <v>345</v>
      </c>
      <c r="Z2" s="136" t="s">
        <v>345</v>
      </c>
      <c r="AA2" s="136" t="s">
        <v>345</v>
      </c>
      <c r="AB2" s="136" t="s">
        <v>345</v>
      </c>
      <c r="AC2" s="136" t="s">
        <v>345</v>
      </c>
      <c r="AD2" s="136" t="s">
        <v>346</v>
      </c>
      <c r="AE2" s="136" t="s">
        <v>347</v>
      </c>
    </row>
    <row r="3" spans="1:31">
      <c r="A3" s="113">
        <v>43549.861643518518</v>
      </c>
      <c r="B3" s="136" t="s">
        <v>276</v>
      </c>
      <c r="C3" s="100">
        <v>34393</v>
      </c>
      <c r="D3" s="136" t="s">
        <v>348</v>
      </c>
      <c r="E3" s="136">
        <v>11970404250</v>
      </c>
      <c r="F3" s="136">
        <v>11949247074</v>
      </c>
      <c r="G3" s="136" t="s">
        <v>349</v>
      </c>
      <c r="H3" s="136" t="s">
        <v>350</v>
      </c>
      <c r="I3" s="136" t="s">
        <v>351</v>
      </c>
      <c r="J3" s="136" t="s">
        <v>336</v>
      </c>
      <c r="K3" s="136" t="s">
        <v>352</v>
      </c>
      <c r="L3" s="136" t="s">
        <v>353</v>
      </c>
      <c r="M3" s="136" t="s">
        <v>338</v>
      </c>
      <c r="N3" s="136" t="s">
        <v>338</v>
      </c>
      <c r="O3" s="136" t="s">
        <v>354</v>
      </c>
      <c r="P3" s="136" t="s">
        <v>355</v>
      </c>
      <c r="Q3" s="136" t="s">
        <v>342</v>
      </c>
      <c r="R3" s="136" t="s">
        <v>321</v>
      </c>
      <c r="S3" s="136" t="s">
        <v>356</v>
      </c>
      <c r="T3" s="136" t="s">
        <v>357</v>
      </c>
      <c r="U3" s="136" t="s">
        <v>358</v>
      </c>
      <c r="V3" s="136" t="s">
        <v>359</v>
      </c>
      <c r="W3" s="136" t="s">
        <v>344</v>
      </c>
      <c r="X3" s="136" t="s">
        <v>360</v>
      </c>
      <c r="Y3" s="136" t="s">
        <v>344</v>
      </c>
      <c r="Z3" s="136" t="s">
        <v>361</v>
      </c>
      <c r="AA3" s="136"/>
      <c r="AB3" s="136" t="s">
        <v>362</v>
      </c>
      <c r="AC3" s="136" t="s">
        <v>363</v>
      </c>
      <c r="AD3" s="136" t="s">
        <v>338</v>
      </c>
      <c r="AE3" s="136" t="s">
        <v>347</v>
      </c>
    </row>
    <row r="4" spans="1:31">
      <c r="A4" s="113">
        <v>43549.862326388888</v>
      </c>
      <c r="B4" s="136" t="s">
        <v>364</v>
      </c>
      <c r="C4" s="100">
        <v>36521</v>
      </c>
      <c r="D4" s="136" t="s">
        <v>365</v>
      </c>
      <c r="E4" s="136" t="s">
        <v>366</v>
      </c>
      <c r="F4" s="136"/>
      <c r="G4" s="136" t="s">
        <v>349</v>
      </c>
      <c r="H4" s="136" t="s">
        <v>367</v>
      </c>
      <c r="I4" s="136" t="s">
        <v>351</v>
      </c>
      <c r="J4" s="136" t="s">
        <v>336</v>
      </c>
      <c r="K4" s="136" t="s">
        <v>368</v>
      </c>
      <c r="L4" s="136" t="s">
        <v>338</v>
      </c>
      <c r="M4" s="136" t="s">
        <v>338</v>
      </c>
      <c r="N4" s="136" t="s">
        <v>338</v>
      </c>
      <c r="O4" s="136" t="s">
        <v>343</v>
      </c>
      <c r="P4" s="136" t="s">
        <v>369</v>
      </c>
      <c r="Q4" s="136" t="s">
        <v>370</v>
      </c>
      <c r="R4" s="136" t="s">
        <v>320</v>
      </c>
      <c r="S4" s="136"/>
      <c r="T4" s="136"/>
      <c r="U4" s="136" t="s">
        <v>371</v>
      </c>
      <c r="V4" s="136"/>
      <c r="W4" s="136"/>
      <c r="X4" s="136"/>
      <c r="Y4" s="136"/>
      <c r="Z4" s="136" t="s">
        <v>372</v>
      </c>
      <c r="AA4" s="136"/>
      <c r="AB4" s="136" t="s">
        <v>373</v>
      </c>
      <c r="AC4" s="136" t="s">
        <v>374</v>
      </c>
      <c r="AD4" s="136" t="s">
        <v>338</v>
      </c>
      <c r="AE4" s="136" t="s">
        <v>347</v>
      </c>
    </row>
    <row r="5" spans="1:31">
      <c r="A5" s="113">
        <v>43549.866076388891</v>
      </c>
      <c r="B5" s="136" t="s">
        <v>375</v>
      </c>
      <c r="C5" s="100">
        <v>31309</v>
      </c>
      <c r="D5" s="136" t="s">
        <v>376</v>
      </c>
      <c r="E5" s="136" t="s">
        <v>377</v>
      </c>
      <c r="F5" s="136" t="s">
        <v>378</v>
      </c>
      <c r="G5" s="136" t="s">
        <v>379</v>
      </c>
      <c r="H5" s="136" t="s">
        <v>380</v>
      </c>
      <c r="I5" s="136" t="s">
        <v>335</v>
      </c>
      <c r="J5" s="136" t="s">
        <v>351</v>
      </c>
      <c r="K5" s="136" t="s">
        <v>381</v>
      </c>
      <c r="L5" s="136" t="s">
        <v>338</v>
      </c>
      <c r="M5" s="136" t="s">
        <v>338</v>
      </c>
      <c r="N5" s="136" t="s">
        <v>382</v>
      </c>
      <c r="O5" s="136" t="s">
        <v>383</v>
      </c>
      <c r="P5" s="136" t="s">
        <v>151</v>
      </c>
      <c r="Q5" s="136" t="s">
        <v>342</v>
      </c>
      <c r="R5" s="136" t="s">
        <v>344</v>
      </c>
      <c r="S5" s="136"/>
      <c r="T5" s="136"/>
      <c r="U5" s="136" t="s">
        <v>384</v>
      </c>
      <c r="V5" s="136"/>
      <c r="W5" s="136"/>
      <c r="X5" s="136"/>
      <c r="Y5" s="136"/>
      <c r="Z5" s="136"/>
      <c r="AA5" s="136"/>
      <c r="AB5" s="136" t="s">
        <v>385</v>
      </c>
      <c r="AC5" s="136"/>
      <c r="AD5" s="136" t="s">
        <v>338</v>
      </c>
      <c r="AE5" s="136" t="s">
        <v>347</v>
      </c>
    </row>
    <row r="6" spans="1:31" ht="28.5">
      <c r="A6" s="113">
        <v>43549.8669212963</v>
      </c>
      <c r="B6" s="136" t="s">
        <v>386</v>
      </c>
      <c r="C6" s="100">
        <v>25082</v>
      </c>
      <c r="D6" s="114" t="s">
        <v>387</v>
      </c>
      <c r="E6" s="136">
        <v>11945468092</v>
      </c>
      <c r="F6" s="136">
        <v>11945468092</v>
      </c>
      <c r="G6" s="136" t="s">
        <v>336</v>
      </c>
      <c r="H6" s="136" t="s">
        <v>388</v>
      </c>
      <c r="I6" s="136" t="s">
        <v>351</v>
      </c>
      <c r="J6" s="136" t="s">
        <v>351</v>
      </c>
      <c r="K6" s="136" t="s">
        <v>381</v>
      </c>
      <c r="L6" s="136" t="s">
        <v>338</v>
      </c>
      <c r="M6" s="136" t="s">
        <v>389</v>
      </c>
      <c r="N6" s="136" t="s">
        <v>390</v>
      </c>
      <c r="O6" s="136" t="s">
        <v>343</v>
      </c>
      <c r="P6" s="136" t="s">
        <v>342</v>
      </c>
      <c r="Q6" s="136" t="s">
        <v>354</v>
      </c>
      <c r="R6" s="136" t="s">
        <v>344</v>
      </c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 t="s">
        <v>346</v>
      </c>
      <c r="AE6" s="136" t="s">
        <v>347</v>
      </c>
    </row>
    <row r="7" spans="1:31">
      <c r="A7" s="113">
        <v>43549.87090277778</v>
      </c>
      <c r="B7" s="136" t="s">
        <v>391</v>
      </c>
      <c r="C7" s="100">
        <v>31690</v>
      </c>
      <c r="D7" s="136" t="s">
        <v>392</v>
      </c>
      <c r="E7" s="136" t="s">
        <v>393</v>
      </c>
      <c r="F7" s="136" t="s">
        <v>394</v>
      </c>
      <c r="G7" s="136" t="s">
        <v>379</v>
      </c>
      <c r="H7" s="136" t="s">
        <v>395</v>
      </c>
      <c r="I7" s="136" t="s">
        <v>351</v>
      </c>
      <c r="J7" s="136" t="s">
        <v>396</v>
      </c>
      <c r="K7" s="136" t="s">
        <v>381</v>
      </c>
      <c r="L7" s="136" t="s">
        <v>338</v>
      </c>
      <c r="M7" s="136" t="s">
        <v>338</v>
      </c>
      <c r="N7" s="136" t="s">
        <v>338</v>
      </c>
      <c r="O7" s="136" t="s">
        <v>383</v>
      </c>
      <c r="P7" s="136" t="s">
        <v>370</v>
      </c>
      <c r="Q7" s="136" t="s">
        <v>344</v>
      </c>
      <c r="R7" s="136" t="s">
        <v>344</v>
      </c>
      <c r="S7" s="136"/>
      <c r="T7" s="136"/>
      <c r="U7" s="136"/>
      <c r="V7" s="136"/>
      <c r="W7" s="136"/>
      <c r="X7" s="136"/>
      <c r="Y7" s="136"/>
      <c r="Z7" s="136"/>
      <c r="AA7" s="136"/>
      <c r="AB7" s="136" t="s">
        <v>397</v>
      </c>
      <c r="AC7" s="136"/>
      <c r="AD7" s="136" t="s">
        <v>346</v>
      </c>
      <c r="AE7" s="136" t="s">
        <v>347</v>
      </c>
    </row>
    <row r="8" spans="1:31">
      <c r="A8" s="113">
        <v>43549.874768518515</v>
      </c>
      <c r="B8" s="136" t="s">
        <v>398</v>
      </c>
      <c r="C8" s="100">
        <v>33076</v>
      </c>
      <c r="D8" s="136" t="s">
        <v>399</v>
      </c>
      <c r="E8" s="136">
        <v>11985497545</v>
      </c>
      <c r="F8" s="136">
        <v>11949626938</v>
      </c>
      <c r="G8" s="136" t="s">
        <v>400</v>
      </c>
      <c r="H8" s="136" t="s">
        <v>401</v>
      </c>
      <c r="I8" s="136" t="s">
        <v>351</v>
      </c>
      <c r="J8" s="136" t="s">
        <v>336</v>
      </c>
      <c r="K8" s="136" t="s">
        <v>381</v>
      </c>
      <c r="L8" s="136" t="s">
        <v>338</v>
      </c>
      <c r="M8" s="136" t="s">
        <v>338</v>
      </c>
      <c r="N8" s="136" t="s">
        <v>338</v>
      </c>
      <c r="O8" s="136" t="s">
        <v>343</v>
      </c>
      <c r="P8" s="136" t="s">
        <v>342</v>
      </c>
      <c r="Q8" s="136" t="s">
        <v>344</v>
      </c>
      <c r="R8" s="136" t="s">
        <v>344</v>
      </c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 t="s">
        <v>346</v>
      </c>
      <c r="AE8" s="136" t="s">
        <v>347</v>
      </c>
    </row>
    <row r="9" spans="1:31">
      <c r="A9" s="113">
        <v>43549.899050925924</v>
      </c>
      <c r="B9" s="136" t="s">
        <v>402</v>
      </c>
      <c r="C9" s="100">
        <v>30462</v>
      </c>
      <c r="D9" s="136" t="s">
        <v>403</v>
      </c>
      <c r="E9" s="136" t="s">
        <v>404</v>
      </c>
      <c r="F9" s="136">
        <v>1141093431</v>
      </c>
      <c r="G9" s="136" t="s">
        <v>336</v>
      </c>
      <c r="H9" s="136" t="s">
        <v>405</v>
      </c>
      <c r="I9" s="136" t="s">
        <v>406</v>
      </c>
      <c r="J9" s="136"/>
      <c r="K9" s="136" t="s">
        <v>407</v>
      </c>
      <c r="L9" s="136" t="s">
        <v>408</v>
      </c>
      <c r="M9" s="136" t="s">
        <v>408</v>
      </c>
      <c r="N9" s="136" t="s">
        <v>408</v>
      </c>
      <c r="O9" s="136" t="s">
        <v>344</v>
      </c>
      <c r="P9" s="136" t="s">
        <v>344</v>
      </c>
      <c r="Q9" s="136" t="s">
        <v>344</v>
      </c>
      <c r="R9" s="136" t="s">
        <v>344</v>
      </c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 t="s">
        <v>409</v>
      </c>
      <c r="AE9" s="136" t="s">
        <v>347</v>
      </c>
    </row>
    <row r="10" spans="1:31">
      <c r="A10" s="113">
        <v>43549.902546296296</v>
      </c>
      <c r="B10" s="136" t="s">
        <v>410</v>
      </c>
      <c r="C10" s="100">
        <v>36609</v>
      </c>
      <c r="D10" s="136" t="s">
        <v>411</v>
      </c>
      <c r="E10" s="136">
        <v>11979905115</v>
      </c>
      <c r="F10" s="136">
        <v>11979905115</v>
      </c>
      <c r="G10" s="136" t="s">
        <v>349</v>
      </c>
      <c r="H10" s="136" t="s">
        <v>412</v>
      </c>
      <c r="I10" s="136" t="s">
        <v>351</v>
      </c>
      <c r="J10" s="136" t="s">
        <v>336</v>
      </c>
      <c r="K10" s="136" t="s">
        <v>413</v>
      </c>
      <c r="L10" s="136" t="s">
        <v>414</v>
      </c>
      <c r="M10" s="136" t="s">
        <v>338</v>
      </c>
      <c r="N10" s="136" t="s">
        <v>338</v>
      </c>
      <c r="O10" s="136" t="s">
        <v>343</v>
      </c>
      <c r="P10" s="136" t="s">
        <v>370</v>
      </c>
      <c r="Q10" s="136" t="s">
        <v>342</v>
      </c>
      <c r="R10" s="136" t="s">
        <v>320</v>
      </c>
      <c r="S10" s="136"/>
      <c r="T10" s="136"/>
      <c r="U10" s="136" t="s">
        <v>415</v>
      </c>
      <c r="V10" s="136"/>
      <c r="W10" s="136"/>
      <c r="X10" s="136" t="s">
        <v>416</v>
      </c>
      <c r="Y10" s="136"/>
      <c r="Z10" s="136"/>
      <c r="AA10" s="136"/>
      <c r="AB10" s="136" t="s">
        <v>417</v>
      </c>
      <c r="AC10" s="136" t="s">
        <v>418</v>
      </c>
      <c r="AD10" s="136" t="s">
        <v>346</v>
      </c>
      <c r="AE10" s="136" t="s">
        <v>347</v>
      </c>
    </row>
    <row r="11" spans="1:31">
      <c r="A11" s="113">
        <v>43549.91333333333</v>
      </c>
      <c r="B11" s="136" t="s">
        <v>419</v>
      </c>
      <c r="C11" s="100">
        <v>34959</v>
      </c>
      <c r="D11" s="136" t="s">
        <v>420</v>
      </c>
      <c r="E11" s="136">
        <v>11940599696</v>
      </c>
      <c r="F11" s="136"/>
      <c r="G11" s="136" t="s">
        <v>421</v>
      </c>
      <c r="H11" s="136" t="s">
        <v>388</v>
      </c>
      <c r="I11" s="136" t="s">
        <v>351</v>
      </c>
      <c r="J11" s="136" t="s">
        <v>396</v>
      </c>
      <c r="K11" s="136" t="s">
        <v>381</v>
      </c>
      <c r="L11" s="136" t="s">
        <v>422</v>
      </c>
      <c r="M11" s="136" t="s">
        <v>423</v>
      </c>
      <c r="N11" s="136" t="s">
        <v>424</v>
      </c>
      <c r="O11" s="136" t="s">
        <v>341</v>
      </c>
      <c r="P11" s="136" t="s">
        <v>370</v>
      </c>
      <c r="Q11" s="136" t="s">
        <v>344</v>
      </c>
      <c r="R11" s="136" t="s">
        <v>344</v>
      </c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 t="s">
        <v>425</v>
      </c>
      <c r="AD11" s="136" t="s">
        <v>346</v>
      </c>
      <c r="AE11" s="136" t="s">
        <v>347</v>
      </c>
    </row>
    <row r="12" spans="1:31">
      <c r="A12" s="113">
        <v>43549.916909722226</v>
      </c>
      <c r="B12" s="136" t="s">
        <v>426</v>
      </c>
      <c r="C12" s="100">
        <v>24190</v>
      </c>
      <c r="D12" s="136" t="s">
        <v>427</v>
      </c>
      <c r="E12" s="136" t="s">
        <v>428</v>
      </c>
      <c r="F12" s="136"/>
      <c r="G12" s="136" t="s">
        <v>429</v>
      </c>
      <c r="H12" s="136" t="s">
        <v>430</v>
      </c>
      <c r="I12" s="136" t="s">
        <v>351</v>
      </c>
      <c r="J12" s="136" t="s">
        <v>336</v>
      </c>
      <c r="K12" s="136" t="s">
        <v>381</v>
      </c>
      <c r="L12" s="136" t="s">
        <v>431</v>
      </c>
      <c r="M12" s="136" t="s">
        <v>432</v>
      </c>
      <c r="N12" s="136" t="s">
        <v>433</v>
      </c>
      <c r="O12" s="136" t="s">
        <v>341</v>
      </c>
      <c r="P12" s="136" t="s">
        <v>355</v>
      </c>
      <c r="Q12" s="136" t="s">
        <v>434</v>
      </c>
      <c r="R12" s="136" t="s">
        <v>318</v>
      </c>
      <c r="S12" s="136" t="s">
        <v>435</v>
      </c>
      <c r="T12" s="136" t="s">
        <v>344</v>
      </c>
      <c r="U12" s="136" t="s">
        <v>436</v>
      </c>
      <c r="V12" s="136" t="s">
        <v>437</v>
      </c>
      <c r="W12" s="136" t="s">
        <v>344</v>
      </c>
      <c r="X12" s="136"/>
      <c r="Y12" s="136" t="s">
        <v>438</v>
      </c>
      <c r="Z12" s="136" t="s">
        <v>344</v>
      </c>
      <c r="AA12" s="136" t="s">
        <v>344</v>
      </c>
      <c r="AB12" s="136" t="s">
        <v>439</v>
      </c>
      <c r="AC12" s="136" t="s">
        <v>440</v>
      </c>
      <c r="AD12" s="136" t="s">
        <v>338</v>
      </c>
      <c r="AE12" s="136" t="s">
        <v>347</v>
      </c>
    </row>
    <row r="13" spans="1:31">
      <c r="A13" s="113">
        <v>43549.917928240742</v>
      </c>
      <c r="B13" s="136" t="s">
        <v>441</v>
      </c>
      <c r="C13" s="100">
        <v>25467</v>
      </c>
      <c r="D13" s="136" t="s">
        <v>442</v>
      </c>
      <c r="E13" s="136" t="s">
        <v>443</v>
      </c>
      <c r="F13" s="136" t="s">
        <v>444</v>
      </c>
      <c r="G13" s="136" t="s">
        <v>379</v>
      </c>
      <c r="H13" s="136" t="s">
        <v>388</v>
      </c>
      <c r="I13" s="136" t="s">
        <v>335</v>
      </c>
      <c r="J13" s="136" t="s">
        <v>351</v>
      </c>
      <c r="K13" s="136" t="s">
        <v>381</v>
      </c>
      <c r="L13" s="136" t="s">
        <v>445</v>
      </c>
      <c r="M13" s="136" t="s">
        <v>446</v>
      </c>
      <c r="N13" s="136" t="s">
        <v>447</v>
      </c>
      <c r="O13" s="136" t="s">
        <v>341</v>
      </c>
      <c r="P13" s="136" t="s">
        <v>342</v>
      </c>
      <c r="Q13" s="136" t="s">
        <v>448</v>
      </c>
      <c r="R13" s="136" t="s">
        <v>344</v>
      </c>
      <c r="S13" s="136"/>
      <c r="T13" s="136"/>
      <c r="U13" s="136"/>
      <c r="V13" s="136" t="s">
        <v>449</v>
      </c>
      <c r="W13" s="136"/>
      <c r="X13" s="136" t="s">
        <v>450</v>
      </c>
      <c r="Y13" s="136"/>
      <c r="Z13" s="136"/>
      <c r="AA13" s="136"/>
      <c r="AB13" s="136" t="s">
        <v>397</v>
      </c>
      <c r="AC13" s="136" t="s">
        <v>451</v>
      </c>
      <c r="AD13" s="136" t="s">
        <v>409</v>
      </c>
      <c r="AE13" s="136" t="s">
        <v>347</v>
      </c>
    </row>
    <row r="14" spans="1:31">
      <c r="A14" s="113">
        <v>43549.9215625</v>
      </c>
      <c r="B14" s="136" t="s">
        <v>452</v>
      </c>
      <c r="C14" s="100">
        <v>26179</v>
      </c>
      <c r="D14" s="136" t="s">
        <v>453</v>
      </c>
      <c r="E14" s="136">
        <v>998882734</v>
      </c>
      <c r="F14" s="136" t="s">
        <v>454</v>
      </c>
      <c r="G14" s="136" t="s">
        <v>400</v>
      </c>
      <c r="H14" s="136" t="s">
        <v>455</v>
      </c>
      <c r="I14" s="136" t="s">
        <v>456</v>
      </c>
      <c r="J14" s="136" t="s">
        <v>336</v>
      </c>
      <c r="K14" s="136" t="s">
        <v>381</v>
      </c>
      <c r="L14" s="136" t="s">
        <v>457</v>
      </c>
      <c r="M14" s="136" t="s">
        <v>458</v>
      </c>
      <c r="N14" s="136" t="s">
        <v>459</v>
      </c>
      <c r="O14" s="136" t="s">
        <v>341</v>
      </c>
      <c r="P14" s="136" t="s">
        <v>370</v>
      </c>
      <c r="Q14" s="136" t="s">
        <v>383</v>
      </c>
      <c r="R14" s="136" t="s">
        <v>344</v>
      </c>
      <c r="S14" s="136" t="s">
        <v>460</v>
      </c>
      <c r="T14" s="136" t="s">
        <v>461</v>
      </c>
      <c r="U14" s="136" t="s">
        <v>462</v>
      </c>
      <c r="V14" s="136" t="s">
        <v>463</v>
      </c>
      <c r="W14" s="136" t="s">
        <v>464</v>
      </c>
      <c r="X14" s="136" t="s">
        <v>465</v>
      </c>
      <c r="Y14" s="136" t="s">
        <v>466</v>
      </c>
      <c r="Z14" s="136" t="s">
        <v>467</v>
      </c>
      <c r="AA14" s="136" t="s">
        <v>468</v>
      </c>
      <c r="AB14" s="136" t="s">
        <v>469</v>
      </c>
      <c r="AC14" s="136" t="s">
        <v>470</v>
      </c>
      <c r="AD14" s="136" t="s">
        <v>338</v>
      </c>
      <c r="AE14" s="136" t="s">
        <v>347</v>
      </c>
    </row>
    <row r="15" spans="1:31">
      <c r="A15" s="113">
        <v>43549.925555555557</v>
      </c>
      <c r="B15" s="136" t="s">
        <v>471</v>
      </c>
      <c r="C15" s="100">
        <v>36616</v>
      </c>
      <c r="D15" s="136" t="s">
        <v>472</v>
      </c>
      <c r="E15" s="136">
        <v>11961800900</v>
      </c>
      <c r="F15" s="136"/>
      <c r="G15" s="136" t="s">
        <v>349</v>
      </c>
      <c r="H15" s="136" t="s">
        <v>473</v>
      </c>
      <c r="I15" s="136" t="s">
        <v>474</v>
      </c>
      <c r="J15" s="136" t="s">
        <v>336</v>
      </c>
      <c r="K15" s="136" t="s">
        <v>381</v>
      </c>
      <c r="L15" s="136" t="s">
        <v>408</v>
      </c>
      <c r="M15" s="136" t="s">
        <v>475</v>
      </c>
      <c r="N15" s="136" t="s">
        <v>408</v>
      </c>
      <c r="O15" s="136" t="s">
        <v>383</v>
      </c>
      <c r="P15" s="136" t="s">
        <v>151</v>
      </c>
      <c r="Q15" s="136" t="s">
        <v>342</v>
      </c>
      <c r="R15" s="136" t="s">
        <v>344</v>
      </c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 t="s">
        <v>409</v>
      </c>
      <c r="AE15" s="136" t="s">
        <v>347</v>
      </c>
    </row>
    <row r="16" spans="1:31">
      <c r="A16" s="113">
        <v>43549.927881944444</v>
      </c>
      <c r="B16" s="136" t="s">
        <v>476</v>
      </c>
      <c r="C16" s="100">
        <v>28403</v>
      </c>
      <c r="D16" s="136" t="s">
        <v>477</v>
      </c>
      <c r="E16" s="136">
        <v>11983007432</v>
      </c>
      <c r="F16" s="136"/>
      <c r="G16" s="136" t="s">
        <v>400</v>
      </c>
      <c r="H16" s="136" t="s">
        <v>478</v>
      </c>
      <c r="I16" s="136" t="s">
        <v>351</v>
      </c>
      <c r="J16" s="136" t="s">
        <v>396</v>
      </c>
      <c r="K16" s="136" t="s">
        <v>407</v>
      </c>
      <c r="L16" s="136" t="s">
        <v>408</v>
      </c>
      <c r="M16" s="136" t="s">
        <v>479</v>
      </c>
      <c r="N16" s="136" t="s">
        <v>408</v>
      </c>
      <c r="O16" s="136" t="s">
        <v>341</v>
      </c>
      <c r="P16" s="136" t="s">
        <v>370</v>
      </c>
      <c r="Q16" s="136" t="s">
        <v>383</v>
      </c>
      <c r="R16" s="136" t="s">
        <v>318</v>
      </c>
      <c r="S16" s="136" t="s">
        <v>480</v>
      </c>
      <c r="T16" s="136" t="s">
        <v>481</v>
      </c>
      <c r="U16" s="136"/>
      <c r="V16" s="136" t="s">
        <v>482</v>
      </c>
      <c r="W16" s="136"/>
      <c r="X16" s="136" t="s">
        <v>483</v>
      </c>
      <c r="Y16" s="136"/>
      <c r="Z16" s="136"/>
      <c r="AA16" s="136"/>
      <c r="AB16" s="136" t="s">
        <v>484</v>
      </c>
      <c r="AC16" s="136" t="s">
        <v>485</v>
      </c>
      <c r="AD16" s="136" t="s">
        <v>346</v>
      </c>
      <c r="AE16" s="136" t="s">
        <v>347</v>
      </c>
    </row>
    <row r="17" spans="1:31">
      <c r="A17" s="113">
        <v>43549.934756944444</v>
      </c>
      <c r="B17" s="136" t="s">
        <v>486</v>
      </c>
      <c r="C17" s="100">
        <v>27804</v>
      </c>
      <c r="D17" s="136" t="s">
        <v>487</v>
      </c>
      <c r="E17" s="136">
        <v>11994428356</v>
      </c>
      <c r="F17" s="136">
        <v>11985314678</v>
      </c>
      <c r="G17" s="136" t="s">
        <v>379</v>
      </c>
      <c r="H17" s="136" t="s">
        <v>488</v>
      </c>
      <c r="I17" s="136" t="s">
        <v>351</v>
      </c>
      <c r="J17" s="136" t="s">
        <v>336</v>
      </c>
      <c r="K17" s="136" t="s">
        <v>381</v>
      </c>
      <c r="L17" s="136" t="s">
        <v>338</v>
      </c>
      <c r="M17" s="136" t="s">
        <v>489</v>
      </c>
      <c r="N17" s="136" t="s">
        <v>338</v>
      </c>
      <c r="O17" s="136" t="s">
        <v>341</v>
      </c>
      <c r="P17" s="136" t="s">
        <v>342</v>
      </c>
      <c r="Q17" s="136" t="s">
        <v>344</v>
      </c>
      <c r="R17" s="136" t="s">
        <v>344</v>
      </c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 t="s">
        <v>338</v>
      </c>
      <c r="AE17" s="136" t="s">
        <v>347</v>
      </c>
    </row>
    <row r="18" spans="1:31">
      <c r="A18" s="113">
        <v>43549.959201388891</v>
      </c>
      <c r="B18" s="136" t="s">
        <v>490</v>
      </c>
      <c r="C18" s="100">
        <v>26676</v>
      </c>
      <c r="D18" s="136" t="s">
        <v>491</v>
      </c>
      <c r="E18" s="136">
        <v>11962087786</v>
      </c>
      <c r="F18" s="136" t="s">
        <v>492</v>
      </c>
      <c r="G18" s="136" t="s">
        <v>400</v>
      </c>
      <c r="H18" s="136" t="s">
        <v>493</v>
      </c>
      <c r="I18" s="136" t="s">
        <v>351</v>
      </c>
      <c r="J18" s="136" t="s">
        <v>336</v>
      </c>
      <c r="K18" s="136" t="s">
        <v>494</v>
      </c>
      <c r="L18" s="136" t="s">
        <v>495</v>
      </c>
      <c r="M18" s="136" t="s">
        <v>496</v>
      </c>
      <c r="N18" s="136" t="s">
        <v>497</v>
      </c>
      <c r="O18" s="136" t="s">
        <v>341</v>
      </c>
      <c r="P18" s="136" t="s">
        <v>355</v>
      </c>
      <c r="Q18" s="136" t="s">
        <v>344</v>
      </c>
      <c r="R18" s="136" t="s">
        <v>319</v>
      </c>
      <c r="S18" s="136" t="s">
        <v>498</v>
      </c>
      <c r="T18" s="136" t="s">
        <v>499</v>
      </c>
      <c r="U18" s="136" t="s">
        <v>500</v>
      </c>
      <c r="V18" s="136" t="s">
        <v>501</v>
      </c>
      <c r="W18" s="136" t="s">
        <v>502</v>
      </c>
      <c r="X18" s="136" t="s">
        <v>465</v>
      </c>
      <c r="Y18" s="136" t="s">
        <v>503</v>
      </c>
      <c r="Z18" s="136" t="s">
        <v>504</v>
      </c>
      <c r="AA18" s="136"/>
      <c r="AB18" s="136" t="s">
        <v>505</v>
      </c>
      <c r="AC18" s="136" t="s">
        <v>506</v>
      </c>
      <c r="AD18" s="136" t="s">
        <v>409</v>
      </c>
      <c r="AE18" s="136" t="s">
        <v>347</v>
      </c>
    </row>
    <row r="19" spans="1:31">
      <c r="A19" s="113">
        <v>43549.960856481484</v>
      </c>
      <c r="B19" s="136" t="s">
        <v>507</v>
      </c>
      <c r="C19" s="100">
        <v>25898</v>
      </c>
      <c r="D19" s="136" t="s">
        <v>508</v>
      </c>
      <c r="E19" s="136">
        <v>996350978</v>
      </c>
      <c r="F19" s="136">
        <v>982071685</v>
      </c>
      <c r="G19" s="136" t="s">
        <v>509</v>
      </c>
      <c r="H19" s="136" t="s">
        <v>510</v>
      </c>
      <c r="I19" s="136" t="s">
        <v>396</v>
      </c>
      <c r="J19" s="136" t="s">
        <v>396</v>
      </c>
      <c r="K19" s="136" t="s">
        <v>381</v>
      </c>
      <c r="L19" s="136" t="s">
        <v>338</v>
      </c>
      <c r="M19" s="136" t="s">
        <v>338</v>
      </c>
      <c r="N19" s="136" t="s">
        <v>511</v>
      </c>
      <c r="O19" s="136" t="s">
        <v>383</v>
      </c>
      <c r="P19" s="136" t="s">
        <v>370</v>
      </c>
      <c r="Q19" s="136" t="s">
        <v>344</v>
      </c>
      <c r="R19" s="136" t="s">
        <v>344</v>
      </c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 t="s">
        <v>338</v>
      </c>
      <c r="AE19" s="136" t="s">
        <v>347</v>
      </c>
    </row>
    <row r="20" spans="1:31">
      <c r="A20" s="113">
        <v>43550.426840277774</v>
      </c>
      <c r="B20" s="136" t="s">
        <v>512</v>
      </c>
      <c r="C20" s="100">
        <v>26959</v>
      </c>
      <c r="D20" s="136" t="s">
        <v>513</v>
      </c>
      <c r="E20" s="115">
        <v>11983876111</v>
      </c>
      <c r="F20" s="115">
        <v>11998576610</v>
      </c>
      <c r="G20" s="136" t="s">
        <v>421</v>
      </c>
      <c r="H20" s="136" t="s">
        <v>514</v>
      </c>
      <c r="I20" s="136" t="s">
        <v>351</v>
      </c>
      <c r="J20" s="136" t="s">
        <v>336</v>
      </c>
      <c r="K20" s="136" t="s">
        <v>381</v>
      </c>
      <c r="L20" s="136" t="s">
        <v>515</v>
      </c>
      <c r="M20" s="136" t="s">
        <v>516</v>
      </c>
      <c r="N20" s="136" t="s">
        <v>517</v>
      </c>
      <c r="O20" s="136" t="s">
        <v>341</v>
      </c>
      <c r="P20" s="136" t="s">
        <v>151</v>
      </c>
      <c r="Q20" s="136" t="s">
        <v>383</v>
      </c>
      <c r="R20" s="136"/>
      <c r="S20" s="136"/>
      <c r="T20" s="136"/>
      <c r="U20" s="136"/>
      <c r="V20" s="136"/>
      <c r="W20" s="136"/>
      <c r="X20" s="136"/>
      <c r="Y20" s="136"/>
      <c r="Z20" s="136"/>
      <c r="AA20" s="136"/>
      <c r="AB20" s="136" t="s">
        <v>518</v>
      </c>
      <c r="AC20" s="136" t="s">
        <v>519</v>
      </c>
      <c r="AD20" s="136" t="s">
        <v>346</v>
      </c>
      <c r="AE20" s="136" t="s">
        <v>347</v>
      </c>
    </row>
    <row r="21" spans="1:31">
      <c r="A21" s="113">
        <v>43550.437719907408</v>
      </c>
      <c r="B21" s="136" t="s">
        <v>520</v>
      </c>
      <c r="C21" s="100">
        <v>36095</v>
      </c>
      <c r="D21" s="136" t="s">
        <v>521</v>
      </c>
      <c r="E21" s="136">
        <v>961784709</v>
      </c>
      <c r="F21" s="136"/>
      <c r="G21" s="136" t="s">
        <v>421</v>
      </c>
      <c r="H21" s="136" t="s">
        <v>522</v>
      </c>
      <c r="I21" s="136" t="s">
        <v>351</v>
      </c>
      <c r="J21" s="136" t="s">
        <v>396</v>
      </c>
      <c r="K21" s="136" t="s">
        <v>381</v>
      </c>
      <c r="L21" s="136"/>
      <c r="M21" s="136"/>
      <c r="N21" s="136"/>
      <c r="O21" s="136" t="s">
        <v>343</v>
      </c>
      <c r="P21" s="136" t="s">
        <v>342</v>
      </c>
      <c r="Q21" s="136" t="s">
        <v>341</v>
      </c>
      <c r="R21" s="136" t="s">
        <v>344</v>
      </c>
      <c r="S21" s="136"/>
      <c r="T21" s="136"/>
      <c r="U21" s="136"/>
      <c r="V21" s="136"/>
      <c r="W21" s="136"/>
      <c r="X21" s="136"/>
      <c r="Y21" s="136"/>
      <c r="Z21" s="136"/>
      <c r="AA21" s="136"/>
      <c r="AB21" s="136"/>
      <c r="AC21" s="136"/>
      <c r="AD21" s="136" t="s">
        <v>346</v>
      </c>
      <c r="AE21" s="136" t="s">
        <v>347</v>
      </c>
    </row>
    <row r="22" spans="1:31">
      <c r="A22" s="113">
        <v>43550.597141203703</v>
      </c>
      <c r="B22" s="136" t="s">
        <v>523</v>
      </c>
      <c r="C22" s="100">
        <v>37298</v>
      </c>
      <c r="D22" s="136" t="s">
        <v>524</v>
      </c>
      <c r="E22" s="136">
        <v>11983382690</v>
      </c>
      <c r="F22" s="136">
        <v>1127037779</v>
      </c>
      <c r="G22" s="136" t="s">
        <v>349</v>
      </c>
      <c r="H22" s="136" t="s">
        <v>412</v>
      </c>
      <c r="I22" s="136" t="s">
        <v>351</v>
      </c>
      <c r="J22" s="136">
        <v>35</v>
      </c>
      <c r="K22" s="136" t="s">
        <v>381</v>
      </c>
      <c r="L22" s="136" t="s">
        <v>338</v>
      </c>
      <c r="M22" s="136" t="s">
        <v>338</v>
      </c>
      <c r="N22" s="136" t="s">
        <v>338</v>
      </c>
      <c r="O22" s="136" t="s">
        <v>383</v>
      </c>
      <c r="P22" s="136" t="s">
        <v>151</v>
      </c>
      <c r="Q22" s="136" t="s">
        <v>344</v>
      </c>
      <c r="R22" s="136" t="s">
        <v>344</v>
      </c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 t="s">
        <v>338</v>
      </c>
      <c r="AE22" s="136" t="s">
        <v>347</v>
      </c>
    </row>
    <row r="23" spans="1:31">
      <c r="A23" s="113">
        <v>43550.646249999998</v>
      </c>
      <c r="B23" s="136" t="s">
        <v>525</v>
      </c>
      <c r="C23" s="100">
        <v>18648</v>
      </c>
      <c r="D23" s="136" t="s">
        <v>526</v>
      </c>
      <c r="E23" s="115">
        <v>11998576610</v>
      </c>
      <c r="F23" s="115">
        <v>11983876111</v>
      </c>
      <c r="G23" s="136" t="s">
        <v>509</v>
      </c>
      <c r="H23" s="136" t="s">
        <v>514</v>
      </c>
      <c r="I23" s="136" t="s">
        <v>351</v>
      </c>
      <c r="J23" s="136" t="s">
        <v>336</v>
      </c>
      <c r="K23" s="136" t="s">
        <v>381</v>
      </c>
      <c r="L23" s="136" t="s">
        <v>338</v>
      </c>
      <c r="M23" s="136" t="s">
        <v>516</v>
      </c>
      <c r="N23" s="136" t="s">
        <v>527</v>
      </c>
      <c r="O23" s="136" t="s">
        <v>343</v>
      </c>
      <c r="P23" s="136" t="s">
        <v>151</v>
      </c>
      <c r="Q23" s="136" t="s">
        <v>370</v>
      </c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 t="s">
        <v>346</v>
      </c>
      <c r="AE23" s="136" t="s">
        <v>347</v>
      </c>
    </row>
    <row r="24" spans="1:31">
      <c r="A24" s="113">
        <v>43550.651319444441</v>
      </c>
      <c r="B24" s="136" t="s">
        <v>528</v>
      </c>
      <c r="C24" s="100">
        <v>31307</v>
      </c>
      <c r="D24" s="136" t="s">
        <v>529</v>
      </c>
      <c r="E24" s="136">
        <v>11998517334</v>
      </c>
      <c r="F24" s="136"/>
      <c r="G24" s="136" t="s">
        <v>349</v>
      </c>
      <c r="H24" s="136" t="s">
        <v>530</v>
      </c>
      <c r="I24" s="136" t="s">
        <v>531</v>
      </c>
      <c r="J24" s="136" t="s">
        <v>336</v>
      </c>
      <c r="K24" s="136" t="s">
        <v>532</v>
      </c>
      <c r="L24" s="136" t="s">
        <v>338</v>
      </c>
      <c r="M24" s="136" t="s">
        <v>533</v>
      </c>
      <c r="N24" s="136" t="s">
        <v>338</v>
      </c>
      <c r="O24" s="136" t="s">
        <v>343</v>
      </c>
      <c r="P24" s="136" t="s">
        <v>342</v>
      </c>
      <c r="Q24" s="136" t="s">
        <v>151</v>
      </c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 t="s">
        <v>534</v>
      </c>
      <c r="AC24" s="136"/>
      <c r="AD24" s="136" t="s">
        <v>346</v>
      </c>
      <c r="AE24" s="136" t="s">
        <v>347</v>
      </c>
    </row>
    <row r="25" spans="1:31" ht="28.5">
      <c r="A25" s="113">
        <v>43550.858101851853</v>
      </c>
      <c r="B25" s="136" t="s">
        <v>535</v>
      </c>
      <c r="C25" s="100">
        <v>37235</v>
      </c>
      <c r="D25" s="114" t="s">
        <v>536</v>
      </c>
      <c r="E25" s="136">
        <v>11967612466</v>
      </c>
      <c r="F25" s="136">
        <v>11967612466</v>
      </c>
      <c r="G25" s="136" t="s">
        <v>336</v>
      </c>
      <c r="H25" s="136" t="s">
        <v>430</v>
      </c>
      <c r="I25" s="136" t="s">
        <v>351</v>
      </c>
      <c r="J25" s="136" t="s">
        <v>396</v>
      </c>
      <c r="K25" s="136" t="s">
        <v>381</v>
      </c>
      <c r="L25" s="136" t="s">
        <v>408</v>
      </c>
      <c r="M25" s="136" t="s">
        <v>408</v>
      </c>
      <c r="N25" s="136" t="s">
        <v>408</v>
      </c>
      <c r="O25" s="136" t="s">
        <v>343</v>
      </c>
      <c r="P25" s="136" t="s">
        <v>370</v>
      </c>
      <c r="Q25" s="136" t="s">
        <v>344</v>
      </c>
      <c r="R25" s="136" t="s">
        <v>344</v>
      </c>
      <c r="S25" s="136"/>
      <c r="T25" s="136"/>
      <c r="U25" s="136"/>
      <c r="V25" s="136"/>
      <c r="W25" s="136"/>
      <c r="X25" s="136"/>
      <c r="Y25" s="136" t="s">
        <v>537</v>
      </c>
      <c r="Z25" s="136"/>
      <c r="AA25" s="136"/>
      <c r="AB25" s="136" t="s">
        <v>538</v>
      </c>
      <c r="AC25" s="136"/>
      <c r="AD25" s="136" t="s">
        <v>346</v>
      </c>
      <c r="AE25" s="136" t="s">
        <v>347</v>
      </c>
    </row>
    <row r="26" spans="1:31">
      <c r="A26" s="113">
        <v>43551.425381944442</v>
      </c>
      <c r="B26" s="136" t="s">
        <v>528</v>
      </c>
      <c r="C26" s="100">
        <v>31307</v>
      </c>
      <c r="D26" s="136" t="s">
        <v>529</v>
      </c>
      <c r="E26" s="136">
        <v>11998517334</v>
      </c>
      <c r="F26" s="136"/>
      <c r="G26" s="136" t="s">
        <v>349</v>
      </c>
      <c r="H26" s="136" t="s">
        <v>530</v>
      </c>
      <c r="I26" s="136" t="s">
        <v>531</v>
      </c>
      <c r="J26" s="136" t="s">
        <v>336</v>
      </c>
      <c r="K26" s="136" t="s">
        <v>532</v>
      </c>
      <c r="L26" s="136" t="s">
        <v>338</v>
      </c>
      <c r="M26" s="136" t="s">
        <v>533</v>
      </c>
      <c r="N26" s="136" t="s">
        <v>338</v>
      </c>
      <c r="O26" s="136" t="s">
        <v>343</v>
      </c>
      <c r="P26" s="136" t="s">
        <v>342</v>
      </c>
      <c r="Q26" s="136" t="s">
        <v>151</v>
      </c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 t="s">
        <v>534</v>
      </c>
      <c r="AC26" s="136"/>
      <c r="AD26" s="136" t="s">
        <v>346</v>
      </c>
      <c r="AE26" s="136" t="s">
        <v>347</v>
      </c>
    </row>
    <row r="27" spans="1:31">
      <c r="A27" s="113">
        <v>43551.494895833333</v>
      </c>
      <c r="B27" s="136" t="s">
        <v>539</v>
      </c>
      <c r="C27" s="100">
        <v>23475</v>
      </c>
      <c r="D27" s="136" t="s">
        <v>540</v>
      </c>
      <c r="E27" s="136">
        <v>955771888</v>
      </c>
      <c r="F27" s="136"/>
      <c r="G27" s="136" t="s">
        <v>379</v>
      </c>
      <c r="H27" s="136" t="s">
        <v>541</v>
      </c>
      <c r="I27" s="136" t="s">
        <v>542</v>
      </c>
      <c r="J27" s="136" t="s">
        <v>396</v>
      </c>
      <c r="K27" s="136" t="s">
        <v>381</v>
      </c>
      <c r="L27" s="136" t="s">
        <v>338</v>
      </c>
      <c r="M27" s="136" t="s">
        <v>338</v>
      </c>
      <c r="N27" s="136" t="s">
        <v>338</v>
      </c>
      <c r="O27" s="136" t="s">
        <v>343</v>
      </c>
      <c r="P27" s="136" t="s">
        <v>342</v>
      </c>
      <c r="Q27" s="136" t="s">
        <v>344</v>
      </c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 t="s">
        <v>338</v>
      </c>
      <c r="AE27" s="136" t="s">
        <v>347</v>
      </c>
    </row>
    <row r="28" spans="1:31">
      <c r="A28" s="113">
        <v>43569.96429398148</v>
      </c>
      <c r="B28" s="136" t="s">
        <v>543</v>
      </c>
      <c r="C28" s="100">
        <v>31909</v>
      </c>
      <c r="D28" s="136" t="s">
        <v>544</v>
      </c>
      <c r="E28" s="136">
        <v>11968571925</v>
      </c>
      <c r="F28" s="136">
        <v>1144610257</v>
      </c>
      <c r="G28" s="136" t="s">
        <v>421</v>
      </c>
      <c r="H28" s="136" t="s">
        <v>334</v>
      </c>
      <c r="I28" s="136" t="s">
        <v>335</v>
      </c>
      <c r="J28" s="136" t="s">
        <v>545</v>
      </c>
      <c r="K28" s="136" t="s">
        <v>546</v>
      </c>
      <c r="L28" s="136" t="s">
        <v>547</v>
      </c>
      <c r="M28" s="136" t="s">
        <v>548</v>
      </c>
      <c r="N28" s="136" t="s">
        <v>549</v>
      </c>
      <c r="O28" s="136" t="s">
        <v>341</v>
      </c>
      <c r="P28" s="136" t="s">
        <v>370</v>
      </c>
      <c r="Q28" s="136" t="s">
        <v>383</v>
      </c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 t="s">
        <v>346</v>
      </c>
      <c r="AE28" s="136" t="s">
        <v>550</v>
      </c>
    </row>
  </sheetData>
  <autoFilter ref="A1:AD28"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B44"/>
  <sheetViews>
    <sheetView workbookViewId="0"/>
  </sheetViews>
  <sheetFormatPr defaultRowHeight="14.25"/>
  <cols>
    <col min="1" max="2" width="18.875" customWidth="1"/>
  </cols>
  <sheetData>
    <row r="2" spans="1:2">
      <c r="A2" s="136" t="s">
        <v>551</v>
      </c>
      <c r="B2" s="136" t="s">
        <v>552</v>
      </c>
    </row>
    <row r="3" spans="1:2">
      <c r="A3" s="136">
        <v>29</v>
      </c>
      <c r="B3" s="136" t="s">
        <v>264</v>
      </c>
    </row>
    <row r="4" spans="1:2">
      <c r="A4" s="136">
        <v>39</v>
      </c>
      <c r="B4" s="136" t="s">
        <v>265</v>
      </c>
    </row>
    <row r="5" spans="1:2">
      <c r="A5" s="136">
        <v>1</v>
      </c>
      <c r="B5" s="136" t="s">
        <v>34</v>
      </c>
    </row>
    <row r="6" spans="1:2">
      <c r="A6" s="136">
        <v>2</v>
      </c>
      <c r="B6" s="136" t="s">
        <v>53</v>
      </c>
    </row>
    <row r="7" spans="1:2">
      <c r="A7" s="136">
        <v>36</v>
      </c>
      <c r="B7" s="136" t="s">
        <v>266</v>
      </c>
    </row>
    <row r="8" spans="1:2">
      <c r="A8" s="136">
        <v>3</v>
      </c>
      <c r="B8" s="136" t="s">
        <v>97</v>
      </c>
    </row>
    <row r="9" spans="1:2">
      <c r="A9" s="136">
        <v>17</v>
      </c>
      <c r="B9" s="136" t="s">
        <v>267</v>
      </c>
    </row>
    <row r="10" spans="1:2">
      <c r="A10" s="136">
        <v>18</v>
      </c>
      <c r="B10" s="136" t="s">
        <v>23</v>
      </c>
    </row>
    <row r="11" spans="1:2">
      <c r="A11" s="136">
        <v>4</v>
      </c>
      <c r="B11" s="136" t="s">
        <v>98</v>
      </c>
    </row>
    <row r="12" spans="1:2">
      <c r="A12" s="136">
        <v>41</v>
      </c>
      <c r="B12" s="136" t="s">
        <v>54</v>
      </c>
    </row>
    <row r="13" spans="1:2">
      <c r="A13" s="136">
        <v>5</v>
      </c>
      <c r="B13" s="136" t="s">
        <v>31</v>
      </c>
    </row>
    <row r="14" spans="1:2">
      <c r="A14" s="136">
        <v>33</v>
      </c>
      <c r="B14" s="136" t="s">
        <v>126</v>
      </c>
    </row>
    <row r="15" spans="1:2">
      <c r="A15" s="136">
        <v>32</v>
      </c>
      <c r="B15" s="136" t="s">
        <v>268</v>
      </c>
    </row>
    <row r="16" spans="1:2">
      <c r="A16" s="136">
        <v>34</v>
      </c>
      <c r="B16" s="136" t="s">
        <v>269</v>
      </c>
    </row>
    <row r="17" spans="1:2">
      <c r="A17" s="136">
        <v>6</v>
      </c>
      <c r="B17" s="136" t="s">
        <v>100</v>
      </c>
    </row>
    <row r="18" spans="1:2">
      <c r="A18" s="136">
        <v>38</v>
      </c>
      <c r="B18" s="136" t="s">
        <v>270</v>
      </c>
    </row>
    <row r="19" spans="1:2">
      <c r="A19" s="136">
        <v>43</v>
      </c>
      <c r="B19" s="136" t="s">
        <v>553</v>
      </c>
    </row>
    <row r="20" spans="1:2">
      <c r="A20" s="136">
        <v>7</v>
      </c>
      <c r="B20" s="136" t="s">
        <v>37</v>
      </c>
    </row>
    <row r="21" spans="1:2">
      <c r="A21" s="136">
        <v>37</v>
      </c>
      <c r="B21" s="136" t="s">
        <v>52</v>
      </c>
    </row>
    <row r="22" spans="1:2">
      <c r="A22" s="136">
        <v>8</v>
      </c>
      <c r="B22" s="136" t="s">
        <v>38</v>
      </c>
    </row>
    <row r="23" spans="1:2">
      <c r="A23" s="136">
        <v>10</v>
      </c>
      <c r="B23" s="136" t="s">
        <v>271</v>
      </c>
    </row>
    <row r="24" spans="1:2">
      <c r="A24" s="136">
        <v>9</v>
      </c>
      <c r="B24" s="136" t="s">
        <v>32</v>
      </c>
    </row>
    <row r="25" spans="1:2">
      <c r="A25" s="136">
        <v>11</v>
      </c>
      <c r="B25" s="136" t="s">
        <v>39</v>
      </c>
    </row>
    <row r="26" spans="1:2">
      <c r="A26" s="136">
        <v>28</v>
      </c>
      <c r="B26" s="136" t="s">
        <v>25</v>
      </c>
    </row>
    <row r="27" spans="1:2">
      <c r="A27" s="136">
        <v>12</v>
      </c>
      <c r="B27" s="136" t="s">
        <v>40</v>
      </c>
    </row>
    <row r="28" spans="1:2">
      <c r="A28" s="136">
        <v>13</v>
      </c>
      <c r="B28" s="136" t="s">
        <v>272</v>
      </c>
    </row>
    <row r="29" spans="1:2">
      <c r="A29" s="136">
        <v>14</v>
      </c>
      <c r="B29" s="136" t="s">
        <v>273</v>
      </c>
    </row>
    <row r="30" spans="1:2">
      <c r="A30" s="136">
        <v>16</v>
      </c>
      <c r="B30" s="136" t="s">
        <v>29</v>
      </c>
    </row>
    <row r="31" spans="1:2">
      <c r="A31" s="136">
        <v>15</v>
      </c>
      <c r="B31" s="136" t="s">
        <v>20</v>
      </c>
    </row>
    <row r="32" spans="1:2">
      <c r="A32" s="136">
        <v>19</v>
      </c>
      <c r="B32" s="136" t="s">
        <v>48</v>
      </c>
    </row>
    <row r="33" spans="1:2">
      <c r="A33" s="136">
        <v>31</v>
      </c>
      <c r="B33" s="136" t="s">
        <v>274</v>
      </c>
    </row>
    <row r="34" spans="1:2">
      <c r="A34" s="136">
        <v>42</v>
      </c>
      <c r="B34" s="136" t="s">
        <v>128</v>
      </c>
    </row>
    <row r="35" spans="1:2">
      <c r="A35" s="136">
        <v>20</v>
      </c>
      <c r="B35" s="136" t="s">
        <v>30</v>
      </c>
    </row>
    <row r="36" spans="1:2">
      <c r="A36" s="136">
        <v>21</v>
      </c>
      <c r="B36" s="136" t="s">
        <v>42</v>
      </c>
    </row>
    <row r="37" spans="1:2">
      <c r="A37" s="136">
        <v>30</v>
      </c>
      <c r="B37" s="136" t="s">
        <v>50</v>
      </c>
    </row>
    <row r="38" spans="1:2">
      <c r="A38" s="136">
        <v>22</v>
      </c>
      <c r="B38" s="136" t="s">
        <v>192</v>
      </c>
    </row>
    <row r="39" spans="1:2">
      <c r="A39" s="136">
        <v>23</v>
      </c>
      <c r="B39" s="136" t="s">
        <v>45</v>
      </c>
    </row>
    <row r="40" spans="1:2">
      <c r="A40" s="136">
        <v>24</v>
      </c>
      <c r="B40" s="136" t="s">
        <v>103</v>
      </c>
    </row>
    <row r="41" spans="1:2">
      <c r="A41" s="136">
        <v>25</v>
      </c>
      <c r="B41" s="136" t="s">
        <v>275</v>
      </c>
    </row>
    <row r="42" spans="1:2">
      <c r="A42" s="136">
        <v>35</v>
      </c>
      <c r="B42" s="136" t="s">
        <v>51</v>
      </c>
    </row>
    <row r="43" spans="1:2">
      <c r="A43" s="136">
        <v>26</v>
      </c>
      <c r="B43" s="136" t="s">
        <v>104</v>
      </c>
    </row>
    <row r="44" spans="1:2">
      <c r="A44" s="136">
        <v>27</v>
      </c>
      <c r="B44" s="136" t="s">
        <v>276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29</vt:i4>
      </vt:variant>
      <vt:variant>
        <vt:lpstr>Intervalos nomeados</vt:lpstr>
      </vt:variant>
      <vt:variant>
        <vt:i4>3</vt:i4>
      </vt:variant>
    </vt:vector>
  </HeadingPairs>
  <TitlesOfParts>
    <vt:vector size="32" baseType="lpstr">
      <vt:lpstr>Plan2</vt:lpstr>
      <vt:lpstr>mensalidades</vt:lpstr>
      <vt:lpstr>resumo_mens</vt:lpstr>
      <vt:lpstr>despesas</vt:lpstr>
      <vt:lpstr>Prato</vt:lpstr>
      <vt:lpstr>Eventos e Doações</vt:lpstr>
      <vt:lpstr>eventos</vt:lpstr>
      <vt:lpstr>Praia</vt:lpstr>
      <vt:lpstr>arrecadações</vt:lpstr>
      <vt:lpstr>banho</vt:lpstr>
      <vt:lpstr>descarrego</vt:lpstr>
      <vt:lpstr>despesas (evento)</vt:lpstr>
      <vt:lpstr>saídas</vt:lpstr>
      <vt:lpstr>despesas (art religi)</vt:lpstr>
      <vt:lpstr>despesas (limpeza)</vt:lpstr>
      <vt:lpstr>despesas (descartavel)</vt:lpstr>
      <vt:lpstr>despesas (extra)</vt:lpstr>
      <vt:lpstr>Ficha do Banho</vt:lpstr>
      <vt:lpstr>Ficha de Art Relig</vt:lpstr>
      <vt:lpstr>Ficha descarrego</vt:lpstr>
      <vt:lpstr>Velas_máscara</vt:lpstr>
      <vt:lpstr>Velas</vt:lpstr>
      <vt:lpstr>Resumovelas</vt:lpstr>
      <vt:lpstr>Relatório_velas</vt:lpstr>
      <vt:lpstr>Velas_pagamento</vt:lpstr>
      <vt:lpstr>Rvelas</vt:lpstr>
      <vt:lpstr>Pedido_velas</vt:lpstr>
      <vt:lpstr>Relação_filhos</vt:lpstr>
      <vt:lpstr>Data_base</vt:lpstr>
      <vt:lpstr>resumo_mens!Area_de_impressao</vt:lpstr>
      <vt:lpstr>qtdsemana</vt:lpstr>
      <vt:lpstr>somacusto</vt:lpstr>
    </vt:vector>
  </TitlesOfParts>
  <Manager/>
  <Company>RedBull GmbH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Sandro Zena</dc:creator>
  <cp:keywords/>
  <dc:description/>
  <cp:lastModifiedBy>Walisson Sobral</cp:lastModifiedBy>
  <cp:revision/>
  <cp:lastPrinted>2019-09-09T12:53:23Z</cp:lastPrinted>
  <dcterms:created xsi:type="dcterms:W3CDTF">2014-06-26T11:37:17Z</dcterms:created>
  <dcterms:modified xsi:type="dcterms:W3CDTF">2019-10-01T15:54:42Z</dcterms:modified>
  <cp:category/>
  <cp:contentStatus/>
</cp:coreProperties>
</file>